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2" sheetId="1" r:id="rId4"/>
    <sheet state="visible" name="Sheet1" sheetId="2" r:id="rId5"/>
    <sheet state="visible" name="VZ" sheetId="3" r:id="rId6"/>
  </sheets>
  <definedNames/>
  <calcPr/>
  <extLst>
    <ext uri="GoogleSheetsCustomDataVersion1">
      <go:sheetsCustomData xmlns:go="http://customooxmlschemas.google.com/" r:id="rId7" roundtripDataSignature="AMtx7mhWJs2DeVobzVw+xMlFrAJh42q8Dw=="/>
    </ext>
  </extLst>
</workbook>
</file>

<file path=xl/sharedStrings.xml><?xml version="1.0" encoding="utf-8"?>
<sst xmlns="http://schemas.openxmlformats.org/spreadsheetml/2006/main" count="64" uniqueCount="37">
  <si>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</si>
  <si>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</si>
  <si>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</si>
  <si>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</si>
  <si>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</si>
  <si>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</si>
  <si>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</si>
  <si>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</si>
  <si>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</si>
  <si>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</si>
  <si>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</si>
  <si>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F</t>
  </si>
  <si>
    <t>Significance F</t>
  </si>
  <si>
    <t>Regression</t>
  </si>
  <si>
    <t>Residual</t>
  </si>
  <si>
    <t>Total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</si>
  <si>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</si>
  <si>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</si>
  <si>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</si>
  <si>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</si>
  <si>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</si>
  <si>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</si>
  <si>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</si>
  <si>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</si>
  <si>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</si>
  <si>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</si>
  <si>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</si>
  <si>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</si>
  <si>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</si>
  <si>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</si>
  <si>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</si>
  <si>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</si>
  <si>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</si>
  <si>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</si>
  <si>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Excess Return for VZ</t>
  </si>
  <si>
    <t>VZ</t>
  </si>
  <si>
    <t>Mkt-RF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</si>
</sst>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2.0"/>
      <color theme="1"/>
      <name val="Arial"/>
    </font>
    <font>
      <color theme="1"/>
      <name val="Calibri"/>
    </font>
    <font>
      <i/>
      <sz val="12.0"/>
      <color theme="1"/>
      <name val="Calibri"/>
    </font>
    <font/>
    <font>
      <sz val="12.0"/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3">
    <border/>
    <border>
      <top style="medium">
        <color rgb="FF000000"/>
      </top>
      <bottom style="thin">
        <color rgb="FF000000"/>
      </bottom>
    </border>
    <border>
      <bottom style="medium">
        <color rgb="FF000000"/>
      </bottom>
    </border>
  </borders>
  <cellStyleXfs count="1">
    <xf borderId="0" fillId="0" fontId="0" numFmtId="0" applyAlignment="1" applyFont="1"/>
  </cellStyleXfs>
  <cellXfs count="9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Alignment="1" applyBorder="1" applyFont="1">
      <alignment horizontal="center"/>
    </xf>
    <xf borderId="1" fillId="0" fontId="3" numFmtId="0" xfId="0" applyBorder="1" applyFont="1"/>
    <xf borderId="0" fillId="0" fontId="4" numFmtId="0" xfId="0" applyFont="1"/>
    <xf borderId="2" fillId="0" fontId="4" numFmtId="0" xfId="0" applyBorder="1" applyFont="1"/>
    <xf borderId="0" fillId="0" fontId="5" numFmtId="0" xfId="0" applyFont="1"/>
    <xf borderId="0" fillId="0" fontId="4" numFmtId="14" xfId="0" applyFont="1" applyNumberFormat="1"/>
    <xf borderId="0" fillId="0" fontId="1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0.6995686729896227</v>
      </c>
    </row>
    <row r="5" ht="15.75" customHeight="1">
      <c r="A5" s="4" t="s">
        <v>3</v>
      </c>
      <c r="B5" s="4">
        <v>0.4893963282284616</v>
      </c>
    </row>
    <row r="6" ht="15.75" customHeight="1">
      <c r="A6" s="4" t="s">
        <v>4</v>
      </c>
      <c r="B6" s="4">
        <v>0.48733744245518923</v>
      </c>
    </row>
    <row r="7" ht="15.75" customHeight="1">
      <c r="A7" s="4" t="s">
        <v>5</v>
      </c>
      <c r="B7" s="4">
        <v>1.1098022144653887</v>
      </c>
    </row>
    <row r="8" ht="15.75" customHeight="1">
      <c r="A8" s="5" t="s">
        <v>6</v>
      </c>
      <c r="B8" s="5">
        <v>250.0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292.7653184736967</v>
      </c>
      <c r="D12" s="4">
        <v>292.7653184736967</v>
      </c>
      <c r="E12" s="4">
        <v>237.69960168826145</v>
      </c>
      <c r="F12" s="4">
        <v>4.5715106144396405E-38</v>
      </c>
    </row>
    <row r="13" ht="15.75" customHeight="1">
      <c r="A13" s="4" t="s">
        <v>14</v>
      </c>
      <c r="B13" s="4">
        <v>248.0</v>
      </c>
      <c r="C13" s="4">
        <v>305.4519168976056</v>
      </c>
      <c r="D13" s="4">
        <v>1.2316609552322806</v>
      </c>
      <c r="E13" s="4"/>
      <c r="F13" s="4"/>
    </row>
    <row r="14" ht="15.75" customHeight="1">
      <c r="A14" s="5" t="s">
        <v>15</v>
      </c>
      <c r="B14" s="5">
        <v>249.0</v>
      </c>
      <c r="C14" s="5">
        <v>598.2172353713023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-0.1045482354559431</v>
      </c>
      <c r="C17" s="4">
        <v>0.07033122557093228</v>
      </c>
      <c r="D17" s="4">
        <v>-1.4865123507694515</v>
      </c>
      <c r="E17" s="4">
        <v>0.13841383957799705</v>
      </c>
      <c r="F17" s="4">
        <v>-0.2430709050301369</v>
      </c>
      <c r="G17" s="4">
        <v>0.033974434118250685</v>
      </c>
      <c r="H17" s="4">
        <v>-0.2430709050301369</v>
      </c>
      <c r="I17" s="4">
        <v>0.033974434118250685</v>
      </c>
    </row>
    <row r="18" ht="15.75" customHeight="1">
      <c r="A18" s="5" t="s">
        <v>24</v>
      </c>
      <c r="B18" s="5">
        <v>0.5046183754371755</v>
      </c>
      <c r="C18" s="5">
        <v>0.03273021318893949</v>
      </c>
      <c r="D18" s="5">
        <v>15.417509581260564</v>
      </c>
      <c r="E18" s="5">
        <v>4.5715106144398363E-38</v>
      </c>
      <c r="F18" s="5">
        <v>0.4401537444022483</v>
      </c>
      <c r="G18" s="5">
        <v>0.5690830064721026</v>
      </c>
      <c r="H18" s="5">
        <v>0.4401537444022483</v>
      </c>
      <c r="I18" s="5">
        <v>0.5690830064721026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6" width="10.56"/>
  </cols>
  <sheetData>
    <row r="1" ht="15.75" customHeight="1">
      <c r="A1" s="1" t="s">
        <v>0</v>
      </c>
    </row>
    <row r="2" ht="15.75" customHeight="1"/>
    <row r="3" ht="15.75" customHeight="1">
      <c r="A3" s="2" t="s">
        <v>1</v>
      </c>
      <c r="B3" s="3"/>
    </row>
    <row r="4" ht="15.75" customHeight="1">
      <c r="A4" s="4" t="s">
        <v>2</v>
      </c>
      <c r="B4" s="4">
        <v>0.5572649344538678</v>
      </c>
    </row>
    <row r="5" ht="15.75" customHeight="1">
      <c r="A5" s="4" t="s">
        <v>3</v>
      </c>
      <c r="B5" s="4">
        <v>0.31054420717187364</v>
      </c>
    </row>
    <row r="6" ht="15.75" customHeight="1">
      <c r="A6" s="4" t="s">
        <v>4</v>
      </c>
      <c r="B6" s="4">
        <v>0.30750695698320346</v>
      </c>
    </row>
    <row r="7" ht="15.75" customHeight="1">
      <c r="A7" s="4" t="s">
        <v>5</v>
      </c>
      <c r="B7" s="4">
        <v>0.9429664020556952</v>
      </c>
    </row>
    <row r="8" ht="15.75" customHeight="1">
      <c r="A8" s="5" t="s">
        <v>6</v>
      </c>
      <c r="B8" s="5">
        <v>229.0</v>
      </c>
    </row>
    <row r="9" ht="15.75" customHeight="1"/>
    <row r="10" ht="15.75" customHeight="1">
      <c r="A10" s="1" t="s">
        <v>7</v>
      </c>
    </row>
    <row r="11" ht="15.75" customHeight="1">
      <c r="A11" s="2"/>
      <c r="B11" s="2" t="s">
        <v>8</v>
      </c>
      <c r="C11" s="2" t="s">
        <v>9</v>
      </c>
      <c r="D11" s="2" t="s">
        <v>10</v>
      </c>
      <c r="E11" s="2" t="s">
        <v>11</v>
      </c>
      <c r="F11" s="2" t="s">
        <v>12</v>
      </c>
    </row>
    <row r="12" ht="15.75" customHeight="1">
      <c r="A12" s="4" t="s">
        <v>13</v>
      </c>
      <c r="B12" s="4">
        <v>1.0</v>
      </c>
      <c r="C12" s="4">
        <v>90.9149497152998</v>
      </c>
      <c r="D12" s="4">
        <v>90.9149497152998</v>
      </c>
      <c r="E12" s="4">
        <v>102.24518491439896</v>
      </c>
      <c r="F12" s="4">
        <v>4.4030377820603E-20</v>
      </c>
    </row>
    <row r="13" ht="15.75" customHeight="1">
      <c r="A13" s="4" t="s">
        <v>14</v>
      </c>
      <c r="B13" s="4">
        <v>227.0</v>
      </c>
      <c r="C13" s="4">
        <v>201.8451392371309</v>
      </c>
      <c r="D13" s="4">
        <v>0.8891856354058629</v>
      </c>
      <c r="E13" s="4"/>
      <c r="F13" s="4"/>
    </row>
    <row r="14" ht="15.75" customHeight="1">
      <c r="A14" s="5" t="s">
        <v>15</v>
      </c>
      <c r="B14" s="5">
        <v>228.0</v>
      </c>
      <c r="C14" s="5">
        <v>292.7600889524307</v>
      </c>
      <c r="D14" s="5"/>
      <c r="E14" s="5"/>
      <c r="F14" s="5"/>
    </row>
    <row r="15" ht="15.75" customHeight="1"/>
    <row r="16" ht="15.75" customHeight="1">
      <c r="A16" s="2"/>
      <c r="B16" s="2" t="s">
        <v>16</v>
      </c>
      <c r="C16" s="2" t="s">
        <v>5</v>
      </c>
      <c r="D16" s="2" t="s">
        <v>17</v>
      </c>
      <c r="E16" s="2" t="s">
        <v>18</v>
      </c>
      <c r="F16" s="2" t="s">
        <v>19</v>
      </c>
      <c r="G16" s="2" t="s">
        <v>20</v>
      </c>
      <c r="H16" s="2" t="s">
        <v>21</v>
      </c>
      <c r="I16" s="2" t="s">
        <v>22</v>
      </c>
    </row>
    <row r="17" ht="15.75" customHeight="1">
      <c r="A17" s="4" t="s">
        <v>23</v>
      </c>
      <c r="B17" s="4">
        <v>-0.0595501063181839</v>
      </c>
      <c r="C17" s="4">
        <v>0.06305178782571595</v>
      </c>
      <c r="D17" s="4">
        <v>-0.9444634065379527</v>
      </c>
      <c r="E17" s="4">
        <v>0.34593705866817615</v>
      </c>
      <c r="F17" s="4">
        <v>-0.18379173194692672</v>
      </c>
      <c r="G17" s="4">
        <v>0.0646915193105589</v>
      </c>
      <c r="H17" s="4">
        <v>-0.18379173194692672</v>
      </c>
      <c r="I17" s="4">
        <v>0.0646915193105589</v>
      </c>
    </row>
    <row r="18" ht="15.75" customHeight="1">
      <c r="A18" s="5" t="s">
        <v>24</v>
      </c>
      <c r="B18" s="5">
        <v>0.4547026812732095</v>
      </c>
      <c r="C18" s="5">
        <v>0.044968259945190506</v>
      </c>
      <c r="D18" s="5">
        <v>10.11163611461558</v>
      </c>
      <c r="E18" s="5">
        <v>4.40303778206169E-20</v>
      </c>
      <c r="F18" s="5">
        <v>0.36609409601422505</v>
      </c>
      <c r="G18" s="5">
        <v>0.543311266532194</v>
      </c>
      <c r="H18" s="5">
        <v>0.36609409601422505</v>
      </c>
      <c r="I18" s="5">
        <v>0.543311266532194</v>
      </c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3:B3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8" width="10.56"/>
    <col customWidth="1" min="9" max="9" width="12.78"/>
    <col customWidth="1" min="10" max="10" width="10.56"/>
    <col customWidth="1" min="11" max="11" width="20.11"/>
    <col customWidth="1" min="12" max="26" width="10.56"/>
  </cols>
  <sheetData>
    <row r="1" ht="15.75" customHeight="1">
      <c r="A1" s="1" t="s">
        <v>25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I1" s="6" t="s">
        <v>32</v>
      </c>
      <c r="J1" s="6" t="s">
        <v>33</v>
      </c>
      <c r="K1" s="6" t="s">
        <v>34</v>
      </c>
      <c r="L1" s="6" t="s">
        <v>35</v>
      </c>
      <c r="M1" s="6" t="s">
        <v>36</v>
      </c>
    </row>
    <row r="2" ht="15.75" customHeight="1">
      <c r="A2" s="7">
        <v>43892.0</v>
      </c>
      <c r="B2" s="1">
        <v>55.16</v>
      </c>
      <c r="C2" s="1">
        <v>57.540001</v>
      </c>
      <c r="D2" s="1">
        <v>54.880001</v>
      </c>
      <c r="E2" s="1">
        <v>57.32</v>
      </c>
      <c r="F2" s="1">
        <v>54.317398</v>
      </c>
      <c r="G2" s="1">
        <v>3.07362E7</v>
      </c>
      <c r="J2" s="1">
        <v>0.006</v>
      </c>
      <c r="M2" s="1">
        <v>4.31</v>
      </c>
    </row>
    <row r="3" ht="15.75" customHeight="1">
      <c r="A3" s="7">
        <v>43893.0</v>
      </c>
      <c r="B3" s="1">
        <v>57.209999</v>
      </c>
      <c r="C3" s="1">
        <v>58.049999</v>
      </c>
      <c r="D3" s="1">
        <v>55.220001</v>
      </c>
      <c r="E3" s="1">
        <v>55.700001</v>
      </c>
      <c r="F3" s="1">
        <v>52.782257</v>
      </c>
      <c r="G3" s="1">
        <v>2.75002E7</v>
      </c>
      <c r="I3" s="1">
        <f t="shared" ref="I3:I252" si="1">(F3-F2)/F2</f>
        <v>-0.02826241787</v>
      </c>
      <c r="J3" s="1">
        <v>0.006</v>
      </c>
      <c r="K3" s="1">
        <f t="shared" ref="K3:K252" si="2">I3-J3</f>
        <v>-0.03426241787</v>
      </c>
      <c r="L3" s="1">
        <f t="shared" ref="L3:L252" si="3">100*K3</f>
        <v>-3.426241787</v>
      </c>
      <c r="M3" s="1">
        <v>-2.79</v>
      </c>
      <c r="O3" s="8">
        <v>3.0</v>
      </c>
      <c r="P3" s="8">
        <v>4.0</v>
      </c>
    </row>
    <row r="4" ht="15.75" customHeight="1">
      <c r="A4" s="7">
        <v>43894.0</v>
      </c>
      <c r="B4" s="1">
        <v>56.610001</v>
      </c>
      <c r="C4" s="1">
        <v>58.25</v>
      </c>
      <c r="D4" s="1">
        <v>56.110001</v>
      </c>
      <c r="E4" s="1">
        <v>58.119999</v>
      </c>
      <c r="F4" s="1">
        <v>55.075497</v>
      </c>
      <c r="G4" s="1">
        <v>1.76264E7</v>
      </c>
      <c r="I4" s="1">
        <f t="shared" si="1"/>
        <v>0.04344717582</v>
      </c>
      <c r="J4" s="1">
        <v>0.006</v>
      </c>
      <c r="K4" s="1">
        <f t="shared" si="2"/>
        <v>0.03744717582</v>
      </c>
      <c r="L4" s="1">
        <f t="shared" si="3"/>
        <v>3.744717582</v>
      </c>
      <c r="M4" s="1">
        <v>4.03</v>
      </c>
      <c r="O4" s="1">
        <f>AVERAGE(L3:L252)</f>
        <v>-0.03587976693</v>
      </c>
      <c r="P4" s="1">
        <f>AVERAGE(L24:L252)</f>
        <v>0.03776420988</v>
      </c>
    </row>
    <row r="5" ht="15.75" customHeight="1">
      <c r="A5" s="7">
        <v>43895.0</v>
      </c>
      <c r="B5" s="1">
        <v>56.869999</v>
      </c>
      <c r="C5" s="1">
        <v>57.52</v>
      </c>
      <c r="D5" s="1">
        <v>56.490002</v>
      </c>
      <c r="E5" s="1">
        <v>57.16</v>
      </c>
      <c r="F5" s="1">
        <v>54.165779</v>
      </c>
      <c r="G5" s="1">
        <v>2.12499E7</v>
      </c>
      <c r="I5" s="1">
        <f t="shared" si="1"/>
        <v>-0.01651765394</v>
      </c>
      <c r="J5" s="1">
        <v>0.006</v>
      </c>
      <c r="K5" s="1">
        <f t="shared" si="2"/>
        <v>-0.02251765394</v>
      </c>
      <c r="L5" s="1">
        <f t="shared" si="3"/>
        <v>-2.251765394</v>
      </c>
      <c r="M5" s="1">
        <v>-3.38</v>
      </c>
    </row>
    <row r="6" ht="15.75" customHeight="1">
      <c r="A6" s="7">
        <v>43896.0</v>
      </c>
      <c r="B6" s="1">
        <v>55.290001</v>
      </c>
      <c r="C6" s="1">
        <v>57.209999</v>
      </c>
      <c r="D6" s="1">
        <v>55.099998</v>
      </c>
      <c r="E6" s="1">
        <v>56.869999</v>
      </c>
      <c r="F6" s="1">
        <v>53.890965</v>
      </c>
      <c r="G6" s="1">
        <v>2.25108E7</v>
      </c>
      <c r="I6" s="1">
        <f t="shared" si="1"/>
        <v>-0.005073572375</v>
      </c>
      <c r="J6" s="1">
        <v>0.006</v>
      </c>
      <c r="K6" s="1">
        <f t="shared" si="2"/>
        <v>-0.01107357237</v>
      </c>
      <c r="L6" s="1">
        <f t="shared" si="3"/>
        <v>-1.107357237</v>
      </c>
      <c r="M6" s="1">
        <v>-1.78</v>
      </c>
    </row>
    <row r="7" ht="15.75" customHeight="1">
      <c r="A7" s="7">
        <v>43899.0</v>
      </c>
      <c r="B7" s="1">
        <v>54.369999</v>
      </c>
      <c r="C7" s="1">
        <v>57.580002</v>
      </c>
      <c r="D7" s="1">
        <v>54.009998</v>
      </c>
      <c r="E7" s="1">
        <v>55.830002</v>
      </c>
      <c r="F7" s="1">
        <v>52.905457</v>
      </c>
      <c r="G7" s="1">
        <v>3.18622E7</v>
      </c>
      <c r="I7" s="1">
        <f t="shared" si="1"/>
        <v>-0.0182870728</v>
      </c>
      <c r="J7" s="1">
        <v>0.006</v>
      </c>
      <c r="K7" s="1">
        <f t="shared" si="2"/>
        <v>-0.0242870728</v>
      </c>
      <c r="L7" s="1">
        <f t="shared" si="3"/>
        <v>-2.42870728</v>
      </c>
      <c r="M7" s="1">
        <v>-7.79</v>
      </c>
    </row>
    <row r="8" ht="15.75" customHeight="1">
      <c r="A8" s="7">
        <v>43900.0</v>
      </c>
      <c r="B8" s="1">
        <v>56.07</v>
      </c>
      <c r="C8" s="1">
        <v>56.889999</v>
      </c>
      <c r="D8" s="1">
        <v>53.919998</v>
      </c>
      <c r="E8" s="1">
        <v>56.52</v>
      </c>
      <c r="F8" s="1">
        <v>53.559307</v>
      </c>
      <c r="G8" s="1">
        <v>3.43309E7</v>
      </c>
      <c r="I8" s="1">
        <f t="shared" si="1"/>
        <v>0.01235883852</v>
      </c>
      <c r="J8" s="1">
        <v>0.006</v>
      </c>
      <c r="K8" s="1">
        <f t="shared" si="2"/>
        <v>0.006358838522</v>
      </c>
      <c r="L8" s="1">
        <f t="shared" si="3"/>
        <v>0.6358838522</v>
      </c>
      <c r="M8" s="1">
        <v>4.74</v>
      </c>
    </row>
    <row r="9" ht="15.75" customHeight="1">
      <c r="A9" s="7">
        <v>43901.0</v>
      </c>
      <c r="B9" s="1">
        <v>55.360001</v>
      </c>
      <c r="C9" s="1">
        <v>55.529999</v>
      </c>
      <c r="D9" s="1">
        <v>54.189999</v>
      </c>
      <c r="E9" s="1">
        <v>54.830002</v>
      </c>
      <c r="F9" s="1">
        <v>51.957836</v>
      </c>
      <c r="G9" s="1">
        <v>2.11474E7</v>
      </c>
      <c r="I9" s="1">
        <f t="shared" si="1"/>
        <v>-0.02990089099</v>
      </c>
      <c r="J9" s="1">
        <v>0.006</v>
      </c>
      <c r="K9" s="1">
        <f t="shared" si="2"/>
        <v>-0.03590089099</v>
      </c>
      <c r="L9" s="1">
        <f t="shared" si="3"/>
        <v>-3.590089099</v>
      </c>
      <c r="M9" s="1">
        <v>-5.05</v>
      </c>
    </row>
    <row r="10" ht="15.75" customHeight="1">
      <c r="A10" s="7">
        <v>43902.0</v>
      </c>
      <c r="B10" s="1">
        <v>51.950001</v>
      </c>
      <c r="C10" s="1">
        <v>54.0</v>
      </c>
      <c r="D10" s="1">
        <v>50.75</v>
      </c>
      <c r="E10" s="1">
        <v>51.200001</v>
      </c>
      <c r="F10" s="1">
        <v>48.517982</v>
      </c>
      <c r="G10" s="1">
        <v>4.56106E7</v>
      </c>
      <c r="I10" s="1">
        <f t="shared" si="1"/>
        <v>-0.0662047203</v>
      </c>
      <c r="J10" s="1">
        <v>0.006</v>
      </c>
      <c r="K10" s="1">
        <f t="shared" si="2"/>
        <v>-0.0722047203</v>
      </c>
      <c r="L10" s="1">
        <f t="shared" si="3"/>
        <v>-7.22047203</v>
      </c>
      <c r="M10" s="1">
        <v>-9.63</v>
      </c>
    </row>
    <row r="11" ht="15.75" customHeight="1">
      <c r="A11" s="7">
        <v>43903.0</v>
      </c>
      <c r="B11" s="1">
        <v>53.0</v>
      </c>
      <c r="C11" s="1">
        <v>54.369999</v>
      </c>
      <c r="D11" s="1">
        <v>51.450001</v>
      </c>
      <c r="E11" s="1">
        <v>54.169998</v>
      </c>
      <c r="F11" s="1">
        <v>51.332401</v>
      </c>
      <c r="G11" s="1">
        <v>4.5744E7</v>
      </c>
      <c r="I11" s="1">
        <f t="shared" si="1"/>
        <v>0.05800775061</v>
      </c>
      <c r="J11" s="1">
        <v>0.006</v>
      </c>
      <c r="K11" s="1">
        <f t="shared" si="2"/>
        <v>0.05200775061</v>
      </c>
      <c r="L11" s="1">
        <f t="shared" si="3"/>
        <v>5.200775061</v>
      </c>
      <c r="M11" s="1">
        <v>8.96</v>
      </c>
    </row>
    <row r="12" ht="15.75" customHeight="1">
      <c r="A12" s="7">
        <v>43906.0</v>
      </c>
      <c r="B12" s="1">
        <v>50.900002</v>
      </c>
      <c r="C12" s="1">
        <v>53.200001</v>
      </c>
      <c r="D12" s="1">
        <v>49.02</v>
      </c>
      <c r="E12" s="1">
        <v>50.990002</v>
      </c>
      <c r="F12" s="1">
        <v>48.318985</v>
      </c>
      <c r="G12" s="1">
        <v>3.69904E7</v>
      </c>
      <c r="I12" s="1">
        <f t="shared" si="1"/>
        <v>-0.05870397529</v>
      </c>
      <c r="J12" s="1">
        <v>0.006</v>
      </c>
      <c r="K12" s="1">
        <f t="shared" si="2"/>
        <v>-0.06470397529</v>
      </c>
      <c r="L12" s="1">
        <f t="shared" si="3"/>
        <v>-6.470397529</v>
      </c>
      <c r="M12" s="1">
        <v>-12.0</v>
      </c>
    </row>
    <row r="13" ht="15.75" customHeight="1">
      <c r="A13" s="7">
        <v>43907.0</v>
      </c>
      <c r="B13" s="1">
        <v>51.5</v>
      </c>
      <c r="C13" s="1">
        <v>55.48</v>
      </c>
      <c r="D13" s="1">
        <v>51.490002</v>
      </c>
      <c r="E13" s="1">
        <v>54.310001</v>
      </c>
      <c r="F13" s="1">
        <v>51.465073</v>
      </c>
      <c r="G13" s="1">
        <v>3.3898E7</v>
      </c>
      <c r="I13" s="1">
        <f t="shared" si="1"/>
        <v>0.06511080479</v>
      </c>
      <c r="J13" s="1">
        <v>0.006</v>
      </c>
      <c r="K13" s="1">
        <f t="shared" si="2"/>
        <v>0.05911080479</v>
      </c>
      <c r="L13" s="1">
        <f t="shared" si="3"/>
        <v>5.911080479</v>
      </c>
      <c r="M13" s="1">
        <v>5.87</v>
      </c>
    </row>
    <row r="14" ht="15.75" customHeight="1">
      <c r="A14" s="7">
        <v>43908.0</v>
      </c>
      <c r="B14" s="1">
        <v>53.990002</v>
      </c>
      <c r="C14" s="1">
        <v>55.93</v>
      </c>
      <c r="D14" s="1">
        <v>50.880001</v>
      </c>
      <c r="E14" s="1">
        <v>54.32</v>
      </c>
      <c r="F14" s="1">
        <v>51.474545</v>
      </c>
      <c r="G14" s="1">
        <v>3.84174E7</v>
      </c>
      <c r="I14" s="1">
        <f t="shared" si="1"/>
        <v>0.0001840471498</v>
      </c>
      <c r="J14" s="1">
        <v>0.006</v>
      </c>
      <c r="K14" s="1">
        <f t="shared" si="2"/>
        <v>-0.00581595285</v>
      </c>
      <c r="L14" s="1">
        <f t="shared" si="3"/>
        <v>-0.581595285</v>
      </c>
      <c r="M14" s="1">
        <v>-5.56</v>
      </c>
    </row>
    <row r="15" ht="15.75" customHeight="1">
      <c r="A15" s="7">
        <v>43909.0</v>
      </c>
      <c r="B15" s="1">
        <v>53.759998</v>
      </c>
      <c r="C15" s="1">
        <v>54.919998</v>
      </c>
      <c r="D15" s="1">
        <v>52.779999</v>
      </c>
      <c r="E15" s="1">
        <v>53.619999</v>
      </c>
      <c r="F15" s="1">
        <v>50.811214</v>
      </c>
      <c r="G15" s="1">
        <v>3.30249E7</v>
      </c>
      <c r="I15" s="1">
        <f t="shared" si="1"/>
        <v>-0.01288658307</v>
      </c>
      <c r="J15" s="1">
        <v>0.006</v>
      </c>
      <c r="K15" s="1">
        <f t="shared" si="2"/>
        <v>-0.01888658307</v>
      </c>
      <c r="L15" s="1">
        <f t="shared" si="3"/>
        <v>-1.888658307</v>
      </c>
      <c r="M15" s="1">
        <v>1.31</v>
      </c>
    </row>
    <row r="16" ht="15.75" customHeight="1">
      <c r="A16" s="7">
        <v>43910.0</v>
      </c>
      <c r="B16" s="1">
        <v>52.720001</v>
      </c>
      <c r="C16" s="1">
        <v>53.040001</v>
      </c>
      <c r="D16" s="1">
        <v>50.709999</v>
      </c>
      <c r="E16" s="1">
        <v>51.799999</v>
      </c>
      <c r="F16" s="1">
        <v>49.086552</v>
      </c>
      <c r="G16" s="1">
        <v>4.60138E7</v>
      </c>
      <c r="I16" s="1">
        <f t="shared" si="1"/>
        <v>-0.03394254662</v>
      </c>
      <c r="J16" s="1">
        <v>0.006</v>
      </c>
      <c r="K16" s="1">
        <f t="shared" si="2"/>
        <v>-0.03994254662</v>
      </c>
      <c r="L16" s="1">
        <f t="shared" si="3"/>
        <v>-3.994254662</v>
      </c>
      <c r="M16" s="1">
        <v>-4.15</v>
      </c>
    </row>
    <row r="17" ht="15.75" customHeight="1">
      <c r="A17" s="7">
        <v>43913.0</v>
      </c>
      <c r="B17" s="1">
        <v>50.610001</v>
      </c>
      <c r="C17" s="1">
        <v>53.27</v>
      </c>
      <c r="D17" s="1">
        <v>49.130001</v>
      </c>
      <c r="E17" s="1">
        <v>50.310001</v>
      </c>
      <c r="F17" s="1">
        <v>47.674606</v>
      </c>
      <c r="G17" s="1">
        <v>3.92251E7</v>
      </c>
      <c r="I17" s="1">
        <f t="shared" si="1"/>
        <v>-0.02876441596</v>
      </c>
      <c r="J17" s="1">
        <v>0.006</v>
      </c>
      <c r="K17" s="1">
        <f t="shared" si="2"/>
        <v>-0.03476441596</v>
      </c>
      <c r="L17" s="1">
        <f t="shared" si="3"/>
        <v>-3.476441596</v>
      </c>
      <c r="M17" s="1">
        <v>-2.55</v>
      </c>
    </row>
    <row r="18" ht="15.75" customHeight="1">
      <c r="A18" s="7">
        <v>43914.0</v>
      </c>
      <c r="B18" s="1">
        <v>51.959999</v>
      </c>
      <c r="C18" s="1">
        <v>51.959999</v>
      </c>
      <c r="D18" s="1">
        <v>49.18</v>
      </c>
      <c r="E18" s="1">
        <v>49.990002</v>
      </c>
      <c r="F18" s="1">
        <v>47.371365</v>
      </c>
      <c r="G18" s="1">
        <v>4.06269E7</v>
      </c>
      <c r="I18" s="1">
        <f t="shared" si="1"/>
        <v>-0.006360639876</v>
      </c>
      <c r="J18" s="1">
        <v>0.006</v>
      </c>
      <c r="K18" s="1">
        <f t="shared" si="2"/>
        <v>-0.01236063988</v>
      </c>
      <c r="L18" s="1">
        <f t="shared" si="3"/>
        <v>-1.236063988</v>
      </c>
      <c r="M18" s="1">
        <v>9.34</v>
      </c>
    </row>
    <row r="19" ht="15.75" customHeight="1">
      <c r="A19" s="7">
        <v>43915.0</v>
      </c>
      <c r="B19" s="1">
        <v>49.360001</v>
      </c>
      <c r="C19" s="1">
        <v>51.91</v>
      </c>
      <c r="D19" s="1">
        <v>48.84</v>
      </c>
      <c r="E19" s="1">
        <v>49.939999</v>
      </c>
      <c r="F19" s="1">
        <v>47.323986</v>
      </c>
      <c r="G19" s="1">
        <v>3.85513E7</v>
      </c>
      <c r="I19" s="1">
        <f t="shared" si="1"/>
        <v>-0.001000161173</v>
      </c>
      <c r="J19" s="1">
        <v>0.006</v>
      </c>
      <c r="K19" s="1">
        <f t="shared" si="2"/>
        <v>-0.007000161173</v>
      </c>
      <c r="L19" s="1">
        <f t="shared" si="3"/>
        <v>-0.7000161173</v>
      </c>
      <c r="M19" s="1">
        <v>1.18</v>
      </c>
    </row>
    <row r="20" ht="15.75" customHeight="1">
      <c r="A20" s="7">
        <v>43916.0</v>
      </c>
      <c r="B20" s="1">
        <v>49.59</v>
      </c>
      <c r="C20" s="1">
        <v>53.900002</v>
      </c>
      <c r="D20" s="1">
        <v>49.509998</v>
      </c>
      <c r="E20" s="1">
        <v>53.540001</v>
      </c>
      <c r="F20" s="1">
        <v>50.735405</v>
      </c>
      <c r="G20" s="1">
        <v>3.26109E7</v>
      </c>
      <c r="I20" s="1">
        <f t="shared" si="1"/>
        <v>0.07208646795</v>
      </c>
      <c r="J20" s="1">
        <v>0.006</v>
      </c>
      <c r="K20" s="1">
        <f t="shared" si="2"/>
        <v>0.06608646795</v>
      </c>
      <c r="L20" s="1">
        <f t="shared" si="3"/>
        <v>6.608646795</v>
      </c>
      <c r="M20" s="1">
        <v>6.02</v>
      </c>
    </row>
    <row r="21" ht="15.75" customHeight="1">
      <c r="A21" s="7">
        <v>43917.0</v>
      </c>
      <c r="B21" s="1">
        <v>52.150002</v>
      </c>
      <c r="C21" s="1">
        <v>53.84</v>
      </c>
      <c r="D21" s="1">
        <v>51.540001</v>
      </c>
      <c r="E21" s="1">
        <v>52.77</v>
      </c>
      <c r="F21" s="1">
        <v>50.005741</v>
      </c>
      <c r="G21" s="1">
        <v>2.53636E7</v>
      </c>
      <c r="I21" s="1">
        <f t="shared" si="1"/>
        <v>-0.01438175176</v>
      </c>
      <c r="J21" s="1">
        <v>0.006</v>
      </c>
      <c r="K21" s="1">
        <f t="shared" si="2"/>
        <v>-0.02038175176</v>
      </c>
      <c r="L21" s="1">
        <f t="shared" si="3"/>
        <v>-2.038175176</v>
      </c>
      <c r="M21" s="1">
        <v>-3.48</v>
      </c>
    </row>
    <row r="22" ht="15.75" customHeight="1">
      <c r="A22" s="7">
        <v>43920.0</v>
      </c>
      <c r="B22" s="1">
        <v>53.490002</v>
      </c>
      <c r="C22" s="1">
        <v>55.029999</v>
      </c>
      <c r="D22" s="1">
        <v>52.939999</v>
      </c>
      <c r="E22" s="1">
        <v>54.77</v>
      </c>
      <c r="F22" s="1">
        <v>51.900974</v>
      </c>
      <c r="G22" s="1">
        <v>2.06602E7</v>
      </c>
      <c r="I22" s="1">
        <f t="shared" si="1"/>
        <v>0.03790030829</v>
      </c>
      <c r="J22" s="1">
        <v>0.006</v>
      </c>
      <c r="K22" s="1">
        <f t="shared" si="2"/>
        <v>0.03190030829</v>
      </c>
      <c r="L22" s="1">
        <f t="shared" si="3"/>
        <v>3.190030829</v>
      </c>
      <c r="M22" s="1">
        <v>3.16</v>
      </c>
    </row>
    <row r="23" ht="15.75" customHeight="1">
      <c r="A23" s="7">
        <v>43921.0</v>
      </c>
      <c r="B23" s="1">
        <v>54.07</v>
      </c>
      <c r="C23" s="1">
        <v>54.540001</v>
      </c>
      <c r="D23" s="1">
        <v>53.549999</v>
      </c>
      <c r="E23" s="1">
        <v>53.73</v>
      </c>
      <c r="F23" s="1">
        <v>50.915455</v>
      </c>
      <c r="G23" s="1">
        <v>2.12518E7</v>
      </c>
      <c r="I23" s="1">
        <f t="shared" si="1"/>
        <v>-0.01898844904</v>
      </c>
      <c r="J23" s="1">
        <v>0.006</v>
      </c>
      <c r="K23" s="1">
        <f t="shared" si="2"/>
        <v>-0.02498844904</v>
      </c>
      <c r="L23" s="1">
        <f t="shared" si="3"/>
        <v>-2.498844904</v>
      </c>
      <c r="M23" s="1">
        <v>-1.44</v>
      </c>
    </row>
    <row r="24" ht="15.75" customHeight="1">
      <c r="A24" s="7">
        <v>43922.0</v>
      </c>
      <c r="B24" s="1">
        <v>52.5</v>
      </c>
      <c r="C24" s="1">
        <v>53.450001</v>
      </c>
      <c r="D24" s="1">
        <v>52.16</v>
      </c>
      <c r="E24" s="1">
        <v>52.919998</v>
      </c>
      <c r="F24" s="1">
        <v>50.147881</v>
      </c>
      <c r="G24" s="1">
        <v>1.86726E7</v>
      </c>
      <c r="I24" s="1">
        <f t="shared" si="1"/>
        <v>-0.01507546186</v>
      </c>
      <c r="J24" s="1">
        <v>0.0</v>
      </c>
      <c r="K24" s="1">
        <f t="shared" si="2"/>
        <v>-0.01507546186</v>
      </c>
      <c r="L24" s="1">
        <f t="shared" si="3"/>
        <v>-1.507546186</v>
      </c>
      <c r="M24" s="1">
        <v>-4.51</v>
      </c>
    </row>
    <row r="25" ht="15.75" customHeight="1">
      <c r="A25" s="7">
        <v>43923.0</v>
      </c>
      <c r="B25" s="1">
        <v>53.560001</v>
      </c>
      <c r="C25" s="1">
        <v>55.5</v>
      </c>
      <c r="D25" s="1">
        <v>53.09</v>
      </c>
      <c r="E25" s="1">
        <v>55.25</v>
      </c>
      <c r="F25" s="1">
        <v>52.355827</v>
      </c>
      <c r="G25" s="1">
        <v>2.01594E7</v>
      </c>
      <c r="I25" s="1">
        <f t="shared" si="1"/>
        <v>0.04402869984</v>
      </c>
      <c r="J25" s="1">
        <v>0.0</v>
      </c>
      <c r="K25" s="1">
        <f t="shared" si="2"/>
        <v>0.04402869984</v>
      </c>
      <c r="L25" s="1">
        <f t="shared" si="3"/>
        <v>4.402869984</v>
      </c>
      <c r="M25" s="1">
        <v>2.1</v>
      </c>
    </row>
    <row r="26" ht="15.75" customHeight="1">
      <c r="A26" s="7">
        <v>43924.0</v>
      </c>
      <c r="B26" s="1">
        <v>55.0</v>
      </c>
      <c r="C26" s="1">
        <v>55.240002</v>
      </c>
      <c r="D26" s="1">
        <v>54.279999</v>
      </c>
      <c r="E26" s="1">
        <v>54.700001</v>
      </c>
      <c r="F26" s="1">
        <v>51.834644</v>
      </c>
      <c r="G26" s="1">
        <v>1.76125E7</v>
      </c>
      <c r="I26" s="1">
        <f t="shared" si="1"/>
        <v>-0.009954632175</v>
      </c>
      <c r="J26" s="1">
        <v>0.0</v>
      </c>
      <c r="K26" s="1">
        <f t="shared" si="2"/>
        <v>-0.009954632175</v>
      </c>
      <c r="L26" s="1">
        <f t="shared" si="3"/>
        <v>-0.9954632175</v>
      </c>
      <c r="M26" s="1">
        <v>-1.64</v>
      </c>
    </row>
    <row r="27" ht="15.75" customHeight="1">
      <c r="A27" s="7">
        <v>43927.0</v>
      </c>
      <c r="B27" s="1">
        <v>55.77</v>
      </c>
      <c r="C27" s="1">
        <v>56.939999</v>
      </c>
      <c r="D27" s="1">
        <v>54.98</v>
      </c>
      <c r="E27" s="1">
        <v>56.700001</v>
      </c>
      <c r="F27" s="1">
        <v>53.729877</v>
      </c>
      <c r="G27" s="1">
        <v>2.02844E7</v>
      </c>
      <c r="I27" s="1">
        <f t="shared" si="1"/>
        <v>0.03656305617</v>
      </c>
      <c r="J27" s="1">
        <v>0.0</v>
      </c>
      <c r="K27" s="1">
        <f t="shared" si="2"/>
        <v>0.03656305617</v>
      </c>
      <c r="L27" s="1">
        <f t="shared" si="3"/>
        <v>3.656305617</v>
      </c>
      <c r="M27" s="1">
        <v>7.06</v>
      </c>
    </row>
    <row r="28" ht="15.75" customHeight="1">
      <c r="A28" s="7">
        <v>43928.0</v>
      </c>
      <c r="B28" s="1">
        <v>57.040001</v>
      </c>
      <c r="C28" s="1">
        <v>57.880001</v>
      </c>
      <c r="D28" s="1">
        <v>56.41</v>
      </c>
      <c r="E28" s="1">
        <v>56.98</v>
      </c>
      <c r="F28" s="1">
        <v>53.995205</v>
      </c>
      <c r="G28" s="1">
        <v>2.1786E7</v>
      </c>
      <c r="I28" s="1">
        <f t="shared" si="1"/>
        <v>0.004938183648</v>
      </c>
      <c r="J28" s="1">
        <v>0.0</v>
      </c>
      <c r="K28" s="1">
        <f t="shared" si="2"/>
        <v>0.004938183648</v>
      </c>
      <c r="L28" s="1">
        <f t="shared" si="3"/>
        <v>0.4938183648</v>
      </c>
      <c r="M28" s="1">
        <v>-0.11</v>
      </c>
    </row>
    <row r="29" ht="15.75" customHeight="1">
      <c r="A29" s="7">
        <v>43929.0</v>
      </c>
      <c r="B29" s="1">
        <v>57.259998</v>
      </c>
      <c r="C29" s="1">
        <v>58.02</v>
      </c>
      <c r="D29" s="1">
        <v>56.619999</v>
      </c>
      <c r="E29" s="1">
        <v>57.799999</v>
      </c>
      <c r="F29" s="1">
        <v>54.772251</v>
      </c>
      <c r="G29" s="1">
        <v>1.82342E7</v>
      </c>
      <c r="I29" s="1">
        <f t="shared" si="1"/>
        <v>0.01439101861</v>
      </c>
      <c r="J29" s="1">
        <v>0.0</v>
      </c>
      <c r="K29" s="1">
        <f t="shared" si="2"/>
        <v>0.01439101861</v>
      </c>
      <c r="L29" s="1">
        <f t="shared" si="3"/>
        <v>1.439101861</v>
      </c>
      <c r="M29" s="1">
        <v>3.4</v>
      </c>
    </row>
    <row r="30" ht="15.75" customHeight="1">
      <c r="A30" s="7">
        <v>43930.0</v>
      </c>
      <c r="B30" s="1">
        <v>56.91</v>
      </c>
      <c r="C30" s="1">
        <v>58.099998</v>
      </c>
      <c r="D30" s="1">
        <v>56.880001</v>
      </c>
      <c r="E30" s="1">
        <v>57.439999</v>
      </c>
      <c r="F30" s="1">
        <v>55.016495</v>
      </c>
      <c r="G30" s="1">
        <v>1.96939E7</v>
      </c>
      <c r="I30" s="1">
        <f t="shared" si="1"/>
        <v>0.004459265331</v>
      </c>
      <c r="J30" s="1">
        <v>0.0</v>
      </c>
      <c r="K30" s="1">
        <f t="shared" si="2"/>
        <v>0.004459265331</v>
      </c>
      <c r="L30" s="1">
        <f t="shared" si="3"/>
        <v>0.4459265331</v>
      </c>
      <c r="M30" s="1">
        <v>1.59</v>
      </c>
    </row>
    <row r="31" ht="15.75" customHeight="1">
      <c r="A31" s="7">
        <v>43934.0</v>
      </c>
      <c r="B31" s="1">
        <v>57.389999</v>
      </c>
      <c r="C31" s="1">
        <v>57.599998</v>
      </c>
      <c r="D31" s="1">
        <v>56.360001</v>
      </c>
      <c r="E31" s="1">
        <v>56.669998</v>
      </c>
      <c r="F31" s="1">
        <v>54.278984</v>
      </c>
      <c r="G31" s="1">
        <v>1.29777E7</v>
      </c>
      <c r="I31" s="1">
        <f t="shared" si="1"/>
        <v>-0.01340527055</v>
      </c>
      <c r="J31" s="1">
        <v>0.0</v>
      </c>
      <c r="K31" s="1">
        <f t="shared" si="2"/>
        <v>-0.01340527055</v>
      </c>
      <c r="L31" s="1">
        <f t="shared" si="3"/>
        <v>-1.340527055</v>
      </c>
      <c r="M31" s="1">
        <v>-0.92</v>
      </c>
    </row>
    <row r="32" ht="15.75" customHeight="1">
      <c r="A32" s="7">
        <v>43935.0</v>
      </c>
      <c r="B32" s="1">
        <v>57.310001</v>
      </c>
      <c r="C32" s="1">
        <v>58.400002</v>
      </c>
      <c r="D32" s="1">
        <v>56.959999</v>
      </c>
      <c r="E32" s="1">
        <v>58.139999</v>
      </c>
      <c r="F32" s="1">
        <v>55.686962</v>
      </c>
      <c r="G32" s="1">
        <v>1.67656E7</v>
      </c>
      <c r="I32" s="1">
        <f t="shared" si="1"/>
        <v>0.02593965281</v>
      </c>
      <c r="J32" s="1">
        <v>0.0</v>
      </c>
      <c r="K32" s="1">
        <f t="shared" si="2"/>
        <v>0.02593965281</v>
      </c>
      <c r="L32" s="1">
        <f t="shared" si="3"/>
        <v>2.593965281</v>
      </c>
      <c r="M32" s="1">
        <v>3.02</v>
      </c>
    </row>
    <row r="33" ht="15.75" customHeight="1">
      <c r="A33" s="7">
        <v>43936.0</v>
      </c>
      <c r="B33" s="1">
        <v>57.560001</v>
      </c>
      <c r="C33" s="1">
        <v>58.009998</v>
      </c>
      <c r="D33" s="1">
        <v>56.709999</v>
      </c>
      <c r="E33" s="1">
        <v>56.93</v>
      </c>
      <c r="F33" s="1">
        <v>54.528015</v>
      </c>
      <c r="G33" s="1">
        <v>1.83728E7</v>
      </c>
      <c r="I33" s="1">
        <f t="shared" si="1"/>
        <v>-0.02081181947</v>
      </c>
      <c r="J33" s="1">
        <v>0.0</v>
      </c>
      <c r="K33" s="1">
        <f t="shared" si="2"/>
        <v>-0.02081181947</v>
      </c>
      <c r="L33" s="1">
        <f t="shared" si="3"/>
        <v>-2.081181947</v>
      </c>
      <c r="M33" s="1">
        <v>-2.15</v>
      </c>
    </row>
    <row r="34" ht="15.75" customHeight="1">
      <c r="A34" s="7">
        <v>43937.0</v>
      </c>
      <c r="B34" s="1">
        <v>57.290001</v>
      </c>
      <c r="C34" s="1">
        <v>58.0</v>
      </c>
      <c r="D34" s="1">
        <v>56.849998</v>
      </c>
      <c r="E34" s="1">
        <v>57.66</v>
      </c>
      <c r="F34" s="1">
        <v>55.227219</v>
      </c>
      <c r="G34" s="1">
        <v>1.78258E7</v>
      </c>
      <c r="I34" s="1">
        <f t="shared" si="1"/>
        <v>0.01282283978</v>
      </c>
      <c r="J34" s="1">
        <v>0.0</v>
      </c>
      <c r="K34" s="1">
        <f t="shared" si="2"/>
        <v>0.01282283978</v>
      </c>
      <c r="L34" s="1">
        <f t="shared" si="3"/>
        <v>1.282283978</v>
      </c>
      <c r="M34" s="1">
        <v>0.62</v>
      </c>
    </row>
    <row r="35" ht="15.75" customHeight="1">
      <c r="A35" s="7">
        <v>43938.0</v>
      </c>
      <c r="B35" s="1">
        <v>58.060001</v>
      </c>
      <c r="C35" s="1">
        <v>58.68</v>
      </c>
      <c r="D35" s="1">
        <v>57.740002</v>
      </c>
      <c r="E35" s="1">
        <v>58.459999</v>
      </c>
      <c r="F35" s="1">
        <v>55.993462</v>
      </c>
      <c r="G35" s="1">
        <v>1.50543E7</v>
      </c>
      <c r="I35" s="1">
        <f t="shared" si="1"/>
        <v>0.01387437235</v>
      </c>
      <c r="J35" s="1">
        <v>0.0</v>
      </c>
      <c r="K35" s="1">
        <f t="shared" si="2"/>
        <v>0.01387437235</v>
      </c>
      <c r="L35" s="1">
        <f t="shared" si="3"/>
        <v>1.387437235</v>
      </c>
      <c r="M35" s="1">
        <v>2.72</v>
      </c>
    </row>
    <row r="36" ht="15.75" customHeight="1">
      <c r="A36" s="7">
        <v>43941.0</v>
      </c>
      <c r="B36" s="1">
        <v>58.099998</v>
      </c>
      <c r="C36" s="1">
        <v>58.91</v>
      </c>
      <c r="D36" s="1">
        <v>57.959999</v>
      </c>
      <c r="E36" s="1">
        <v>58.130001</v>
      </c>
      <c r="F36" s="1">
        <v>55.677387</v>
      </c>
      <c r="G36" s="1">
        <v>1.40022E7</v>
      </c>
      <c r="I36" s="1">
        <f t="shared" si="1"/>
        <v>-0.005644855465</v>
      </c>
      <c r="J36" s="1">
        <v>0.0</v>
      </c>
      <c r="K36" s="1">
        <f t="shared" si="2"/>
        <v>-0.005644855465</v>
      </c>
      <c r="L36" s="1">
        <f t="shared" si="3"/>
        <v>-0.5644855465</v>
      </c>
      <c r="M36" s="1">
        <v>-1.56</v>
      </c>
    </row>
    <row r="37" ht="15.75" customHeight="1">
      <c r="A37" s="7">
        <v>43942.0</v>
      </c>
      <c r="B37" s="1">
        <v>57.389999</v>
      </c>
      <c r="C37" s="1">
        <v>58.040001</v>
      </c>
      <c r="D37" s="1">
        <v>56.720001</v>
      </c>
      <c r="E37" s="1">
        <v>56.82</v>
      </c>
      <c r="F37" s="1">
        <v>54.422653</v>
      </c>
      <c r="G37" s="1">
        <v>1.42345E7</v>
      </c>
      <c r="I37" s="1">
        <f t="shared" si="1"/>
        <v>-0.02253579177</v>
      </c>
      <c r="J37" s="1">
        <v>0.0</v>
      </c>
      <c r="K37" s="1">
        <f t="shared" si="2"/>
        <v>-0.02253579177</v>
      </c>
      <c r="L37" s="1">
        <f t="shared" si="3"/>
        <v>-2.253579177</v>
      </c>
      <c r="M37" s="1">
        <v>-3.08</v>
      </c>
    </row>
    <row r="38" ht="15.75" customHeight="1">
      <c r="A38" s="7">
        <v>43943.0</v>
      </c>
      <c r="B38" s="1">
        <v>57.41</v>
      </c>
      <c r="C38" s="1">
        <v>58.57</v>
      </c>
      <c r="D38" s="1">
        <v>57.23</v>
      </c>
      <c r="E38" s="1">
        <v>57.990002</v>
      </c>
      <c r="F38" s="1">
        <v>55.543293</v>
      </c>
      <c r="G38" s="1">
        <v>1.27032E7</v>
      </c>
      <c r="I38" s="1">
        <f t="shared" si="1"/>
        <v>0.02059142541</v>
      </c>
      <c r="J38" s="1">
        <v>0.0</v>
      </c>
      <c r="K38" s="1">
        <f t="shared" si="2"/>
        <v>0.02059142541</v>
      </c>
      <c r="L38" s="1">
        <f t="shared" si="3"/>
        <v>2.059142541</v>
      </c>
      <c r="M38" s="1">
        <v>2.31</v>
      </c>
    </row>
    <row r="39" ht="15.75" customHeight="1">
      <c r="A39" s="7">
        <v>43944.0</v>
      </c>
      <c r="B39" s="1">
        <v>58.119999</v>
      </c>
      <c r="C39" s="1">
        <v>58.66</v>
      </c>
      <c r="D39" s="1">
        <v>57.470001</v>
      </c>
      <c r="E39" s="1">
        <v>57.59</v>
      </c>
      <c r="F39" s="1">
        <v>55.160168</v>
      </c>
      <c r="G39" s="1">
        <v>1.56844E7</v>
      </c>
      <c r="I39" s="1">
        <f t="shared" si="1"/>
        <v>-0.006897772518</v>
      </c>
      <c r="J39" s="1">
        <v>0.0</v>
      </c>
      <c r="K39" s="1">
        <f t="shared" si="2"/>
        <v>-0.006897772518</v>
      </c>
      <c r="L39" s="1">
        <f t="shared" si="3"/>
        <v>-0.6897772518</v>
      </c>
      <c r="M39" s="1">
        <v>0.13</v>
      </c>
    </row>
    <row r="40" ht="15.75" customHeight="1">
      <c r="A40" s="7">
        <v>43945.0</v>
      </c>
      <c r="B40" s="1">
        <v>57.639999</v>
      </c>
      <c r="C40" s="1">
        <v>57.990002</v>
      </c>
      <c r="D40" s="1">
        <v>56.830002</v>
      </c>
      <c r="E40" s="1">
        <v>57.93</v>
      </c>
      <c r="F40" s="1">
        <v>55.485821</v>
      </c>
      <c r="G40" s="1">
        <v>1.53736E7</v>
      </c>
      <c r="I40" s="1">
        <f t="shared" si="1"/>
        <v>0.005903770996</v>
      </c>
      <c r="J40" s="1">
        <v>0.0</v>
      </c>
      <c r="K40" s="1">
        <f t="shared" si="2"/>
        <v>0.005903770996</v>
      </c>
      <c r="L40" s="1">
        <f t="shared" si="3"/>
        <v>0.5903770996</v>
      </c>
      <c r="M40" s="1">
        <v>1.44</v>
      </c>
    </row>
    <row r="41" ht="15.75" customHeight="1">
      <c r="A41" s="7">
        <v>43948.0</v>
      </c>
      <c r="B41" s="1">
        <v>57.93</v>
      </c>
      <c r="C41" s="1">
        <v>58.290001</v>
      </c>
      <c r="D41" s="1">
        <v>57.200001</v>
      </c>
      <c r="E41" s="1">
        <v>57.810001</v>
      </c>
      <c r="F41" s="1">
        <v>55.370884</v>
      </c>
      <c r="G41" s="1">
        <v>1.60501E7</v>
      </c>
      <c r="I41" s="1">
        <f t="shared" si="1"/>
        <v>-0.00207146615</v>
      </c>
      <c r="J41" s="1">
        <v>0.0</v>
      </c>
      <c r="K41" s="1">
        <f t="shared" si="2"/>
        <v>-0.00207146615</v>
      </c>
      <c r="L41" s="1">
        <f t="shared" si="3"/>
        <v>-0.207146615</v>
      </c>
      <c r="M41" s="1">
        <v>1.73</v>
      </c>
    </row>
    <row r="42" ht="15.75" customHeight="1">
      <c r="A42" s="7">
        <v>43949.0</v>
      </c>
      <c r="B42" s="1">
        <v>57.82</v>
      </c>
      <c r="C42" s="1">
        <v>58.380001</v>
      </c>
      <c r="D42" s="1">
        <v>57.619999</v>
      </c>
      <c r="E42" s="1">
        <v>57.830002</v>
      </c>
      <c r="F42" s="1">
        <v>55.390041</v>
      </c>
      <c r="G42" s="1">
        <v>1.33926E7</v>
      </c>
      <c r="I42" s="1">
        <f t="shared" si="1"/>
        <v>0.0003459760549</v>
      </c>
      <c r="J42" s="1">
        <v>0.0</v>
      </c>
      <c r="K42" s="1">
        <f t="shared" si="2"/>
        <v>0.0003459760549</v>
      </c>
      <c r="L42" s="1">
        <f t="shared" si="3"/>
        <v>0.03459760549</v>
      </c>
      <c r="M42" s="1">
        <v>-0.45</v>
      </c>
    </row>
    <row r="43" ht="15.75" customHeight="1">
      <c r="A43" s="7">
        <v>43950.0</v>
      </c>
      <c r="B43" s="1">
        <v>58.380001</v>
      </c>
      <c r="C43" s="1">
        <v>58.599998</v>
      </c>
      <c r="D43" s="1">
        <v>57.700001</v>
      </c>
      <c r="E43" s="1">
        <v>58.119999</v>
      </c>
      <c r="F43" s="1">
        <v>55.667809</v>
      </c>
      <c r="G43" s="1">
        <v>1.78181E7</v>
      </c>
      <c r="I43" s="1">
        <f t="shared" si="1"/>
        <v>0.005014764297</v>
      </c>
      <c r="J43" s="1">
        <v>0.0</v>
      </c>
      <c r="K43" s="1">
        <f t="shared" si="2"/>
        <v>0.005014764297</v>
      </c>
      <c r="L43" s="1">
        <f t="shared" si="3"/>
        <v>0.5014764297</v>
      </c>
      <c r="M43" s="1">
        <v>2.92</v>
      </c>
    </row>
    <row r="44" ht="15.75" customHeight="1">
      <c r="A44" s="7">
        <v>43951.0</v>
      </c>
      <c r="B44" s="1">
        <v>57.830002</v>
      </c>
      <c r="C44" s="1">
        <v>57.959999</v>
      </c>
      <c r="D44" s="1">
        <v>57.209999</v>
      </c>
      <c r="E44" s="1">
        <v>57.450001</v>
      </c>
      <c r="F44" s="1">
        <v>55.026073</v>
      </c>
      <c r="G44" s="1">
        <v>1.75324E7</v>
      </c>
      <c r="I44" s="1">
        <f t="shared" si="1"/>
        <v>-0.01152795505</v>
      </c>
      <c r="J44" s="1">
        <v>0.0</v>
      </c>
      <c r="K44" s="1">
        <f t="shared" si="2"/>
        <v>-0.01152795505</v>
      </c>
      <c r="L44" s="1">
        <f t="shared" si="3"/>
        <v>-1.152795505</v>
      </c>
      <c r="M44" s="1">
        <v>-1.18</v>
      </c>
    </row>
    <row r="45" ht="15.75" customHeight="1">
      <c r="A45" s="7">
        <v>43952.0</v>
      </c>
      <c r="B45" s="1">
        <v>57.759998</v>
      </c>
      <c r="C45" s="1">
        <v>57.790001</v>
      </c>
      <c r="D45" s="1">
        <v>56.529999</v>
      </c>
      <c r="E45" s="1">
        <v>56.830002</v>
      </c>
      <c r="F45" s="1">
        <v>54.432232</v>
      </c>
      <c r="G45" s="1">
        <v>1.38574E7</v>
      </c>
      <c r="I45" s="1">
        <f t="shared" si="1"/>
        <v>-0.0107919931</v>
      </c>
      <c r="J45" s="1">
        <v>0.0</v>
      </c>
      <c r="K45" s="1">
        <f t="shared" si="2"/>
        <v>-0.0107919931</v>
      </c>
      <c r="L45" s="1">
        <f t="shared" si="3"/>
        <v>-1.07919931</v>
      </c>
      <c r="M45" s="1">
        <v>-2.91</v>
      </c>
    </row>
    <row r="46" ht="15.75" customHeight="1">
      <c r="A46" s="7">
        <v>43955.0</v>
      </c>
      <c r="B46" s="1">
        <v>56.849998</v>
      </c>
      <c r="C46" s="1">
        <v>57.029999</v>
      </c>
      <c r="D46" s="1">
        <v>55.799999</v>
      </c>
      <c r="E46" s="1">
        <v>56.240002</v>
      </c>
      <c r="F46" s="1">
        <v>53.86713</v>
      </c>
      <c r="G46" s="1">
        <v>1.18336E7</v>
      </c>
      <c r="I46" s="1">
        <f t="shared" si="1"/>
        <v>-0.01038175322</v>
      </c>
      <c r="J46" s="1">
        <v>0.0</v>
      </c>
      <c r="K46" s="1">
        <f t="shared" si="2"/>
        <v>-0.01038175322</v>
      </c>
      <c r="L46" s="1">
        <f t="shared" si="3"/>
        <v>-1.038175322</v>
      </c>
      <c r="M46" s="1">
        <v>0.53</v>
      </c>
    </row>
    <row r="47" ht="15.75" customHeight="1">
      <c r="A47" s="7">
        <v>43956.0</v>
      </c>
      <c r="B47" s="1">
        <v>56.0</v>
      </c>
      <c r="C47" s="1">
        <v>56.939999</v>
      </c>
      <c r="D47" s="1">
        <v>56.0</v>
      </c>
      <c r="E47" s="1">
        <v>56.509998</v>
      </c>
      <c r="F47" s="1">
        <v>54.125732</v>
      </c>
      <c r="G47" s="1">
        <v>1.09024E7</v>
      </c>
      <c r="I47" s="1">
        <f t="shared" si="1"/>
        <v>0.004800738409</v>
      </c>
      <c r="J47" s="1">
        <v>0.0</v>
      </c>
      <c r="K47" s="1">
        <f t="shared" si="2"/>
        <v>0.004800738409</v>
      </c>
      <c r="L47" s="1">
        <f t="shared" si="3"/>
        <v>0.4800738409</v>
      </c>
      <c r="M47" s="1">
        <v>0.95</v>
      </c>
    </row>
    <row r="48" ht="15.75" customHeight="1">
      <c r="A48" s="7">
        <v>43957.0</v>
      </c>
      <c r="B48" s="1">
        <v>56.360001</v>
      </c>
      <c r="C48" s="1">
        <v>56.66</v>
      </c>
      <c r="D48" s="1">
        <v>55.540001</v>
      </c>
      <c r="E48" s="1">
        <v>55.639999</v>
      </c>
      <c r="F48" s="1">
        <v>53.292442</v>
      </c>
      <c r="G48" s="1">
        <v>1.24604E7</v>
      </c>
      <c r="I48" s="1">
        <f t="shared" si="1"/>
        <v>-0.01539544999</v>
      </c>
      <c r="J48" s="1">
        <v>0.0</v>
      </c>
      <c r="K48" s="1">
        <f t="shared" si="2"/>
        <v>-0.01539544999</v>
      </c>
      <c r="L48" s="1">
        <f t="shared" si="3"/>
        <v>-1.539544999</v>
      </c>
      <c r="M48" s="1">
        <v>-0.52</v>
      </c>
    </row>
    <row r="49" ht="15.75" customHeight="1">
      <c r="A49" s="7">
        <v>43958.0</v>
      </c>
      <c r="B49" s="1">
        <v>56.099998</v>
      </c>
      <c r="C49" s="1">
        <v>56.150002</v>
      </c>
      <c r="D49" s="1">
        <v>55.18</v>
      </c>
      <c r="E49" s="1">
        <v>55.580002</v>
      </c>
      <c r="F49" s="1">
        <v>53.234974</v>
      </c>
      <c r="G49" s="1">
        <v>1.40831E7</v>
      </c>
      <c r="I49" s="1">
        <f t="shared" si="1"/>
        <v>-0.001078351786</v>
      </c>
      <c r="J49" s="1">
        <v>0.0</v>
      </c>
      <c r="K49" s="1">
        <f t="shared" si="2"/>
        <v>-0.001078351786</v>
      </c>
      <c r="L49" s="1">
        <f t="shared" si="3"/>
        <v>-0.1078351786</v>
      </c>
      <c r="M49" s="1">
        <v>1.33</v>
      </c>
    </row>
    <row r="50" ht="15.75" customHeight="1">
      <c r="A50" s="7">
        <v>43959.0</v>
      </c>
      <c r="B50" s="1">
        <v>56.220001</v>
      </c>
      <c r="C50" s="1">
        <v>57.029999</v>
      </c>
      <c r="D50" s="1">
        <v>56.029999</v>
      </c>
      <c r="E50" s="1">
        <v>57.0</v>
      </c>
      <c r="F50" s="1">
        <v>54.595062</v>
      </c>
      <c r="G50" s="1">
        <v>1.11003E7</v>
      </c>
      <c r="I50" s="1">
        <f t="shared" si="1"/>
        <v>0.025548768</v>
      </c>
      <c r="J50" s="1">
        <v>0.0</v>
      </c>
      <c r="K50" s="1">
        <f t="shared" si="2"/>
        <v>0.025548768</v>
      </c>
      <c r="L50" s="1">
        <f t="shared" si="3"/>
        <v>2.5548768</v>
      </c>
      <c r="M50" s="1">
        <v>1.9</v>
      </c>
    </row>
    <row r="51" ht="15.75" customHeight="1">
      <c r="A51" s="7">
        <v>43962.0</v>
      </c>
      <c r="B51" s="1">
        <v>56.869999</v>
      </c>
      <c r="C51" s="1">
        <v>56.91</v>
      </c>
      <c r="D51" s="1">
        <v>56.240002</v>
      </c>
      <c r="E51" s="1">
        <v>56.400002</v>
      </c>
      <c r="F51" s="1">
        <v>54.020374</v>
      </c>
      <c r="G51" s="1">
        <v>1.26368E7</v>
      </c>
      <c r="I51" s="1">
        <f t="shared" si="1"/>
        <v>-0.01052637325</v>
      </c>
      <c r="J51" s="1">
        <v>0.0</v>
      </c>
      <c r="K51" s="1">
        <f t="shared" si="2"/>
        <v>-0.01052637325</v>
      </c>
      <c r="L51" s="1">
        <f t="shared" si="3"/>
        <v>-1.052637325</v>
      </c>
      <c r="M51" s="1">
        <v>0.07</v>
      </c>
    </row>
    <row r="52" ht="15.75" customHeight="1">
      <c r="A52" s="7">
        <v>43963.0</v>
      </c>
      <c r="B52" s="1">
        <v>56.75</v>
      </c>
      <c r="C52" s="1">
        <v>56.75</v>
      </c>
      <c r="D52" s="1">
        <v>55.450001</v>
      </c>
      <c r="E52" s="1">
        <v>55.459999</v>
      </c>
      <c r="F52" s="1">
        <v>53.120033</v>
      </c>
      <c r="G52" s="1">
        <v>1.31177E7</v>
      </c>
      <c r="I52" s="1">
        <f t="shared" si="1"/>
        <v>-0.0166666932</v>
      </c>
      <c r="J52" s="1">
        <v>0.0</v>
      </c>
      <c r="K52" s="1">
        <f t="shared" si="2"/>
        <v>-0.0166666932</v>
      </c>
      <c r="L52" s="1">
        <f t="shared" si="3"/>
        <v>-1.66666932</v>
      </c>
      <c r="M52" s="1">
        <v>-2.06</v>
      </c>
    </row>
    <row r="53" ht="15.75" customHeight="1">
      <c r="A53" s="7">
        <v>43964.0</v>
      </c>
      <c r="B53" s="1">
        <v>55.16</v>
      </c>
      <c r="C53" s="1">
        <v>55.549999</v>
      </c>
      <c r="D53" s="1">
        <v>54.560001</v>
      </c>
      <c r="E53" s="1">
        <v>54.849998</v>
      </c>
      <c r="F53" s="1">
        <v>52.53577</v>
      </c>
      <c r="G53" s="1">
        <v>2.06045E7</v>
      </c>
      <c r="I53" s="1">
        <f t="shared" si="1"/>
        <v>-0.01099892012</v>
      </c>
      <c r="J53" s="1">
        <v>0.0</v>
      </c>
      <c r="K53" s="1">
        <f t="shared" si="2"/>
        <v>-0.01099892012</v>
      </c>
      <c r="L53" s="1">
        <f t="shared" si="3"/>
        <v>-1.099892012</v>
      </c>
      <c r="M53" s="1">
        <v>-1.89</v>
      </c>
    </row>
    <row r="54" ht="15.75" customHeight="1">
      <c r="A54" s="7">
        <v>43965.0</v>
      </c>
      <c r="B54" s="1">
        <v>54.5</v>
      </c>
      <c r="C54" s="1">
        <v>54.93</v>
      </c>
      <c r="D54" s="1">
        <v>53.849998</v>
      </c>
      <c r="E54" s="1">
        <v>54.91</v>
      </c>
      <c r="F54" s="1">
        <v>52.593239</v>
      </c>
      <c r="G54" s="1">
        <v>1.58592E7</v>
      </c>
      <c r="I54" s="1">
        <f t="shared" si="1"/>
        <v>0.001093902307</v>
      </c>
      <c r="J54" s="1">
        <v>0.0</v>
      </c>
      <c r="K54" s="1">
        <f t="shared" si="2"/>
        <v>0.001093902307</v>
      </c>
      <c r="L54" s="1">
        <f t="shared" si="3"/>
        <v>0.1093902307</v>
      </c>
      <c r="M54" s="1">
        <v>1.14</v>
      </c>
    </row>
    <row r="55" ht="15.75" customHeight="1">
      <c r="A55" s="7">
        <v>43966.0</v>
      </c>
      <c r="B55" s="1">
        <v>54.630001</v>
      </c>
      <c r="C55" s="1">
        <v>54.759998</v>
      </c>
      <c r="D55" s="1">
        <v>54.209999</v>
      </c>
      <c r="E55" s="1">
        <v>54.709999</v>
      </c>
      <c r="F55" s="1">
        <v>52.40168</v>
      </c>
      <c r="G55" s="1">
        <v>1.0174E7</v>
      </c>
      <c r="I55" s="1">
        <f t="shared" si="1"/>
        <v>-0.003642274247</v>
      </c>
      <c r="J55" s="1">
        <v>0.0</v>
      </c>
      <c r="K55" s="1">
        <f t="shared" si="2"/>
        <v>-0.003642274247</v>
      </c>
      <c r="L55" s="1">
        <f t="shared" si="3"/>
        <v>-0.3642274247</v>
      </c>
      <c r="M55" s="1">
        <v>0.57</v>
      </c>
    </row>
    <row r="56" ht="15.75" customHeight="1">
      <c r="A56" s="7">
        <v>43969.0</v>
      </c>
      <c r="B56" s="1">
        <v>55.650002</v>
      </c>
      <c r="C56" s="1">
        <v>56.200001</v>
      </c>
      <c r="D56" s="1">
        <v>55.040001</v>
      </c>
      <c r="E56" s="1">
        <v>55.720001</v>
      </c>
      <c r="F56" s="1">
        <v>53.369064</v>
      </c>
      <c r="G56" s="1">
        <v>1.57392E7</v>
      </c>
      <c r="I56" s="1">
        <f t="shared" si="1"/>
        <v>0.01846093484</v>
      </c>
      <c r="J56" s="1">
        <v>0.0</v>
      </c>
      <c r="K56" s="1">
        <f t="shared" si="2"/>
        <v>0.01846093484</v>
      </c>
      <c r="L56" s="1">
        <f t="shared" si="3"/>
        <v>1.846093484</v>
      </c>
      <c r="M56" s="1">
        <v>3.24</v>
      </c>
    </row>
    <row r="57" ht="15.75" customHeight="1">
      <c r="A57" s="7">
        <v>43970.0</v>
      </c>
      <c r="B57" s="1">
        <v>55.43</v>
      </c>
      <c r="C57" s="1">
        <v>55.549999</v>
      </c>
      <c r="D57" s="1">
        <v>54.32</v>
      </c>
      <c r="E57" s="1">
        <v>54.380001</v>
      </c>
      <c r="F57" s="1">
        <v>52.085606</v>
      </c>
      <c r="G57" s="1">
        <v>1.84671E7</v>
      </c>
      <c r="I57" s="1">
        <f t="shared" si="1"/>
        <v>-0.02404872606</v>
      </c>
      <c r="J57" s="1">
        <v>0.0</v>
      </c>
      <c r="K57" s="1">
        <f t="shared" si="2"/>
        <v>-0.02404872606</v>
      </c>
      <c r="L57" s="1">
        <f t="shared" si="3"/>
        <v>-2.404872606</v>
      </c>
      <c r="M57" s="1">
        <v>-1.01</v>
      </c>
    </row>
    <row r="58" ht="15.75" customHeight="1">
      <c r="A58" s="7">
        <v>43971.0</v>
      </c>
      <c r="B58" s="1">
        <v>54.540001</v>
      </c>
      <c r="C58" s="1">
        <v>54.900002</v>
      </c>
      <c r="D58" s="1">
        <v>54.049999</v>
      </c>
      <c r="E58" s="1">
        <v>54.259998</v>
      </c>
      <c r="F58" s="1">
        <v>51.970665</v>
      </c>
      <c r="G58" s="1">
        <v>2.14054E7</v>
      </c>
      <c r="I58" s="1">
        <f t="shared" si="1"/>
        <v>-0.002206770907</v>
      </c>
      <c r="J58" s="1">
        <v>0.0</v>
      </c>
      <c r="K58" s="1">
        <f t="shared" si="2"/>
        <v>-0.002206770907</v>
      </c>
      <c r="L58" s="1">
        <f t="shared" si="3"/>
        <v>-0.2206770907</v>
      </c>
      <c r="M58" s="1">
        <v>1.8</v>
      </c>
    </row>
    <row r="59" ht="15.75" customHeight="1">
      <c r="A59" s="7">
        <v>43972.0</v>
      </c>
      <c r="B59" s="1">
        <v>54.43</v>
      </c>
      <c r="C59" s="1">
        <v>54.639999</v>
      </c>
      <c r="D59" s="1">
        <v>53.860001</v>
      </c>
      <c r="E59" s="1">
        <v>53.970001</v>
      </c>
      <c r="F59" s="1">
        <v>51.692902</v>
      </c>
      <c r="G59" s="1">
        <v>1.8201E7</v>
      </c>
      <c r="I59" s="1">
        <f t="shared" si="1"/>
        <v>-0.005344611234</v>
      </c>
      <c r="J59" s="1">
        <v>0.0</v>
      </c>
      <c r="K59" s="1">
        <f t="shared" si="2"/>
        <v>-0.005344611234</v>
      </c>
      <c r="L59" s="1">
        <f t="shared" si="3"/>
        <v>-0.5344611234</v>
      </c>
      <c r="M59" s="1">
        <v>-0.7</v>
      </c>
    </row>
    <row r="60" ht="15.75" customHeight="1">
      <c r="A60" s="7">
        <v>43973.0</v>
      </c>
      <c r="B60" s="1">
        <v>53.959999</v>
      </c>
      <c r="C60" s="1">
        <v>54.290001</v>
      </c>
      <c r="D60" s="1">
        <v>53.669998</v>
      </c>
      <c r="E60" s="1">
        <v>54.099998</v>
      </c>
      <c r="F60" s="1">
        <v>51.817413</v>
      </c>
      <c r="G60" s="1">
        <v>1.996E7</v>
      </c>
      <c r="I60" s="1">
        <f t="shared" si="1"/>
        <v>0.002408667248</v>
      </c>
      <c r="J60" s="1">
        <v>0.0</v>
      </c>
      <c r="K60" s="1">
        <f t="shared" si="2"/>
        <v>0.002408667248</v>
      </c>
      <c r="L60" s="1">
        <f t="shared" si="3"/>
        <v>0.2408667248</v>
      </c>
      <c r="M60" s="1">
        <v>0.27</v>
      </c>
    </row>
    <row r="61" ht="15.75" customHeight="1">
      <c r="A61" s="7">
        <v>43977.0</v>
      </c>
      <c r="B61" s="1">
        <v>54.900002</v>
      </c>
      <c r="C61" s="1">
        <v>55.25</v>
      </c>
      <c r="D61" s="1">
        <v>54.18</v>
      </c>
      <c r="E61" s="1">
        <v>54.299999</v>
      </c>
      <c r="F61" s="1">
        <v>52.008976</v>
      </c>
      <c r="G61" s="1">
        <v>2.08305E7</v>
      </c>
      <c r="I61" s="1">
        <f t="shared" si="1"/>
        <v>0.003696884675</v>
      </c>
      <c r="J61" s="1">
        <v>0.0</v>
      </c>
      <c r="K61" s="1">
        <f t="shared" si="2"/>
        <v>0.003696884675</v>
      </c>
      <c r="L61" s="1">
        <f t="shared" si="3"/>
        <v>0.3696884675</v>
      </c>
      <c r="M61" s="1">
        <v>1.23</v>
      </c>
    </row>
    <row r="62" ht="15.75" customHeight="1">
      <c r="A62" s="7">
        <v>43978.0</v>
      </c>
      <c r="B62" s="1">
        <v>54.610001</v>
      </c>
      <c r="C62" s="1">
        <v>55.220001</v>
      </c>
      <c r="D62" s="1">
        <v>54.43</v>
      </c>
      <c r="E62" s="1">
        <v>55.139999</v>
      </c>
      <c r="F62" s="1">
        <v>52.813538</v>
      </c>
      <c r="G62" s="1">
        <v>1.70638E7</v>
      </c>
      <c r="I62" s="1">
        <f t="shared" si="1"/>
        <v>0.01546967585</v>
      </c>
      <c r="J62" s="1">
        <v>0.0</v>
      </c>
      <c r="K62" s="1">
        <f t="shared" si="2"/>
        <v>0.01546967585</v>
      </c>
      <c r="L62" s="1">
        <f t="shared" si="3"/>
        <v>1.546967585</v>
      </c>
      <c r="M62" s="1">
        <v>1.54</v>
      </c>
    </row>
    <row r="63" ht="15.75" customHeight="1">
      <c r="A63" s="7">
        <v>43979.0</v>
      </c>
      <c r="B63" s="1">
        <v>55.580002</v>
      </c>
      <c r="C63" s="1">
        <v>55.790001</v>
      </c>
      <c r="D63" s="1">
        <v>55.16</v>
      </c>
      <c r="E63" s="1">
        <v>55.720001</v>
      </c>
      <c r="F63" s="1">
        <v>53.369064</v>
      </c>
      <c r="G63" s="1">
        <v>1.54279E7</v>
      </c>
      <c r="I63" s="1">
        <f t="shared" si="1"/>
        <v>0.01051862877</v>
      </c>
      <c r="J63" s="1">
        <v>0.0</v>
      </c>
      <c r="K63" s="1">
        <f t="shared" si="2"/>
        <v>0.01051862877</v>
      </c>
      <c r="L63" s="1">
        <f t="shared" si="3"/>
        <v>1.051862877</v>
      </c>
      <c r="M63" s="1">
        <v>-0.41</v>
      </c>
    </row>
    <row r="64" ht="15.75" customHeight="1">
      <c r="A64" s="7">
        <v>43980.0</v>
      </c>
      <c r="B64" s="1">
        <v>55.330002</v>
      </c>
      <c r="C64" s="1">
        <v>57.790001</v>
      </c>
      <c r="D64" s="1">
        <v>54.889999</v>
      </c>
      <c r="E64" s="1">
        <v>57.380001</v>
      </c>
      <c r="F64" s="1">
        <v>54.959026</v>
      </c>
      <c r="G64" s="1">
        <v>3.42558E7</v>
      </c>
      <c r="I64" s="1">
        <f t="shared" si="1"/>
        <v>0.02979182846</v>
      </c>
      <c r="J64" s="1">
        <v>0.0</v>
      </c>
      <c r="K64" s="1">
        <f t="shared" si="2"/>
        <v>0.02979182846</v>
      </c>
      <c r="L64" s="1">
        <f t="shared" si="3"/>
        <v>2.979182846</v>
      </c>
      <c r="M64" s="1">
        <v>0.6</v>
      </c>
    </row>
    <row r="65" ht="15.75" customHeight="1">
      <c r="A65" s="7">
        <v>43983.0</v>
      </c>
      <c r="B65" s="1">
        <v>56.700001</v>
      </c>
      <c r="C65" s="1">
        <v>56.900002</v>
      </c>
      <c r="D65" s="1">
        <v>55.75</v>
      </c>
      <c r="E65" s="1">
        <v>55.779999</v>
      </c>
      <c r="F65" s="1">
        <v>53.426537</v>
      </c>
      <c r="G65" s="1">
        <v>1.81561E7</v>
      </c>
      <c r="I65" s="1">
        <f t="shared" si="1"/>
        <v>-0.02788420959</v>
      </c>
      <c r="J65" s="1">
        <v>0.0</v>
      </c>
      <c r="K65" s="1">
        <f t="shared" si="2"/>
        <v>-0.02788420959</v>
      </c>
      <c r="L65" s="1">
        <f t="shared" si="3"/>
        <v>-2.788420959</v>
      </c>
      <c r="M65" s="1">
        <v>0.52</v>
      </c>
    </row>
    <row r="66" ht="15.75" customHeight="1">
      <c r="A66" s="7">
        <v>43984.0</v>
      </c>
      <c r="B66" s="1">
        <v>55.82</v>
      </c>
      <c r="C66" s="1">
        <v>56.459999</v>
      </c>
      <c r="D66" s="1">
        <v>55.540001</v>
      </c>
      <c r="E66" s="1">
        <v>56.400002</v>
      </c>
      <c r="F66" s="1">
        <v>54.020374</v>
      </c>
      <c r="G66" s="1">
        <v>1.73004E7</v>
      </c>
      <c r="I66" s="1">
        <f t="shared" si="1"/>
        <v>0.01111501949</v>
      </c>
      <c r="J66" s="1">
        <v>0.0</v>
      </c>
      <c r="K66" s="1">
        <f t="shared" si="2"/>
        <v>0.01111501949</v>
      </c>
      <c r="L66" s="1">
        <f t="shared" si="3"/>
        <v>1.111501949</v>
      </c>
      <c r="M66" s="1">
        <v>0.81</v>
      </c>
    </row>
    <row r="67" ht="15.75" customHeight="1">
      <c r="A67" s="7">
        <v>43985.0</v>
      </c>
      <c r="B67" s="1">
        <v>56.52</v>
      </c>
      <c r="C67" s="1">
        <v>56.98</v>
      </c>
      <c r="D67" s="1">
        <v>56.299999</v>
      </c>
      <c r="E67" s="1">
        <v>56.830002</v>
      </c>
      <c r="F67" s="1">
        <v>54.432232</v>
      </c>
      <c r="G67" s="1">
        <v>1.60867E7</v>
      </c>
      <c r="I67" s="1">
        <f t="shared" si="1"/>
        <v>0.007624123446</v>
      </c>
      <c r="J67" s="1">
        <v>0.0</v>
      </c>
      <c r="K67" s="1">
        <f t="shared" si="2"/>
        <v>0.007624123446</v>
      </c>
      <c r="L67" s="1">
        <f t="shared" si="3"/>
        <v>0.7624123446</v>
      </c>
      <c r="M67" s="1">
        <v>1.42</v>
      </c>
    </row>
    <row r="68" ht="15.75" customHeight="1">
      <c r="A68" s="7">
        <v>43986.0</v>
      </c>
      <c r="B68" s="1">
        <v>56.740002</v>
      </c>
      <c r="C68" s="1">
        <v>57.369999</v>
      </c>
      <c r="D68" s="1">
        <v>56.509998</v>
      </c>
      <c r="E68" s="1">
        <v>57.220001</v>
      </c>
      <c r="F68" s="1">
        <v>54.805782</v>
      </c>
      <c r="G68" s="1">
        <v>1.61473E7</v>
      </c>
      <c r="I68" s="1">
        <f t="shared" si="1"/>
        <v>0.006862661814</v>
      </c>
      <c r="J68" s="1">
        <v>0.0</v>
      </c>
      <c r="K68" s="1">
        <f t="shared" si="2"/>
        <v>0.006862661814</v>
      </c>
      <c r="L68" s="1">
        <f t="shared" si="3"/>
        <v>0.6862661814</v>
      </c>
      <c r="M68" s="1">
        <v>-0.34</v>
      </c>
    </row>
    <row r="69" ht="15.75" customHeight="1">
      <c r="A69" s="7">
        <v>43987.0</v>
      </c>
      <c r="B69" s="1">
        <v>57.75</v>
      </c>
      <c r="C69" s="1">
        <v>58.119999</v>
      </c>
      <c r="D69" s="1">
        <v>57.080002</v>
      </c>
      <c r="E69" s="1">
        <v>57.740002</v>
      </c>
      <c r="F69" s="1">
        <v>55.303841</v>
      </c>
      <c r="G69" s="1">
        <v>1.71056E7</v>
      </c>
      <c r="I69" s="1">
        <f t="shared" si="1"/>
        <v>0.00908770903</v>
      </c>
      <c r="J69" s="1">
        <v>0.0</v>
      </c>
      <c r="K69" s="1">
        <f t="shared" si="2"/>
        <v>0.00908770903</v>
      </c>
      <c r="L69" s="1">
        <f t="shared" si="3"/>
        <v>0.908770903</v>
      </c>
      <c r="M69" s="1">
        <v>2.5</v>
      </c>
    </row>
    <row r="70" ht="15.75" customHeight="1">
      <c r="A70" s="7">
        <v>43990.0</v>
      </c>
      <c r="B70" s="1">
        <v>57.650002</v>
      </c>
      <c r="C70" s="1">
        <v>58.200001</v>
      </c>
      <c r="D70" s="1">
        <v>57.27</v>
      </c>
      <c r="E70" s="1">
        <v>58.09</v>
      </c>
      <c r="F70" s="1">
        <v>55.639072</v>
      </c>
      <c r="G70" s="1">
        <v>1.4963E7</v>
      </c>
      <c r="I70" s="1">
        <f t="shared" si="1"/>
        <v>0.006061622374</v>
      </c>
      <c r="J70" s="1">
        <v>0.0</v>
      </c>
      <c r="K70" s="1">
        <f t="shared" si="2"/>
        <v>0.006061622374</v>
      </c>
      <c r="L70" s="1">
        <f t="shared" si="3"/>
        <v>0.6061622374</v>
      </c>
      <c r="M70" s="1">
        <v>1.39</v>
      </c>
    </row>
    <row r="71" ht="15.75" customHeight="1">
      <c r="A71" s="7">
        <v>43991.0</v>
      </c>
      <c r="B71" s="1">
        <v>57.75</v>
      </c>
      <c r="C71" s="1">
        <v>58.130001</v>
      </c>
      <c r="D71" s="1">
        <v>57.369999</v>
      </c>
      <c r="E71" s="1">
        <v>57.860001</v>
      </c>
      <c r="F71" s="1">
        <v>55.418774</v>
      </c>
      <c r="G71" s="1">
        <v>1.45308E7</v>
      </c>
      <c r="I71" s="1">
        <f t="shared" si="1"/>
        <v>-0.003959411832</v>
      </c>
      <c r="J71" s="1">
        <v>0.0</v>
      </c>
      <c r="K71" s="1">
        <f t="shared" si="2"/>
        <v>-0.003959411832</v>
      </c>
      <c r="L71" s="1">
        <f t="shared" si="3"/>
        <v>-0.3959411832</v>
      </c>
      <c r="M71" s="1">
        <v>-0.85</v>
      </c>
    </row>
    <row r="72" ht="15.75" customHeight="1">
      <c r="A72" s="7">
        <v>43992.0</v>
      </c>
      <c r="B72" s="1">
        <v>57.900002</v>
      </c>
      <c r="C72" s="1">
        <v>58.23</v>
      </c>
      <c r="D72" s="1">
        <v>57.700001</v>
      </c>
      <c r="E72" s="1">
        <v>58.049999</v>
      </c>
      <c r="F72" s="1">
        <v>55.600758</v>
      </c>
      <c r="G72" s="1">
        <v>1.36491E7</v>
      </c>
      <c r="I72" s="1">
        <f t="shared" si="1"/>
        <v>0.003283796931</v>
      </c>
      <c r="J72" s="1">
        <v>0.0</v>
      </c>
      <c r="K72" s="1">
        <f t="shared" si="2"/>
        <v>0.003283796931</v>
      </c>
      <c r="L72" s="1">
        <f t="shared" si="3"/>
        <v>0.3283796931</v>
      </c>
      <c r="M72" s="1">
        <v>-0.56</v>
      </c>
    </row>
    <row r="73" ht="15.75" customHeight="1">
      <c r="A73" s="7">
        <v>43993.0</v>
      </c>
      <c r="B73" s="1">
        <v>57.48</v>
      </c>
      <c r="C73" s="1">
        <v>57.939999</v>
      </c>
      <c r="D73" s="1">
        <v>56.400002</v>
      </c>
      <c r="E73" s="1">
        <v>56.450001</v>
      </c>
      <c r="F73" s="1">
        <v>54.068268</v>
      </c>
      <c r="G73" s="1">
        <v>2.34125E7</v>
      </c>
      <c r="I73" s="1">
        <f t="shared" si="1"/>
        <v>-0.02756239402</v>
      </c>
      <c r="J73" s="1">
        <v>0.0</v>
      </c>
      <c r="K73" s="1">
        <f t="shared" si="2"/>
        <v>-0.02756239402</v>
      </c>
      <c r="L73" s="1">
        <f t="shared" si="3"/>
        <v>-2.756239402</v>
      </c>
      <c r="M73" s="1">
        <v>-5.91</v>
      </c>
    </row>
    <row r="74" ht="15.75" customHeight="1">
      <c r="A74" s="7">
        <v>43994.0</v>
      </c>
      <c r="B74" s="1">
        <v>56.630001</v>
      </c>
      <c r="C74" s="1">
        <v>56.810001</v>
      </c>
      <c r="D74" s="1">
        <v>55.790001</v>
      </c>
      <c r="E74" s="1">
        <v>56.529999</v>
      </c>
      <c r="F74" s="1">
        <v>54.144886</v>
      </c>
      <c r="G74" s="1">
        <v>1.7129E7</v>
      </c>
      <c r="I74" s="1">
        <f t="shared" si="1"/>
        <v>0.001417060373</v>
      </c>
      <c r="J74" s="1">
        <v>0.0</v>
      </c>
      <c r="K74" s="1">
        <f t="shared" si="2"/>
        <v>0.001417060373</v>
      </c>
      <c r="L74" s="1">
        <f t="shared" si="3"/>
        <v>0.1417060373</v>
      </c>
      <c r="M74" s="1">
        <v>1.29</v>
      </c>
    </row>
    <row r="75" ht="15.75" customHeight="1">
      <c r="A75" s="7">
        <v>43997.0</v>
      </c>
      <c r="B75" s="1">
        <v>55.73</v>
      </c>
      <c r="C75" s="1">
        <v>56.540001</v>
      </c>
      <c r="D75" s="1">
        <v>55.279999</v>
      </c>
      <c r="E75" s="1">
        <v>56.150002</v>
      </c>
      <c r="F75" s="1">
        <v>53.78093</v>
      </c>
      <c r="G75" s="1">
        <v>1.48268E7</v>
      </c>
      <c r="I75" s="1">
        <f t="shared" si="1"/>
        <v>-0.006721890596</v>
      </c>
      <c r="J75" s="1">
        <v>0.0</v>
      </c>
      <c r="K75" s="1">
        <f t="shared" si="2"/>
        <v>-0.006721890596</v>
      </c>
      <c r="L75" s="1">
        <f t="shared" si="3"/>
        <v>-0.6721890596</v>
      </c>
      <c r="M75" s="1">
        <v>1.09</v>
      </c>
    </row>
    <row r="76" ht="15.75" customHeight="1">
      <c r="A76" s="7">
        <v>43998.0</v>
      </c>
      <c r="B76" s="1">
        <v>56.830002</v>
      </c>
      <c r="C76" s="1">
        <v>57.32</v>
      </c>
      <c r="D76" s="1">
        <v>56.240002</v>
      </c>
      <c r="E76" s="1">
        <v>56.919998</v>
      </c>
      <c r="F76" s="1">
        <v>54.518436</v>
      </c>
      <c r="G76" s="1">
        <v>1.50213E7</v>
      </c>
      <c r="I76" s="1">
        <f t="shared" si="1"/>
        <v>0.01371315074</v>
      </c>
      <c r="J76" s="1">
        <v>0.0</v>
      </c>
      <c r="K76" s="1">
        <f t="shared" si="2"/>
        <v>0.01371315074</v>
      </c>
      <c r="L76" s="1">
        <f t="shared" si="3"/>
        <v>1.371315074</v>
      </c>
      <c r="M76" s="1">
        <v>1.86</v>
      </c>
    </row>
    <row r="77" ht="15.75" customHeight="1">
      <c r="A77" s="7">
        <v>43999.0</v>
      </c>
      <c r="B77" s="1">
        <v>57.139999</v>
      </c>
      <c r="C77" s="1">
        <v>57.169998</v>
      </c>
      <c r="D77" s="1">
        <v>56.509998</v>
      </c>
      <c r="E77" s="1">
        <v>56.650002</v>
      </c>
      <c r="F77" s="1">
        <v>54.25983</v>
      </c>
      <c r="G77" s="1">
        <v>1.06521E7</v>
      </c>
      <c r="I77" s="1">
        <f t="shared" si="1"/>
        <v>-0.004743459625</v>
      </c>
      <c r="J77" s="1">
        <v>0.0</v>
      </c>
      <c r="K77" s="1">
        <f t="shared" si="2"/>
        <v>-0.004743459625</v>
      </c>
      <c r="L77" s="1">
        <f t="shared" si="3"/>
        <v>-0.4743459625</v>
      </c>
      <c r="M77" s="1">
        <v>-0.4</v>
      </c>
    </row>
    <row r="78" ht="15.75" customHeight="1">
      <c r="A78" s="7">
        <v>44000.0</v>
      </c>
      <c r="B78" s="1">
        <v>56.5</v>
      </c>
      <c r="C78" s="1">
        <v>56.959999</v>
      </c>
      <c r="D78" s="1">
        <v>56.369999</v>
      </c>
      <c r="E78" s="1">
        <v>56.889999</v>
      </c>
      <c r="F78" s="1">
        <v>54.4897</v>
      </c>
      <c r="G78" s="1">
        <v>9019500.0</v>
      </c>
      <c r="I78" s="1">
        <f t="shared" si="1"/>
        <v>0.004236467383</v>
      </c>
      <c r="J78" s="1">
        <v>0.0</v>
      </c>
      <c r="K78" s="1">
        <f t="shared" si="2"/>
        <v>0.004236467383</v>
      </c>
      <c r="L78" s="1">
        <f t="shared" si="3"/>
        <v>0.4236467383</v>
      </c>
      <c r="M78" s="1">
        <v>0.19</v>
      </c>
    </row>
    <row r="79" ht="15.75" customHeight="1">
      <c r="A79" s="7">
        <v>44001.0</v>
      </c>
      <c r="B79" s="1">
        <v>57.349998</v>
      </c>
      <c r="C79" s="1">
        <v>57.470001</v>
      </c>
      <c r="D79" s="1">
        <v>56.0</v>
      </c>
      <c r="E79" s="1">
        <v>56.16</v>
      </c>
      <c r="F79" s="1">
        <v>53.790504</v>
      </c>
      <c r="G79" s="1">
        <v>2.88682E7</v>
      </c>
      <c r="I79" s="1">
        <f t="shared" si="1"/>
        <v>-0.01283170948</v>
      </c>
      <c r="J79" s="1">
        <v>0.0</v>
      </c>
      <c r="K79" s="1">
        <f t="shared" si="2"/>
        <v>-0.01283170948</v>
      </c>
      <c r="L79" s="1">
        <f t="shared" si="3"/>
        <v>-1.283170948</v>
      </c>
      <c r="M79" s="1">
        <v>-0.45</v>
      </c>
    </row>
    <row r="80" ht="15.75" customHeight="1">
      <c r="A80" s="7">
        <v>44004.0</v>
      </c>
      <c r="B80" s="1">
        <v>55.91</v>
      </c>
      <c r="C80" s="1">
        <v>56.259998</v>
      </c>
      <c r="D80" s="1">
        <v>55.610001</v>
      </c>
      <c r="E80" s="1">
        <v>55.66</v>
      </c>
      <c r="F80" s="1">
        <v>53.311596</v>
      </c>
      <c r="G80" s="1">
        <v>1.23339E7</v>
      </c>
      <c r="I80" s="1">
        <f t="shared" si="1"/>
        <v>-0.008903207153</v>
      </c>
      <c r="J80" s="1">
        <v>0.0</v>
      </c>
      <c r="K80" s="1">
        <f t="shared" si="2"/>
        <v>-0.008903207153</v>
      </c>
      <c r="L80" s="1">
        <f t="shared" si="3"/>
        <v>-0.8903207153</v>
      </c>
      <c r="M80" s="1">
        <v>0.71</v>
      </c>
    </row>
    <row r="81" ht="15.75" customHeight="1">
      <c r="A81" s="7">
        <v>44005.0</v>
      </c>
      <c r="B81" s="1">
        <v>55.75</v>
      </c>
      <c r="C81" s="1">
        <v>55.849998</v>
      </c>
      <c r="D81" s="1">
        <v>54.91</v>
      </c>
      <c r="E81" s="1">
        <v>54.939999</v>
      </c>
      <c r="F81" s="1">
        <v>52.621971</v>
      </c>
      <c r="G81" s="1">
        <v>2.07164E7</v>
      </c>
      <c r="I81" s="1">
        <f t="shared" si="1"/>
        <v>-0.01293574103</v>
      </c>
      <c r="J81" s="1">
        <v>0.0</v>
      </c>
      <c r="K81" s="1">
        <f t="shared" si="2"/>
        <v>-0.01293574103</v>
      </c>
      <c r="L81" s="1">
        <f t="shared" si="3"/>
        <v>-1.293574103</v>
      </c>
      <c r="M81" s="1">
        <v>0.42</v>
      </c>
    </row>
    <row r="82" ht="15.75" customHeight="1">
      <c r="A82" s="7">
        <v>44006.0</v>
      </c>
      <c r="B82" s="1">
        <v>54.540001</v>
      </c>
      <c r="C82" s="1">
        <v>54.560001</v>
      </c>
      <c r="D82" s="1">
        <v>53.459999</v>
      </c>
      <c r="E82" s="1">
        <v>53.93</v>
      </c>
      <c r="F82" s="1">
        <v>51.654594</v>
      </c>
      <c r="G82" s="1">
        <v>2.47946E7</v>
      </c>
      <c r="I82" s="1">
        <f t="shared" si="1"/>
        <v>-0.01838351893</v>
      </c>
      <c r="J82" s="1">
        <v>0.0</v>
      </c>
      <c r="K82" s="1">
        <f t="shared" si="2"/>
        <v>-0.01838351893</v>
      </c>
      <c r="L82" s="1">
        <f t="shared" si="3"/>
        <v>-1.838351893</v>
      </c>
      <c r="M82" s="1">
        <v>-2.61</v>
      </c>
    </row>
    <row r="83" ht="15.75" customHeight="1">
      <c r="A83" s="7">
        <v>44007.0</v>
      </c>
      <c r="B83" s="1">
        <v>53.91</v>
      </c>
      <c r="C83" s="1">
        <v>54.389999</v>
      </c>
      <c r="D83" s="1">
        <v>53.34</v>
      </c>
      <c r="E83" s="1">
        <v>54.279999</v>
      </c>
      <c r="F83" s="1">
        <v>51.989822</v>
      </c>
      <c r="G83" s="1">
        <v>1.71225E7</v>
      </c>
      <c r="I83" s="1">
        <f t="shared" si="1"/>
        <v>0.006489800307</v>
      </c>
      <c r="J83" s="1">
        <v>0.0</v>
      </c>
      <c r="K83" s="1">
        <f t="shared" si="2"/>
        <v>0.006489800307</v>
      </c>
      <c r="L83" s="1">
        <f t="shared" si="3"/>
        <v>0.6489800307</v>
      </c>
      <c r="M83" s="1">
        <v>1.12</v>
      </c>
    </row>
    <row r="84" ht="15.75" customHeight="1">
      <c r="A84" s="7">
        <v>44008.0</v>
      </c>
      <c r="B84" s="1">
        <v>54.040001</v>
      </c>
      <c r="C84" s="1">
        <v>54.060001</v>
      </c>
      <c r="D84" s="1">
        <v>52.849998</v>
      </c>
      <c r="E84" s="1">
        <v>53.16</v>
      </c>
      <c r="F84" s="1">
        <v>50.91708</v>
      </c>
      <c r="G84" s="1">
        <v>3.02119E7</v>
      </c>
      <c r="I84" s="1">
        <f t="shared" si="1"/>
        <v>-0.02063369249</v>
      </c>
      <c r="J84" s="1">
        <v>0.0</v>
      </c>
      <c r="K84" s="1">
        <f t="shared" si="2"/>
        <v>-0.02063369249</v>
      </c>
      <c r="L84" s="1">
        <f t="shared" si="3"/>
        <v>-2.063369249</v>
      </c>
      <c r="M84" s="1">
        <v>-2.44</v>
      </c>
    </row>
    <row r="85" ht="15.75" customHeight="1">
      <c r="A85" s="7">
        <v>44011.0</v>
      </c>
      <c r="B85" s="1">
        <v>53.310001</v>
      </c>
      <c r="C85" s="1">
        <v>54.709999</v>
      </c>
      <c r="D85" s="1">
        <v>53.310001</v>
      </c>
      <c r="E85" s="1">
        <v>54.689999</v>
      </c>
      <c r="F85" s="1">
        <v>52.382523</v>
      </c>
      <c r="G85" s="1">
        <v>1.59303E7</v>
      </c>
      <c r="I85" s="1">
        <f t="shared" si="1"/>
        <v>0.02878097094</v>
      </c>
      <c r="J85" s="1">
        <v>0.0</v>
      </c>
      <c r="K85" s="1">
        <f t="shared" si="2"/>
        <v>0.02878097094</v>
      </c>
      <c r="L85" s="1">
        <f t="shared" si="3"/>
        <v>2.878097094</v>
      </c>
      <c r="M85" s="1">
        <v>1.51</v>
      </c>
    </row>
    <row r="86" ht="15.75" customHeight="1">
      <c r="A86" s="7">
        <v>44012.0</v>
      </c>
      <c r="B86" s="1">
        <v>54.919998</v>
      </c>
      <c r="C86" s="1">
        <v>55.290001</v>
      </c>
      <c r="D86" s="1">
        <v>54.360001</v>
      </c>
      <c r="E86" s="1">
        <v>55.130001</v>
      </c>
      <c r="F86" s="1">
        <v>52.803963</v>
      </c>
      <c r="G86" s="1">
        <v>1.74148E7</v>
      </c>
      <c r="I86" s="1">
        <f t="shared" si="1"/>
        <v>0.008045431489</v>
      </c>
      <c r="J86" s="1">
        <v>0.0</v>
      </c>
      <c r="K86" s="1">
        <f t="shared" si="2"/>
        <v>0.008045431489</v>
      </c>
      <c r="L86" s="1">
        <f t="shared" si="3"/>
        <v>0.8045431489</v>
      </c>
      <c r="M86" s="1">
        <v>1.58</v>
      </c>
    </row>
    <row r="87" ht="15.75" customHeight="1">
      <c r="A87" s="7">
        <v>44013.0</v>
      </c>
      <c r="B87" s="1">
        <v>55.09</v>
      </c>
      <c r="C87" s="1">
        <v>55.330002</v>
      </c>
      <c r="D87" s="1">
        <v>54.580002</v>
      </c>
      <c r="E87" s="1">
        <v>54.669998</v>
      </c>
      <c r="F87" s="1">
        <v>52.363369</v>
      </c>
      <c r="G87" s="1">
        <v>1.28316E7</v>
      </c>
      <c r="I87" s="1">
        <f t="shared" si="1"/>
        <v>-0.008343957062</v>
      </c>
      <c r="J87" s="1">
        <v>0.0</v>
      </c>
      <c r="K87" s="1">
        <f t="shared" si="2"/>
        <v>-0.008343957062</v>
      </c>
      <c r="L87" s="1">
        <f t="shared" si="3"/>
        <v>-0.8343957062</v>
      </c>
      <c r="M87" s="1">
        <v>0.41</v>
      </c>
    </row>
    <row r="88" ht="15.75" customHeight="1">
      <c r="A88" s="7">
        <v>44014.0</v>
      </c>
      <c r="B88" s="1">
        <v>55.049999</v>
      </c>
      <c r="C88" s="1">
        <v>55.41</v>
      </c>
      <c r="D88" s="1">
        <v>54.740002</v>
      </c>
      <c r="E88" s="1">
        <v>54.790001</v>
      </c>
      <c r="F88" s="1">
        <v>52.478306</v>
      </c>
      <c r="G88" s="1">
        <v>1.58145E7</v>
      </c>
      <c r="I88" s="1">
        <f t="shared" si="1"/>
        <v>0.002194988638</v>
      </c>
      <c r="J88" s="1">
        <v>0.0</v>
      </c>
      <c r="K88" s="1">
        <f t="shared" si="2"/>
        <v>0.002194988638</v>
      </c>
      <c r="L88" s="1">
        <f t="shared" si="3"/>
        <v>0.2194988638</v>
      </c>
      <c r="M88" s="1">
        <v>0.5</v>
      </c>
    </row>
    <row r="89" ht="15.75" customHeight="1">
      <c r="A89" s="7">
        <v>44018.0</v>
      </c>
      <c r="B89" s="1">
        <v>55.349998</v>
      </c>
      <c r="C89" s="1">
        <v>55.43</v>
      </c>
      <c r="D89" s="1">
        <v>54.91</v>
      </c>
      <c r="E89" s="1">
        <v>55.240002</v>
      </c>
      <c r="F89" s="1">
        <v>52.909321</v>
      </c>
      <c r="G89" s="1">
        <v>1.12311E7</v>
      </c>
      <c r="I89" s="1">
        <f t="shared" si="1"/>
        <v>0.008213203376</v>
      </c>
      <c r="J89" s="1">
        <v>0.0</v>
      </c>
      <c r="K89" s="1">
        <f t="shared" si="2"/>
        <v>0.008213203376</v>
      </c>
      <c r="L89" s="1">
        <f t="shared" si="3"/>
        <v>0.8213203376</v>
      </c>
      <c r="M89" s="1">
        <v>1.65</v>
      </c>
    </row>
    <row r="90" ht="15.75" customHeight="1">
      <c r="A90" s="7">
        <v>44019.0</v>
      </c>
      <c r="B90" s="1">
        <v>54.919998</v>
      </c>
      <c r="C90" s="1">
        <v>55.330002</v>
      </c>
      <c r="D90" s="1">
        <v>54.799999</v>
      </c>
      <c r="E90" s="1">
        <v>55.040001</v>
      </c>
      <c r="F90" s="1">
        <v>52.717758</v>
      </c>
      <c r="G90" s="1">
        <v>1.33197E7</v>
      </c>
      <c r="I90" s="1">
        <f t="shared" si="1"/>
        <v>-0.003620590784</v>
      </c>
      <c r="J90" s="1">
        <v>0.0</v>
      </c>
      <c r="K90" s="1">
        <f t="shared" si="2"/>
        <v>-0.003620590784</v>
      </c>
      <c r="L90" s="1">
        <f t="shared" si="3"/>
        <v>-0.3620590784</v>
      </c>
      <c r="M90" s="1">
        <v>-1.03</v>
      </c>
    </row>
    <row r="91" ht="15.75" customHeight="1">
      <c r="A91" s="7">
        <v>44020.0</v>
      </c>
      <c r="B91" s="1">
        <v>55.110001</v>
      </c>
      <c r="C91" s="1">
        <v>55.439999</v>
      </c>
      <c r="D91" s="1">
        <v>54.82</v>
      </c>
      <c r="E91" s="1">
        <v>55.380001</v>
      </c>
      <c r="F91" s="1">
        <v>53.043415</v>
      </c>
      <c r="G91" s="1">
        <v>1.53208E7</v>
      </c>
      <c r="I91" s="1">
        <f t="shared" si="1"/>
        <v>0.006177368165</v>
      </c>
      <c r="J91" s="1">
        <v>0.0</v>
      </c>
      <c r="K91" s="1">
        <f t="shared" si="2"/>
        <v>0.006177368165</v>
      </c>
      <c r="L91" s="1">
        <f t="shared" si="3"/>
        <v>0.6177368165</v>
      </c>
      <c r="M91" s="1">
        <v>0.91</v>
      </c>
    </row>
    <row r="92" ht="15.75" customHeight="1">
      <c r="A92" s="7">
        <v>44021.0</v>
      </c>
      <c r="B92" s="1">
        <v>54.650002</v>
      </c>
      <c r="C92" s="1">
        <v>54.650002</v>
      </c>
      <c r="D92" s="1">
        <v>53.75</v>
      </c>
      <c r="E92" s="1">
        <v>53.939999</v>
      </c>
      <c r="F92" s="1">
        <v>52.244347</v>
      </c>
      <c r="G92" s="1">
        <v>1.76184E7</v>
      </c>
      <c r="I92" s="1">
        <f t="shared" si="1"/>
        <v>-0.01506441469</v>
      </c>
      <c r="J92" s="1">
        <v>0.0</v>
      </c>
      <c r="K92" s="1">
        <f t="shared" si="2"/>
        <v>-0.01506441469</v>
      </c>
      <c r="L92" s="1">
        <f t="shared" si="3"/>
        <v>-1.506441469</v>
      </c>
      <c r="M92" s="1">
        <v>-0.53</v>
      </c>
    </row>
    <row r="93" ht="15.75" customHeight="1">
      <c r="A93" s="7">
        <v>44022.0</v>
      </c>
      <c r="B93" s="1">
        <v>53.84</v>
      </c>
      <c r="C93" s="1">
        <v>54.580002</v>
      </c>
      <c r="D93" s="1">
        <v>53.84</v>
      </c>
      <c r="E93" s="1">
        <v>54.490002</v>
      </c>
      <c r="F93" s="1">
        <v>52.777061</v>
      </c>
      <c r="G93" s="1">
        <v>1.56522E7</v>
      </c>
      <c r="I93" s="1">
        <f t="shared" si="1"/>
        <v>0.01019658644</v>
      </c>
      <c r="J93" s="1">
        <v>0.0</v>
      </c>
      <c r="K93" s="1">
        <f t="shared" si="2"/>
        <v>0.01019658644</v>
      </c>
      <c r="L93" s="1">
        <f t="shared" si="3"/>
        <v>1.019658644</v>
      </c>
      <c r="M93" s="1">
        <v>1.11</v>
      </c>
    </row>
    <row r="94" ht="15.75" customHeight="1">
      <c r="A94" s="7">
        <v>44025.0</v>
      </c>
      <c r="B94" s="1">
        <v>54.75</v>
      </c>
      <c r="C94" s="1">
        <v>54.77</v>
      </c>
      <c r="D94" s="1">
        <v>54.139999</v>
      </c>
      <c r="E94" s="1">
        <v>54.450001</v>
      </c>
      <c r="F94" s="1">
        <v>52.738316</v>
      </c>
      <c r="G94" s="1">
        <v>1.52851E7</v>
      </c>
      <c r="I94" s="1">
        <f t="shared" si="1"/>
        <v>-0.0007341257597</v>
      </c>
      <c r="J94" s="1">
        <v>0.0</v>
      </c>
      <c r="K94" s="1">
        <f t="shared" si="2"/>
        <v>-0.0007341257597</v>
      </c>
      <c r="L94" s="1">
        <f t="shared" si="3"/>
        <v>-0.07341257597</v>
      </c>
      <c r="M94" s="1">
        <v>-1.2</v>
      </c>
    </row>
    <row r="95" ht="15.75" customHeight="1">
      <c r="A95" s="7">
        <v>44026.0</v>
      </c>
      <c r="B95" s="1">
        <v>54.43</v>
      </c>
      <c r="C95" s="1">
        <v>55.650002</v>
      </c>
      <c r="D95" s="1">
        <v>54.27</v>
      </c>
      <c r="E95" s="1">
        <v>55.439999</v>
      </c>
      <c r="F95" s="1">
        <v>53.697193</v>
      </c>
      <c r="G95" s="1">
        <v>1.56836E7</v>
      </c>
      <c r="I95" s="1">
        <f t="shared" si="1"/>
        <v>0.01818179026</v>
      </c>
      <c r="J95" s="1">
        <v>0.0</v>
      </c>
      <c r="K95" s="1">
        <f t="shared" si="2"/>
        <v>0.01818179026</v>
      </c>
      <c r="L95" s="1">
        <f t="shared" si="3"/>
        <v>1.818179026</v>
      </c>
      <c r="M95" s="1">
        <v>1.35</v>
      </c>
    </row>
    <row r="96" ht="15.75" customHeight="1">
      <c r="A96" s="7">
        <v>44027.0</v>
      </c>
      <c r="B96" s="1">
        <v>55.610001</v>
      </c>
      <c r="C96" s="1">
        <v>55.720001</v>
      </c>
      <c r="D96" s="1">
        <v>55.02</v>
      </c>
      <c r="E96" s="1">
        <v>55.060001</v>
      </c>
      <c r="F96" s="1">
        <v>53.32914</v>
      </c>
      <c r="G96" s="1">
        <v>1.39036E7</v>
      </c>
      <c r="I96" s="1">
        <f t="shared" si="1"/>
        <v>-0.006854231654</v>
      </c>
      <c r="J96" s="1">
        <v>0.0</v>
      </c>
      <c r="K96" s="1">
        <f t="shared" si="2"/>
        <v>-0.006854231654</v>
      </c>
      <c r="L96" s="1">
        <f t="shared" si="3"/>
        <v>-0.6854231654</v>
      </c>
      <c r="M96" s="1">
        <v>1.14</v>
      </c>
    </row>
    <row r="97" ht="15.75" customHeight="1">
      <c r="A97" s="7">
        <v>44028.0</v>
      </c>
      <c r="B97" s="1">
        <v>54.869999</v>
      </c>
      <c r="C97" s="1">
        <v>55.830002</v>
      </c>
      <c r="D97" s="1">
        <v>54.759998</v>
      </c>
      <c r="E97" s="1">
        <v>55.779999</v>
      </c>
      <c r="F97" s="1">
        <v>54.026505</v>
      </c>
      <c r="G97" s="1">
        <v>1.34774E7</v>
      </c>
      <c r="I97" s="1">
        <f t="shared" si="1"/>
        <v>0.0130766219</v>
      </c>
      <c r="J97" s="1">
        <v>0.0</v>
      </c>
      <c r="K97" s="1">
        <f t="shared" si="2"/>
        <v>0.0130766219</v>
      </c>
      <c r="L97" s="1">
        <f t="shared" si="3"/>
        <v>1.30766219</v>
      </c>
      <c r="M97" s="1">
        <v>-0.37</v>
      </c>
    </row>
    <row r="98" ht="15.75" customHeight="1">
      <c r="A98" s="7">
        <v>44029.0</v>
      </c>
      <c r="B98" s="1">
        <v>56.0</v>
      </c>
      <c r="C98" s="1">
        <v>56.599998</v>
      </c>
      <c r="D98" s="1">
        <v>55.889999</v>
      </c>
      <c r="E98" s="1">
        <v>56.299999</v>
      </c>
      <c r="F98" s="1">
        <v>54.530159</v>
      </c>
      <c r="G98" s="1">
        <v>1.35063E7</v>
      </c>
      <c r="I98" s="1">
        <f t="shared" si="1"/>
        <v>0.009322350206</v>
      </c>
      <c r="J98" s="1">
        <v>0.0</v>
      </c>
      <c r="K98" s="1">
        <f t="shared" si="2"/>
        <v>0.009322350206</v>
      </c>
      <c r="L98" s="1">
        <f t="shared" si="3"/>
        <v>0.9322350206</v>
      </c>
      <c r="M98" s="1">
        <v>0.3</v>
      </c>
    </row>
    <row r="99" ht="15.75" customHeight="1">
      <c r="A99" s="7">
        <v>44032.0</v>
      </c>
      <c r="B99" s="1">
        <v>56.279999</v>
      </c>
      <c r="C99" s="1">
        <v>56.279999</v>
      </c>
      <c r="D99" s="1">
        <v>55.66</v>
      </c>
      <c r="E99" s="1">
        <v>55.869999</v>
      </c>
      <c r="F99" s="1">
        <v>54.113674</v>
      </c>
      <c r="G99" s="1">
        <v>1.05729E7</v>
      </c>
      <c r="I99" s="1">
        <f t="shared" si="1"/>
        <v>-0.007637700084</v>
      </c>
      <c r="J99" s="1">
        <v>0.0</v>
      </c>
      <c r="K99" s="1">
        <f t="shared" si="2"/>
        <v>-0.007637700084</v>
      </c>
      <c r="L99" s="1">
        <f t="shared" si="3"/>
        <v>-0.7637700084</v>
      </c>
      <c r="M99" s="1">
        <v>1.01</v>
      </c>
    </row>
    <row r="100" ht="15.75" customHeight="1">
      <c r="A100" s="7">
        <v>44033.0</v>
      </c>
      <c r="B100" s="1">
        <v>55.84</v>
      </c>
      <c r="C100" s="1">
        <v>56.5</v>
      </c>
      <c r="D100" s="1">
        <v>55.799999</v>
      </c>
      <c r="E100" s="1">
        <v>55.84</v>
      </c>
      <c r="F100" s="1">
        <v>54.084618</v>
      </c>
      <c r="G100" s="1">
        <v>1.26209E7</v>
      </c>
      <c r="I100" s="1">
        <f t="shared" si="1"/>
        <v>-0.0005369437677</v>
      </c>
      <c r="J100" s="1">
        <v>0.0</v>
      </c>
      <c r="K100" s="1">
        <f t="shared" si="2"/>
        <v>-0.0005369437677</v>
      </c>
      <c r="L100" s="1">
        <f t="shared" si="3"/>
        <v>-0.05369437677</v>
      </c>
      <c r="M100" s="1">
        <v>0.16</v>
      </c>
    </row>
    <row r="101" ht="15.75" customHeight="1">
      <c r="A101" s="7">
        <v>44034.0</v>
      </c>
      <c r="B101" s="1">
        <v>55.84</v>
      </c>
      <c r="C101" s="1">
        <v>55.950001</v>
      </c>
      <c r="D101" s="1">
        <v>55.369999</v>
      </c>
      <c r="E101" s="1">
        <v>55.75</v>
      </c>
      <c r="F101" s="1">
        <v>53.997448</v>
      </c>
      <c r="G101" s="1">
        <v>1.12235E7</v>
      </c>
      <c r="I101" s="1">
        <f t="shared" si="1"/>
        <v>-0.001611733673</v>
      </c>
      <c r="J101" s="1">
        <v>0.0</v>
      </c>
      <c r="K101" s="1">
        <f t="shared" si="2"/>
        <v>-0.001611733673</v>
      </c>
      <c r="L101" s="1">
        <f t="shared" si="3"/>
        <v>-0.1611733673</v>
      </c>
      <c r="M101" s="1">
        <v>0.49</v>
      </c>
    </row>
    <row r="102" ht="15.75" customHeight="1">
      <c r="A102" s="7">
        <v>44035.0</v>
      </c>
      <c r="B102" s="1">
        <v>55.810001</v>
      </c>
      <c r="C102" s="1">
        <v>56.09</v>
      </c>
      <c r="D102" s="1">
        <v>55.400002</v>
      </c>
      <c r="E102" s="1">
        <v>55.849998</v>
      </c>
      <c r="F102" s="1">
        <v>54.094303</v>
      </c>
      <c r="G102" s="1">
        <v>1.67187E7</v>
      </c>
      <c r="I102" s="1">
        <f t="shared" si="1"/>
        <v>0.00179369588</v>
      </c>
      <c r="J102" s="1">
        <v>0.0</v>
      </c>
      <c r="K102" s="1">
        <f t="shared" si="2"/>
        <v>0.00179369588</v>
      </c>
      <c r="L102" s="1">
        <f t="shared" si="3"/>
        <v>0.179369588</v>
      </c>
      <c r="M102" s="1">
        <v>-1.2</v>
      </c>
    </row>
    <row r="103" ht="15.75" customHeight="1">
      <c r="A103" s="7">
        <v>44036.0</v>
      </c>
      <c r="B103" s="1">
        <v>56.349998</v>
      </c>
      <c r="C103" s="1">
        <v>57.57</v>
      </c>
      <c r="D103" s="1">
        <v>56.139999</v>
      </c>
      <c r="E103" s="1">
        <v>56.849998</v>
      </c>
      <c r="F103" s="1">
        <v>55.062866</v>
      </c>
      <c r="G103" s="1">
        <v>1.79817E7</v>
      </c>
      <c r="I103" s="1">
        <f t="shared" si="1"/>
        <v>0.01790508328</v>
      </c>
      <c r="J103" s="1">
        <v>0.0</v>
      </c>
      <c r="K103" s="1">
        <f t="shared" si="2"/>
        <v>0.01790508328</v>
      </c>
      <c r="L103" s="1">
        <f t="shared" si="3"/>
        <v>1.790508328</v>
      </c>
      <c r="M103" s="1">
        <v>-0.75</v>
      </c>
    </row>
    <row r="104" ht="15.75" customHeight="1">
      <c r="A104" s="7">
        <v>44039.0</v>
      </c>
      <c r="B104" s="1">
        <v>57.0</v>
      </c>
      <c r="C104" s="1">
        <v>57.330002</v>
      </c>
      <c r="D104" s="1">
        <v>56.509998</v>
      </c>
      <c r="E104" s="1">
        <v>56.869999</v>
      </c>
      <c r="F104" s="1">
        <v>55.082241</v>
      </c>
      <c r="G104" s="1">
        <v>1.23067E7</v>
      </c>
      <c r="I104" s="1">
        <f t="shared" si="1"/>
        <v>0.0003518705329</v>
      </c>
      <c r="J104" s="1">
        <v>0.0</v>
      </c>
      <c r="K104" s="1">
        <f t="shared" si="2"/>
        <v>0.0003518705329</v>
      </c>
      <c r="L104" s="1">
        <f t="shared" si="3"/>
        <v>0.03518705329</v>
      </c>
      <c r="M104" s="1">
        <v>0.88</v>
      </c>
    </row>
    <row r="105" ht="15.75" customHeight="1">
      <c r="A105" s="7">
        <v>44040.0</v>
      </c>
      <c r="B105" s="1">
        <v>57.049999</v>
      </c>
      <c r="C105" s="1">
        <v>57.700001</v>
      </c>
      <c r="D105" s="1">
        <v>56.970001</v>
      </c>
      <c r="E105" s="1">
        <v>57.48</v>
      </c>
      <c r="F105" s="1">
        <v>55.673065</v>
      </c>
      <c r="G105" s="1">
        <v>1.34547E7</v>
      </c>
      <c r="I105" s="1">
        <f t="shared" si="1"/>
        <v>0.01072621573</v>
      </c>
      <c r="J105" s="1">
        <v>0.0</v>
      </c>
      <c r="K105" s="1">
        <f t="shared" si="2"/>
        <v>0.01072621573</v>
      </c>
      <c r="L105" s="1">
        <f t="shared" si="3"/>
        <v>1.072621573</v>
      </c>
      <c r="M105" s="1">
        <v>-0.81</v>
      </c>
    </row>
    <row r="106" ht="15.75" customHeight="1">
      <c r="A106" s="7">
        <v>44041.0</v>
      </c>
      <c r="B106" s="1">
        <v>57.369999</v>
      </c>
      <c r="C106" s="1">
        <v>57.689999</v>
      </c>
      <c r="D106" s="1">
        <v>57.16</v>
      </c>
      <c r="E106" s="1">
        <v>57.450001</v>
      </c>
      <c r="F106" s="1">
        <v>55.644009</v>
      </c>
      <c r="G106" s="1">
        <v>9341800.0</v>
      </c>
      <c r="I106" s="1">
        <f t="shared" si="1"/>
        <v>-0.0005219040841</v>
      </c>
      <c r="J106" s="1">
        <v>0.0</v>
      </c>
      <c r="K106" s="1">
        <f t="shared" si="2"/>
        <v>-0.0005219040841</v>
      </c>
      <c r="L106" s="1">
        <f t="shared" si="3"/>
        <v>-0.05219040841</v>
      </c>
      <c r="M106" s="1">
        <v>1.35</v>
      </c>
    </row>
    <row r="107" ht="15.75" customHeight="1">
      <c r="A107" s="7">
        <v>44042.0</v>
      </c>
      <c r="B107" s="1">
        <v>57.209999</v>
      </c>
      <c r="C107" s="1">
        <v>57.459999</v>
      </c>
      <c r="D107" s="1">
        <v>57.139999</v>
      </c>
      <c r="E107" s="1">
        <v>57.299999</v>
      </c>
      <c r="F107" s="1">
        <v>55.498722</v>
      </c>
      <c r="G107" s="1">
        <v>1.26358E7</v>
      </c>
      <c r="I107" s="1">
        <f t="shared" si="1"/>
        <v>-0.002611008851</v>
      </c>
      <c r="J107" s="1">
        <v>0.0</v>
      </c>
      <c r="K107" s="1">
        <f t="shared" si="2"/>
        <v>-0.002611008851</v>
      </c>
      <c r="L107" s="1">
        <f t="shared" si="3"/>
        <v>-0.2611008851</v>
      </c>
      <c r="M107" s="1">
        <v>-0.29</v>
      </c>
    </row>
    <row r="108" ht="15.75" customHeight="1">
      <c r="A108" s="7">
        <v>44043.0</v>
      </c>
      <c r="B108" s="1">
        <v>56.849998</v>
      </c>
      <c r="C108" s="1">
        <v>57.5</v>
      </c>
      <c r="D108" s="1">
        <v>56.650002</v>
      </c>
      <c r="E108" s="1">
        <v>57.48</v>
      </c>
      <c r="F108" s="1">
        <v>55.673065</v>
      </c>
      <c r="G108" s="1">
        <v>1.62029E7</v>
      </c>
      <c r="I108" s="1">
        <f t="shared" si="1"/>
        <v>0.003141387652</v>
      </c>
      <c r="J108" s="1">
        <v>0.0</v>
      </c>
      <c r="K108" s="1">
        <f t="shared" si="2"/>
        <v>0.003141387652</v>
      </c>
      <c r="L108" s="1">
        <f t="shared" si="3"/>
        <v>0.3141387652</v>
      </c>
      <c r="M108" s="1">
        <v>0.61</v>
      </c>
    </row>
    <row r="109" ht="15.75" customHeight="1">
      <c r="A109" s="7">
        <v>44046.0</v>
      </c>
      <c r="B109" s="1">
        <v>57.869999</v>
      </c>
      <c r="C109" s="1">
        <v>57.869999</v>
      </c>
      <c r="D109" s="1">
        <v>57.119999</v>
      </c>
      <c r="E109" s="1">
        <v>57.240002</v>
      </c>
      <c r="F109" s="1">
        <v>55.440613</v>
      </c>
      <c r="G109" s="1">
        <v>1.34934E7</v>
      </c>
      <c r="I109" s="1">
        <f t="shared" si="1"/>
        <v>-0.004175304521</v>
      </c>
      <c r="J109" s="1">
        <v>0.0</v>
      </c>
      <c r="K109" s="1">
        <f t="shared" si="2"/>
        <v>-0.004175304521</v>
      </c>
      <c r="L109" s="1">
        <f t="shared" si="3"/>
        <v>-0.4175304521</v>
      </c>
      <c r="M109" s="1">
        <v>0.98</v>
      </c>
    </row>
    <row r="110" ht="15.75" customHeight="1">
      <c r="A110" s="7">
        <v>44047.0</v>
      </c>
      <c r="B110" s="1">
        <v>57.200001</v>
      </c>
      <c r="C110" s="1">
        <v>58.139999</v>
      </c>
      <c r="D110" s="1">
        <v>57.18</v>
      </c>
      <c r="E110" s="1">
        <v>57.91</v>
      </c>
      <c r="F110" s="1">
        <v>56.08955</v>
      </c>
      <c r="G110" s="1">
        <v>1.1601E7</v>
      </c>
      <c r="I110" s="1">
        <f t="shared" si="1"/>
        <v>0.01170508342</v>
      </c>
      <c r="J110" s="1">
        <v>0.0</v>
      </c>
      <c r="K110" s="1">
        <f t="shared" si="2"/>
        <v>0.01170508342</v>
      </c>
      <c r="L110" s="1">
        <f t="shared" si="3"/>
        <v>1.170508342</v>
      </c>
      <c r="M110" s="1">
        <v>0.37</v>
      </c>
    </row>
    <row r="111" ht="15.75" customHeight="1">
      <c r="A111" s="7">
        <v>44048.0</v>
      </c>
      <c r="B111" s="1">
        <v>58.16</v>
      </c>
      <c r="C111" s="1">
        <v>58.189999</v>
      </c>
      <c r="D111" s="1">
        <v>57.41</v>
      </c>
      <c r="E111" s="1">
        <v>57.540001</v>
      </c>
      <c r="F111" s="1">
        <v>55.731178</v>
      </c>
      <c r="G111" s="1">
        <v>9811700.0</v>
      </c>
      <c r="I111" s="1">
        <f t="shared" si="1"/>
        <v>-0.006389282852</v>
      </c>
      <c r="J111" s="1">
        <v>0.0</v>
      </c>
      <c r="K111" s="1">
        <f t="shared" si="2"/>
        <v>-0.006389282852</v>
      </c>
      <c r="L111" s="1">
        <f t="shared" si="3"/>
        <v>-0.6389282852</v>
      </c>
      <c r="M111" s="1">
        <v>0.78</v>
      </c>
    </row>
    <row r="112" ht="15.75" customHeight="1">
      <c r="A112" s="7">
        <v>44049.0</v>
      </c>
      <c r="B112" s="1">
        <v>57.5</v>
      </c>
      <c r="C112" s="1">
        <v>57.950001</v>
      </c>
      <c r="D112" s="1">
        <v>57.450001</v>
      </c>
      <c r="E112" s="1">
        <v>57.830002</v>
      </c>
      <c r="F112" s="1">
        <v>56.012062</v>
      </c>
      <c r="G112" s="1">
        <v>1.03699E7</v>
      </c>
      <c r="I112" s="1">
        <f t="shared" si="1"/>
        <v>0.005039979596</v>
      </c>
      <c r="J112" s="1">
        <v>0.0</v>
      </c>
      <c r="K112" s="1">
        <f t="shared" si="2"/>
        <v>0.005039979596</v>
      </c>
      <c r="L112" s="1">
        <f t="shared" si="3"/>
        <v>0.5039979596</v>
      </c>
      <c r="M112" s="1">
        <v>0.53</v>
      </c>
    </row>
    <row r="113" ht="15.75" customHeight="1">
      <c r="A113" s="7">
        <v>44050.0</v>
      </c>
      <c r="B113" s="1">
        <v>57.82</v>
      </c>
      <c r="C113" s="1">
        <v>58.549999</v>
      </c>
      <c r="D113" s="1">
        <v>57.650002</v>
      </c>
      <c r="E113" s="1">
        <v>58.529999</v>
      </c>
      <c r="F113" s="1">
        <v>56.690056</v>
      </c>
      <c r="G113" s="1">
        <v>1.27839E7</v>
      </c>
      <c r="I113" s="1">
        <f t="shared" si="1"/>
        <v>0.01210442851</v>
      </c>
      <c r="J113" s="1">
        <v>0.0</v>
      </c>
      <c r="K113" s="1">
        <f t="shared" si="2"/>
        <v>0.01210442851</v>
      </c>
      <c r="L113" s="1">
        <f t="shared" si="3"/>
        <v>1.210442851</v>
      </c>
      <c r="M113" s="1">
        <v>0.02</v>
      </c>
    </row>
    <row r="114" ht="15.75" customHeight="1">
      <c r="A114" s="7">
        <v>44053.0</v>
      </c>
      <c r="B114" s="1">
        <v>58.650002</v>
      </c>
      <c r="C114" s="1">
        <v>59.150002</v>
      </c>
      <c r="D114" s="1">
        <v>58.470001</v>
      </c>
      <c r="E114" s="1">
        <v>58.990002</v>
      </c>
      <c r="F114" s="1">
        <v>57.135597</v>
      </c>
      <c r="G114" s="1">
        <v>1.21145E7</v>
      </c>
      <c r="I114" s="1">
        <f t="shared" si="1"/>
        <v>0.007859244309</v>
      </c>
      <c r="J114" s="1">
        <v>0.0</v>
      </c>
      <c r="K114" s="1">
        <f t="shared" si="2"/>
        <v>0.007859244309</v>
      </c>
      <c r="L114" s="1">
        <f t="shared" si="3"/>
        <v>0.7859244309</v>
      </c>
      <c r="M114" s="1">
        <v>0.24</v>
      </c>
    </row>
    <row r="115" ht="15.75" customHeight="1">
      <c r="A115" s="7">
        <v>44054.0</v>
      </c>
      <c r="B115" s="1">
        <v>59.299999</v>
      </c>
      <c r="C115" s="1">
        <v>59.610001</v>
      </c>
      <c r="D115" s="1">
        <v>58.25</v>
      </c>
      <c r="E115" s="1">
        <v>58.509998</v>
      </c>
      <c r="F115" s="1">
        <v>56.670685</v>
      </c>
      <c r="G115" s="1">
        <v>1.28331E7</v>
      </c>
      <c r="I115" s="1">
        <f t="shared" si="1"/>
        <v>-0.008136993825</v>
      </c>
      <c r="J115" s="1">
        <v>0.0</v>
      </c>
      <c r="K115" s="1">
        <f t="shared" si="2"/>
        <v>-0.008136993825</v>
      </c>
      <c r="L115" s="1">
        <f t="shared" si="3"/>
        <v>-0.8136993825</v>
      </c>
      <c r="M115" s="1">
        <v>-0.83</v>
      </c>
    </row>
    <row r="116" ht="15.75" customHeight="1">
      <c r="A116" s="7">
        <v>44055.0</v>
      </c>
      <c r="B116" s="1">
        <v>58.599998</v>
      </c>
      <c r="C116" s="1">
        <v>58.970001</v>
      </c>
      <c r="D116" s="1">
        <v>58.52</v>
      </c>
      <c r="E116" s="1">
        <v>58.599998</v>
      </c>
      <c r="F116" s="1">
        <v>56.757854</v>
      </c>
      <c r="G116" s="1">
        <v>1.0804E7</v>
      </c>
      <c r="I116" s="1">
        <f t="shared" si="1"/>
        <v>0.001538167396</v>
      </c>
      <c r="J116" s="1">
        <v>0.0</v>
      </c>
      <c r="K116" s="1">
        <f t="shared" si="2"/>
        <v>0.001538167396</v>
      </c>
      <c r="L116" s="1">
        <f t="shared" si="3"/>
        <v>0.1538167396</v>
      </c>
      <c r="M116" s="1">
        <v>1.4</v>
      </c>
    </row>
    <row r="117" ht="15.75" customHeight="1">
      <c r="A117" s="7">
        <v>44056.0</v>
      </c>
      <c r="B117" s="1">
        <v>58.299999</v>
      </c>
      <c r="C117" s="1">
        <v>58.599998</v>
      </c>
      <c r="D117" s="1">
        <v>58.189999</v>
      </c>
      <c r="E117" s="1">
        <v>58.52</v>
      </c>
      <c r="F117" s="1">
        <v>56.68037</v>
      </c>
      <c r="G117" s="1">
        <v>7428600.0</v>
      </c>
      <c r="I117" s="1">
        <f t="shared" si="1"/>
        <v>-0.001365167894</v>
      </c>
      <c r="J117" s="1">
        <v>0.0</v>
      </c>
      <c r="K117" s="1">
        <f t="shared" si="2"/>
        <v>-0.001365167894</v>
      </c>
      <c r="L117" s="1">
        <f t="shared" si="3"/>
        <v>-0.1365167894</v>
      </c>
      <c r="M117" s="1">
        <v>-0.01</v>
      </c>
    </row>
    <row r="118" ht="15.75" customHeight="1">
      <c r="A118" s="7">
        <v>44057.0</v>
      </c>
      <c r="B118" s="1">
        <v>58.48</v>
      </c>
      <c r="C118" s="1">
        <v>58.939999</v>
      </c>
      <c r="D118" s="1">
        <v>58.25</v>
      </c>
      <c r="E118" s="1">
        <v>58.790001</v>
      </c>
      <c r="F118" s="1">
        <v>56.941883</v>
      </c>
      <c r="G118" s="1">
        <v>8715900.0</v>
      </c>
      <c r="I118" s="1">
        <f t="shared" si="1"/>
        <v>0.004613819564</v>
      </c>
      <c r="J118" s="1">
        <v>0.0</v>
      </c>
      <c r="K118" s="1">
        <f t="shared" si="2"/>
        <v>0.004613819564</v>
      </c>
      <c r="L118" s="1">
        <f t="shared" si="3"/>
        <v>0.4613819564</v>
      </c>
      <c r="M118" s="1">
        <v>-0.04</v>
      </c>
    </row>
    <row r="119" ht="15.75" customHeight="1">
      <c r="A119" s="7">
        <v>44060.0</v>
      </c>
      <c r="B119" s="1">
        <v>58.73</v>
      </c>
      <c r="C119" s="1">
        <v>58.93</v>
      </c>
      <c r="D119" s="1">
        <v>58.549999</v>
      </c>
      <c r="E119" s="1">
        <v>58.779999</v>
      </c>
      <c r="F119" s="1">
        <v>56.932198</v>
      </c>
      <c r="G119" s="1">
        <v>8371900.0</v>
      </c>
      <c r="I119" s="1">
        <f t="shared" si="1"/>
        <v>-0.0001700856995</v>
      </c>
      <c r="J119" s="1">
        <v>0.0</v>
      </c>
      <c r="K119" s="1">
        <f t="shared" si="2"/>
        <v>-0.0001700856995</v>
      </c>
      <c r="L119" s="1">
        <f t="shared" si="3"/>
        <v>-0.01700856995</v>
      </c>
      <c r="M119" s="1">
        <v>0.45</v>
      </c>
    </row>
    <row r="120" ht="15.75" customHeight="1">
      <c r="A120" s="7">
        <v>44061.0</v>
      </c>
      <c r="B120" s="1">
        <v>58.860001</v>
      </c>
      <c r="C120" s="1">
        <v>59.470001</v>
      </c>
      <c r="D120" s="1">
        <v>58.779999</v>
      </c>
      <c r="E120" s="1">
        <v>59.18</v>
      </c>
      <c r="F120" s="1">
        <v>57.319622</v>
      </c>
      <c r="G120" s="1">
        <v>1.01306E7</v>
      </c>
      <c r="I120" s="1">
        <f t="shared" si="1"/>
        <v>0.006805006896</v>
      </c>
      <c r="J120" s="1">
        <v>0.0</v>
      </c>
      <c r="K120" s="1">
        <f t="shared" si="2"/>
        <v>0.006805006896</v>
      </c>
      <c r="L120" s="1">
        <f t="shared" si="3"/>
        <v>0.6805006896</v>
      </c>
      <c r="M120" s="1">
        <v>0.22</v>
      </c>
    </row>
    <row r="121" ht="15.75" customHeight="1">
      <c r="A121" s="7">
        <v>44062.0</v>
      </c>
      <c r="B121" s="1">
        <v>59.360001</v>
      </c>
      <c r="C121" s="1">
        <v>59.439999</v>
      </c>
      <c r="D121" s="1">
        <v>58.93</v>
      </c>
      <c r="E121" s="1">
        <v>59.049999</v>
      </c>
      <c r="F121" s="1">
        <v>57.19371</v>
      </c>
      <c r="G121" s="1">
        <v>1.08163E7</v>
      </c>
      <c r="I121" s="1">
        <f t="shared" si="1"/>
        <v>-0.00219666487</v>
      </c>
      <c r="J121" s="1">
        <v>0.0</v>
      </c>
      <c r="K121" s="1">
        <f t="shared" si="2"/>
        <v>-0.00219666487</v>
      </c>
      <c r="L121" s="1">
        <f t="shared" si="3"/>
        <v>-0.219666487</v>
      </c>
      <c r="M121" s="1">
        <v>-0.38</v>
      </c>
    </row>
    <row r="122" ht="15.75" customHeight="1">
      <c r="A122" s="7">
        <v>44063.0</v>
      </c>
      <c r="B122" s="1">
        <v>58.599998</v>
      </c>
      <c r="C122" s="1">
        <v>59.09</v>
      </c>
      <c r="D122" s="1">
        <v>58.59</v>
      </c>
      <c r="E122" s="1">
        <v>58.959999</v>
      </c>
      <c r="F122" s="1">
        <v>57.106537</v>
      </c>
      <c r="G122" s="1">
        <v>8061500.0</v>
      </c>
      <c r="I122" s="1">
        <f t="shared" si="1"/>
        <v>-0.001524171102</v>
      </c>
      <c r="J122" s="1">
        <v>0.0</v>
      </c>
      <c r="K122" s="1">
        <f t="shared" si="2"/>
        <v>-0.001524171102</v>
      </c>
      <c r="L122" s="1">
        <f t="shared" si="3"/>
        <v>-0.1524171102</v>
      </c>
      <c r="M122" s="1">
        <v>0.31</v>
      </c>
    </row>
    <row r="123" ht="15.75" customHeight="1">
      <c r="A123" s="7">
        <v>44064.0</v>
      </c>
      <c r="B123" s="1">
        <v>59.0</v>
      </c>
      <c r="C123" s="1">
        <v>59.040001</v>
      </c>
      <c r="D123" s="1">
        <v>58.540001</v>
      </c>
      <c r="E123" s="1">
        <v>58.990002</v>
      </c>
      <c r="F123" s="1">
        <v>57.135597</v>
      </c>
      <c r="G123" s="1">
        <v>1.10593E7</v>
      </c>
      <c r="I123" s="1">
        <f t="shared" si="1"/>
        <v>0.0005088734412</v>
      </c>
      <c r="J123" s="1">
        <v>0.0</v>
      </c>
      <c r="K123" s="1">
        <f t="shared" si="2"/>
        <v>0.0005088734412</v>
      </c>
      <c r="L123" s="1">
        <f t="shared" si="3"/>
        <v>0.05088734412</v>
      </c>
      <c r="M123" s="1">
        <v>0.25</v>
      </c>
    </row>
    <row r="124" ht="15.75" customHeight="1">
      <c r="A124" s="7">
        <v>44067.0</v>
      </c>
      <c r="B124" s="1">
        <v>59.099998</v>
      </c>
      <c r="C124" s="1">
        <v>59.610001</v>
      </c>
      <c r="D124" s="1">
        <v>59.0</v>
      </c>
      <c r="E124" s="1">
        <v>59.57</v>
      </c>
      <c r="F124" s="1">
        <v>57.697361</v>
      </c>
      <c r="G124" s="1">
        <v>1.09315E7</v>
      </c>
      <c r="I124" s="1">
        <f t="shared" si="1"/>
        <v>0.009832119195</v>
      </c>
      <c r="J124" s="1">
        <v>0.0</v>
      </c>
      <c r="K124" s="1">
        <f t="shared" si="2"/>
        <v>0.009832119195</v>
      </c>
      <c r="L124" s="1">
        <f t="shared" si="3"/>
        <v>0.9832119195</v>
      </c>
      <c r="M124" s="1">
        <v>0.92</v>
      </c>
    </row>
    <row r="125" ht="15.75" customHeight="1">
      <c r="A125" s="7">
        <v>44068.0</v>
      </c>
      <c r="B125" s="1">
        <v>59.700001</v>
      </c>
      <c r="C125" s="1">
        <v>59.75</v>
      </c>
      <c r="D125" s="1">
        <v>59.18</v>
      </c>
      <c r="E125" s="1">
        <v>59.419998</v>
      </c>
      <c r="F125" s="1">
        <v>57.552078</v>
      </c>
      <c r="G125" s="1">
        <v>1.13168E7</v>
      </c>
      <c r="I125" s="1">
        <f t="shared" si="1"/>
        <v>-0.002518018112</v>
      </c>
      <c r="J125" s="1">
        <v>0.0</v>
      </c>
      <c r="K125" s="1">
        <f t="shared" si="2"/>
        <v>-0.002518018112</v>
      </c>
      <c r="L125" s="1">
        <f t="shared" si="3"/>
        <v>-0.2518018112</v>
      </c>
      <c r="M125" s="1">
        <v>0.36</v>
      </c>
    </row>
    <row r="126" ht="15.75" customHeight="1">
      <c r="A126" s="7">
        <v>44069.0</v>
      </c>
      <c r="B126" s="1">
        <v>59.299999</v>
      </c>
      <c r="C126" s="1">
        <v>59.5</v>
      </c>
      <c r="D126" s="1">
        <v>58.900002</v>
      </c>
      <c r="E126" s="1">
        <v>59.459999</v>
      </c>
      <c r="F126" s="1">
        <v>57.590824</v>
      </c>
      <c r="G126" s="1">
        <v>1.50964E7</v>
      </c>
      <c r="I126" s="1">
        <f t="shared" si="1"/>
        <v>0.0006732337275</v>
      </c>
      <c r="J126" s="1">
        <v>0.0</v>
      </c>
      <c r="K126" s="1">
        <f t="shared" si="2"/>
        <v>0.0006732337275</v>
      </c>
      <c r="L126" s="1">
        <f t="shared" si="3"/>
        <v>0.06732337275</v>
      </c>
      <c r="M126" s="1">
        <v>1.0</v>
      </c>
    </row>
    <row r="127" ht="15.75" customHeight="1">
      <c r="A127" s="7">
        <v>44070.0</v>
      </c>
      <c r="B127" s="1">
        <v>59.599998</v>
      </c>
      <c r="C127" s="1">
        <v>59.790001</v>
      </c>
      <c r="D127" s="1">
        <v>59.41</v>
      </c>
      <c r="E127" s="1">
        <v>59.43</v>
      </c>
      <c r="F127" s="1">
        <v>57.561768</v>
      </c>
      <c r="G127" s="1">
        <v>1.14053E7</v>
      </c>
      <c r="I127" s="1">
        <f t="shared" si="1"/>
        <v>-0.0005045248181</v>
      </c>
      <c r="J127" s="1">
        <v>0.0</v>
      </c>
      <c r="K127" s="1">
        <f t="shared" si="2"/>
        <v>-0.0005045248181</v>
      </c>
      <c r="L127" s="1">
        <f t="shared" si="3"/>
        <v>-0.05045248181</v>
      </c>
      <c r="M127" s="1">
        <v>0.18</v>
      </c>
    </row>
    <row r="128" ht="15.75" customHeight="1">
      <c r="A128" s="7">
        <v>44071.0</v>
      </c>
      <c r="B128" s="1">
        <v>59.41</v>
      </c>
      <c r="C128" s="1">
        <v>59.41</v>
      </c>
      <c r="D128" s="1">
        <v>58.82</v>
      </c>
      <c r="E128" s="1">
        <v>59.259998</v>
      </c>
      <c r="F128" s="1">
        <v>57.397106</v>
      </c>
      <c r="G128" s="1">
        <v>1.18739E7</v>
      </c>
      <c r="I128" s="1">
        <f t="shared" si="1"/>
        <v>-0.00286061401</v>
      </c>
      <c r="J128" s="1">
        <v>0.0</v>
      </c>
      <c r="K128" s="1">
        <f t="shared" si="2"/>
        <v>-0.00286061401</v>
      </c>
      <c r="L128" s="1">
        <f t="shared" si="3"/>
        <v>-0.286061401</v>
      </c>
      <c r="M128" s="1">
        <v>0.7</v>
      </c>
    </row>
    <row r="129" ht="15.75" customHeight="1">
      <c r="A129" s="7">
        <v>44074.0</v>
      </c>
      <c r="B129" s="1">
        <v>59.040001</v>
      </c>
      <c r="C129" s="1">
        <v>59.439999</v>
      </c>
      <c r="D129" s="1">
        <v>59.02</v>
      </c>
      <c r="E129" s="1">
        <v>59.27</v>
      </c>
      <c r="F129" s="1">
        <v>57.406796</v>
      </c>
      <c r="G129" s="1">
        <v>1.45555E7</v>
      </c>
      <c r="I129" s="1">
        <f t="shared" si="1"/>
        <v>0.0001688238428</v>
      </c>
      <c r="J129" s="1">
        <v>0.0</v>
      </c>
      <c r="K129" s="1">
        <f t="shared" si="2"/>
        <v>0.0001688238428</v>
      </c>
      <c r="L129" s="1">
        <f t="shared" si="3"/>
        <v>0.01688238428</v>
      </c>
      <c r="M129" s="1">
        <v>-0.04</v>
      </c>
    </row>
    <row r="130" ht="15.75" customHeight="1">
      <c r="A130" s="7">
        <v>44075.0</v>
      </c>
      <c r="B130" s="1">
        <v>59.119999</v>
      </c>
      <c r="C130" s="1">
        <v>59.299999</v>
      </c>
      <c r="D130" s="1">
        <v>58.779999</v>
      </c>
      <c r="E130" s="1">
        <v>59.16</v>
      </c>
      <c r="F130" s="1">
        <v>57.300251</v>
      </c>
      <c r="G130" s="1">
        <v>1.33594E7</v>
      </c>
      <c r="I130" s="1">
        <f t="shared" si="1"/>
        <v>-0.001855964928</v>
      </c>
      <c r="J130" s="1">
        <v>0.0</v>
      </c>
      <c r="K130" s="1">
        <f t="shared" si="2"/>
        <v>-0.001855964928</v>
      </c>
      <c r="L130" s="1">
        <f t="shared" si="3"/>
        <v>-0.1855964928</v>
      </c>
      <c r="M130" s="1">
        <v>0.92</v>
      </c>
    </row>
    <row r="131" ht="15.75" customHeight="1">
      <c r="A131" s="7">
        <v>44076.0</v>
      </c>
      <c r="B131" s="1">
        <v>59.150002</v>
      </c>
      <c r="C131" s="1">
        <v>60.740002</v>
      </c>
      <c r="D131" s="1">
        <v>59.0</v>
      </c>
      <c r="E131" s="1">
        <v>60.529999</v>
      </c>
      <c r="F131" s="1">
        <v>58.627186</v>
      </c>
      <c r="G131" s="1">
        <v>2.17119E7</v>
      </c>
      <c r="I131" s="1">
        <f t="shared" si="1"/>
        <v>0.02315757744</v>
      </c>
      <c r="J131" s="1">
        <v>0.0</v>
      </c>
      <c r="K131" s="1">
        <f t="shared" si="2"/>
        <v>0.02315757744</v>
      </c>
      <c r="L131" s="1">
        <f t="shared" si="3"/>
        <v>2.315757744</v>
      </c>
      <c r="M131" s="1">
        <v>1.27</v>
      </c>
    </row>
    <row r="132" ht="15.75" customHeight="1">
      <c r="A132" s="7">
        <v>44077.0</v>
      </c>
      <c r="B132" s="1">
        <v>60.830002</v>
      </c>
      <c r="C132" s="1">
        <v>61.279999</v>
      </c>
      <c r="D132" s="1">
        <v>60.139999</v>
      </c>
      <c r="E132" s="1">
        <v>60.610001</v>
      </c>
      <c r="F132" s="1">
        <v>58.70467</v>
      </c>
      <c r="G132" s="1">
        <v>2.31268E7</v>
      </c>
      <c r="I132" s="1">
        <f t="shared" si="1"/>
        <v>0.001321639418</v>
      </c>
      <c r="J132" s="1">
        <v>0.0</v>
      </c>
      <c r="K132" s="1">
        <f t="shared" si="2"/>
        <v>0.001321639418</v>
      </c>
      <c r="L132" s="1">
        <f t="shared" si="3"/>
        <v>0.1321639418</v>
      </c>
      <c r="M132" s="1">
        <v>-3.7</v>
      </c>
    </row>
    <row r="133" ht="15.75" customHeight="1">
      <c r="A133" s="7">
        <v>44078.0</v>
      </c>
      <c r="B133" s="1">
        <v>60.48</v>
      </c>
      <c r="C133" s="1">
        <v>61.5</v>
      </c>
      <c r="D133" s="1">
        <v>60.060001</v>
      </c>
      <c r="E133" s="1">
        <v>60.48</v>
      </c>
      <c r="F133" s="1">
        <v>58.578754</v>
      </c>
      <c r="G133" s="1">
        <v>2.22501E7</v>
      </c>
      <c r="I133" s="1">
        <f t="shared" si="1"/>
        <v>-0.002144906019</v>
      </c>
      <c r="J133" s="1">
        <v>0.0</v>
      </c>
      <c r="K133" s="1">
        <f t="shared" si="2"/>
        <v>-0.002144906019</v>
      </c>
      <c r="L133" s="1">
        <f t="shared" si="3"/>
        <v>-0.2144906019</v>
      </c>
      <c r="M133" s="1">
        <v>-0.87</v>
      </c>
    </row>
    <row r="134" ht="15.75" customHeight="1">
      <c r="A134" s="7">
        <v>44082.0</v>
      </c>
      <c r="B134" s="1">
        <v>60.799999</v>
      </c>
      <c r="C134" s="1">
        <v>60.799999</v>
      </c>
      <c r="D134" s="1">
        <v>59.619999</v>
      </c>
      <c r="E134" s="1">
        <v>59.959999</v>
      </c>
      <c r="F134" s="1">
        <v>58.075104</v>
      </c>
      <c r="G134" s="1">
        <v>1.84697E7</v>
      </c>
      <c r="I134" s="1">
        <f t="shared" si="1"/>
        <v>-0.008597827123</v>
      </c>
      <c r="J134" s="1">
        <v>0.0</v>
      </c>
      <c r="K134" s="1">
        <f t="shared" si="2"/>
        <v>-0.008597827123</v>
      </c>
      <c r="L134" s="1">
        <f t="shared" si="3"/>
        <v>-0.8597827123</v>
      </c>
      <c r="M134" s="1">
        <v>-2.91</v>
      </c>
    </row>
    <row r="135" ht="15.75" customHeight="1">
      <c r="A135" s="7">
        <v>44083.0</v>
      </c>
      <c r="B135" s="1">
        <v>60.119999</v>
      </c>
      <c r="C135" s="1">
        <v>60.75</v>
      </c>
      <c r="D135" s="1">
        <v>59.970001</v>
      </c>
      <c r="E135" s="1">
        <v>60.040001</v>
      </c>
      <c r="F135" s="1">
        <v>58.152588</v>
      </c>
      <c r="G135" s="1">
        <v>1.58962E7</v>
      </c>
      <c r="I135" s="1">
        <f t="shared" si="1"/>
        <v>0.001334203379</v>
      </c>
      <c r="J135" s="1">
        <v>0.0</v>
      </c>
      <c r="K135" s="1">
        <f t="shared" si="2"/>
        <v>0.001334203379</v>
      </c>
      <c r="L135" s="1">
        <f t="shared" si="3"/>
        <v>0.1334203379</v>
      </c>
      <c r="M135" s="1">
        <v>2.07</v>
      </c>
    </row>
    <row r="136" ht="15.75" customHeight="1">
      <c r="A136" s="7">
        <v>44084.0</v>
      </c>
      <c r="B136" s="1">
        <v>60.23</v>
      </c>
      <c r="C136" s="1">
        <v>60.25</v>
      </c>
      <c r="D136" s="1">
        <v>59.41</v>
      </c>
      <c r="E136" s="1">
        <v>59.529999</v>
      </c>
      <c r="F136" s="1">
        <v>57.658619</v>
      </c>
      <c r="G136" s="1">
        <v>1.58112E7</v>
      </c>
      <c r="I136" s="1">
        <f t="shared" si="1"/>
        <v>-0.008494359701</v>
      </c>
      <c r="J136" s="1">
        <v>0.0</v>
      </c>
      <c r="K136" s="1">
        <f t="shared" si="2"/>
        <v>-0.008494359701</v>
      </c>
      <c r="L136" s="1">
        <f t="shared" si="3"/>
        <v>-0.8494359701</v>
      </c>
      <c r="M136" s="1">
        <v>-1.64</v>
      </c>
    </row>
    <row r="137" ht="15.75" customHeight="1">
      <c r="A137" s="7">
        <v>44085.0</v>
      </c>
      <c r="B137" s="1">
        <v>59.580002</v>
      </c>
      <c r="C137" s="1">
        <v>59.959999</v>
      </c>
      <c r="D137" s="1">
        <v>59.360001</v>
      </c>
      <c r="E137" s="1">
        <v>59.790001</v>
      </c>
      <c r="F137" s="1">
        <v>57.91045</v>
      </c>
      <c r="G137" s="1">
        <v>1.39248E7</v>
      </c>
      <c r="I137" s="1">
        <f t="shared" si="1"/>
        <v>0.004367621084</v>
      </c>
      <c r="J137" s="1">
        <v>0.0</v>
      </c>
      <c r="K137" s="1">
        <f t="shared" si="2"/>
        <v>0.004367621084</v>
      </c>
      <c r="L137" s="1">
        <f t="shared" si="3"/>
        <v>0.4367621084</v>
      </c>
      <c r="M137" s="1">
        <v>-0.06</v>
      </c>
    </row>
    <row r="138" ht="15.75" customHeight="1">
      <c r="A138" s="7">
        <v>44088.0</v>
      </c>
      <c r="B138" s="1">
        <v>60.02</v>
      </c>
      <c r="C138" s="1">
        <v>60.779999</v>
      </c>
      <c r="D138" s="1">
        <v>60.0</v>
      </c>
      <c r="E138" s="1">
        <v>60.32</v>
      </c>
      <c r="F138" s="1">
        <v>58.423786</v>
      </c>
      <c r="G138" s="1">
        <v>1.19325E7</v>
      </c>
      <c r="I138" s="1">
        <f t="shared" si="1"/>
        <v>0.008864306874</v>
      </c>
      <c r="J138" s="1">
        <v>0.0</v>
      </c>
      <c r="K138" s="1">
        <f t="shared" si="2"/>
        <v>0.008864306874</v>
      </c>
      <c r="L138" s="1">
        <f t="shared" si="3"/>
        <v>0.8864306874</v>
      </c>
      <c r="M138" s="1">
        <v>1.59</v>
      </c>
    </row>
    <row r="139" ht="15.75" customHeight="1">
      <c r="A139" s="7">
        <v>44089.0</v>
      </c>
      <c r="B139" s="1">
        <v>60.110001</v>
      </c>
      <c r="C139" s="1">
        <v>61.099998</v>
      </c>
      <c r="D139" s="1">
        <v>60.099998</v>
      </c>
      <c r="E139" s="1">
        <v>60.599998</v>
      </c>
      <c r="F139" s="1">
        <v>58.694984</v>
      </c>
      <c r="G139" s="1">
        <v>9444300.0</v>
      </c>
      <c r="I139" s="1">
        <f t="shared" si="1"/>
        <v>0.004641910745</v>
      </c>
      <c r="J139" s="1">
        <v>0.0</v>
      </c>
      <c r="K139" s="1">
        <f t="shared" si="2"/>
        <v>0.004641910745</v>
      </c>
      <c r="L139" s="1">
        <f t="shared" si="3"/>
        <v>0.4641910745</v>
      </c>
      <c r="M139" s="1">
        <v>0.57</v>
      </c>
    </row>
    <row r="140" ht="15.75" customHeight="1">
      <c r="A140" s="7">
        <v>44090.0</v>
      </c>
      <c r="B140" s="1">
        <v>60.529999</v>
      </c>
      <c r="C140" s="1">
        <v>60.93</v>
      </c>
      <c r="D140" s="1">
        <v>60.32</v>
      </c>
      <c r="E140" s="1">
        <v>60.369999</v>
      </c>
      <c r="F140" s="1">
        <v>58.472214</v>
      </c>
      <c r="G140" s="1">
        <v>1.2699E7</v>
      </c>
      <c r="I140" s="1">
        <f t="shared" si="1"/>
        <v>-0.003795383946</v>
      </c>
      <c r="J140" s="1">
        <v>0.0</v>
      </c>
      <c r="K140" s="1">
        <f t="shared" si="2"/>
        <v>-0.003795383946</v>
      </c>
      <c r="L140" s="1">
        <f t="shared" si="3"/>
        <v>-0.3795383946</v>
      </c>
      <c r="M140" s="1">
        <v>-0.39</v>
      </c>
    </row>
    <row r="141" ht="15.75" customHeight="1">
      <c r="A141" s="7">
        <v>44091.0</v>
      </c>
      <c r="B141" s="1">
        <v>60.599998</v>
      </c>
      <c r="C141" s="1">
        <v>60.990002</v>
      </c>
      <c r="D141" s="1">
        <v>60.099998</v>
      </c>
      <c r="E141" s="1">
        <v>60.59</v>
      </c>
      <c r="F141" s="1">
        <v>58.685299</v>
      </c>
      <c r="G141" s="1">
        <v>1.49962E7</v>
      </c>
      <c r="I141" s="1">
        <f t="shared" si="1"/>
        <v>0.003644209539</v>
      </c>
      <c r="J141" s="1">
        <v>0.0</v>
      </c>
      <c r="K141" s="1">
        <f t="shared" si="2"/>
        <v>0.003644209539</v>
      </c>
      <c r="L141" s="1">
        <f t="shared" si="3"/>
        <v>0.3644209539</v>
      </c>
      <c r="M141" s="1">
        <v>-0.85</v>
      </c>
    </row>
    <row r="142" ht="15.75" customHeight="1">
      <c r="A142" s="7">
        <v>44092.0</v>
      </c>
      <c r="B142" s="1">
        <v>60.18</v>
      </c>
      <c r="C142" s="1">
        <v>60.939999</v>
      </c>
      <c r="D142" s="1">
        <v>60.150002</v>
      </c>
      <c r="E142" s="1">
        <v>60.349998</v>
      </c>
      <c r="F142" s="1">
        <v>58.452843</v>
      </c>
      <c r="G142" s="1">
        <v>2.25845E7</v>
      </c>
      <c r="I142" s="1">
        <f t="shared" si="1"/>
        <v>-0.003961060163</v>
      </c>
      <c r="J142" s="1">
        <v>0.0</v>
      </c>
      <c r="K142" s="1">
        <f t="shared" si="2"/>
        <v>-0.003961060163</v>
      </c>
      <c r="L142" s="1">
        <f t="shared" si="3"/>
        <v>-0.3961060163</v>
      </c>
      <c r="M142" s="1">
        <v>-0.88</v>
      </c>
    </row>
    <row r="143" ht="15.75" customHeight="1">
      <c r="A143" s="7">
        <v>44095.0</v>
      </c>
      <c r="B143" s="1">
        <v>60.0</v>
      </c>
      <c r="C143" s="1">
        <v>60.080002</v>
      </c>
      <c r="D143" s="1">
        <v>59.02</v>
      </c>
      <c r="E143" s="1">
        <v>59.610001</v>
      </c>
      <c r="F143" s="1">
        <v>57.736107</v>
      </c>
      <c r="G143" s="1">
        <v>1.58714E7</v>
      </c>
      <c r="I143" s="1">
        <f t="shared" si="1"/>
        <v>-0.01226178169</v>
      </c>
      <c r="J143" s="1">
        <v>0.0</v>
      </c>
      <c r="K143" s="1">
        <f t="shared" si="2"/>
        <v>-0.01226178169</v>
      </c>
      <c r="L143" s="1">
        <f t="shared" si="3"/>
        <v>-1.226178169</v>
      </c>
      <c r="M143" s="1">
        <v>-1.08</v>
      </c>
    </row>
    <row r="144" ht="15.75" customHeight="1">
      <c r="A144" s="7">
        <v>44096.0</v>
      </c>
      <c r="B144" s="1">
        <v>59.73</v>
      </c>
      <c r="C144" s="1">
        <v>60.369999</v>
      </c>
      <c r="D144" s="1">
        <v>59.52</v>
      </c>
      <c r="E144" s="1">
        <v>59.82</v>
      </c>
      <c r="F144" s="1">
        <v>57.939503</v>
      </c>
      <c r="G144" s="1">
        <v>1.21989E7</v>
      </c>
      <c r="I144" s="1">
        <f t="shared" si="1"/>
        <v>0.003522856157</v>
      </c>
      <c r="J144" s="1">
        <v>0.0</v>
      </c>
      <c r="K144" s="1">
        <f t="shared" si="2"/>
        <v>0.003522856157</v>
      </c>
      <c r="L144" s="1">
        <f t="shared" si="3"/>
        <v>0.3522856157</v>
      </c>
      <c r="M144" s="1">
        <v>1.02</v>
      </c>
    </row>
    <row r="145" ht="15.75" customHeight="1">
      <c r="A145" s="7">
        <v>44097.0</v>
      </c>
      <c r="B145" s="1">
        <v>59.830002</v>
      </c>
      <c r="C145" s="1">
        <v>60.139999</v>
      </c>
      <c r="D145" s="1">
        <v>58.849998</v>
      </c>
      <c r="E145" s="1">
        <v>58.91</v>
      </c>
      <c r="F145" s="1">
        <v>57.058109</v>
      </c>
      <c r="G145" s="1">
        <v>1.54162E7</v>
      </c>
      <c r="I145" s="1">
        <f t="shared" si="1"/>
        <v>-0.01521231551</v>
      </c>
      <c r="J145" s="1">
        <v>0.0</v>
      </c>
      <c r="K145" s="1">
        <f t="shared" si="2"/>
        <v>-0.01521231551</v>
      </c>
      <c r="L145" s="1">
        <f t="shared" si="3"/>
        <v>-1.521231551</v>
      </c>
      <c r="M145" s="1">
        <v>-2.48</v>
      </c>
    </row>
    <row r="146" ht="15.75" customHeight="1">
      <c r="A146" s="7">
        <v>44098.0</v>
      </c>
      <c r="B146" s="1">
        <v>59.0</v>
      </c>
      <c r="C146" s="1">
        <v>59.560001</v>
      </c>
      <c r="D146" s="1">
        <v>58.650002</v>
      </c>
      <c r="E146" s="1">
        <v>59.189999</v>
      </c>
      <c r="F146" s="1">
        <v>57.329308</v>
      </c>
      <c r="G146" s="1">
        <v>1.08753E7</v>
      </c>
      <c r="I146" s="1">
        <f t="shared" si="1"/>
        <v>0.004753031686</v>
      </c>
      <c r="J146" s="1">
        <v>0.0</v>
      </c>
      <c r="K146" s="1">
        <f t="shared" si="2"/>
        <v>0.004753031686</v>
      </c>
      <c r="L146" s="1">
        <f t="shared" si="3"/>
        <v>0.4753031686</v>
      </c>
      <c r="M146" s="1">
        <v>0.25</v>
      </c>
    </row>
    <row r="147" ht="15.75" customHeight="1">
      <c r="A147" s="7">
        <v>44099.0</v>
      </c>
      <c r="B147" s="1">
        <v>58.849998</v>
      </c>
      <c r="C147" s="1">
        <v>59.450001</v>
      </c>
      <c r="D147" s="1">
        <v>58.810001</v>
      </c>
      <c r="E147" s="1">
        <v>59.389999</v>
      </c>
      <c r="F147" s="1">
        <v>57.523022</v>
      </c>
      <c r="G147" s="1">
        <v>1.06763E7</v>
      </c>
      <c r="I147" s="1">
        <f t="shared" si="1"/>
        <v>0.003378969793</v>
      </c>
      <c r="J147" s="1">
        <v>0.0</v>
      </c>
      <c r="K147" s="1">
        <f t="shared" si="2"/>
        <v>0.003378969793</v>
      </c>
      <c r="L147" s="1">
        <f t="shared" si="3"/>
        <v>0.3378969793</v>
      </c>
      <c r="M147" s="1">
        <v>1.72</v>
      </c>
    </row>
    <row r="148" ht="15.75" customHeight="1">
      <c r="A148" s="7">
        <v>44102.0</v>
      </c>
      <c r="B148" s="1">
        <v>59.560001</v>
      </c>
      <c r="C148" s="1">
        <v>59.799999</v>
      </c>
      <c r="D148" s="1">
        <v>59.18</v>
      </c>
      <c r="E148" s="1">
        <v>59.360001</v>
      </c>
      <c r="F148" s="1">
        <v>57.493969</v>
      </c>
      <c r="G148" s="1">
        <v>1.19105E7</v>
      </c>
      <c r="I148" s="1">
        <f t="shared" si="1"/>
        <v>-0.000505067345</v>
      </c>
      <c r="J148" s="1">
        <v>0.0</v>
      </c>
      <c r="K148" s="1">
        <f t="shared" si="2"/>
        <v>-0.000505067345</v>
      </c>
      <c r="L148" s="1">
        <f t="shared" si="3"/>
        <v>-0.0505067345</v>
      </c>
      <c r="M148" s="1">
        <v>1.66</v>
      </c>
    </row>
    <row r="149" ht="15.75" customHeight="1">
      <c r="A149" s="7">
        <v>44103.0</v>
      </c>
      <c r="B149" s="1">
        <v>59.279999</v>
      </c>
      <c r="C149" s="1">
        <v>59.490002</v>
      </c>
      <c r="D149" s="1">
        <v>59.099998</v>
      </c>
      <c r="E149" s="1">
        <v>59.240002</v>
      </c>
      <c r="F149" s="1">
        <v>57.377743</v>
      </c>
      <c r="G149" s="1">
        <v>1.00059E7</v>
      </c>
      <c r="I149" s="1">
        <f t="shared" si="1"/>
        <v>-0.002021533772</v>
      </c>
      <c r="J149" s="1">
        <v>0.0</v>
      </c>
      <c r="K149" s="1">
        <f t="shared" si="2"/>
        <v>-0.002021533772</v>
      </c>
      <c r="L149" s="1">
        <f t="shared" si="3"/>
        <v>-0.2021533772</v>
      </c>
      <c r="M149" s="1">
        <v>-0.42</v>
      </c>
    </row>
    <row r="150" ht="15.75" customHeight="1">
      <c r="A150" s="7">
        <v>44104.0</v>
      </c>
      <c r="B150" s="1">
        <v>59.459999</v>
      </c>
      <c r="C150" s="1">
        <v>59.709999</v>
      </c>
      <c r="D150" s="1">
        <v>59.049999</v>
      </c>
      <c r="E150" s="1">
        <v>59.490002</v>
      </c>
      <c r="F150" s="1">
        <v>57.619884</v>
      </c>
      <c r="G150" s="1">
        <v>1.63484E7</v>
      </c>
      <c r="I150" s="1">
        <f t="shared" si="1"/>
        <v>0.004220120683</v>
      </c>
      <c r="J150" s="1">
        <v>0.0</v>
      </c>
      <c r="K150" s="1">
        <f t="shared" si="2"/>
        <v>0.004220120683</v>
      </c>
      <c r="L150" s="1">
        <f t="shared" si="3"/>
        <v>0.4220120683</v>
      </c>
      <c r="M150" s="1">
        <v>0.79</v>
      </c>
    </row>
    <row r="151" ht="15.75" customHeight="1">
      <c r="A151" s="7">
        <v>44105.0</v>
      </c>
      <c r="B151" s="1">
        <v>59.400002</v>
      </c>
      <c r="C151" s="1">
        <v>59.599998</v>
      </c>
      <c r="D151" s="1">
        <v>59.029999</v>
      </c>
      <c r="E151" s="1">
        <v>59.450001</v>
      </c>
      <c r="F151" s="1">
        <v>57.581139</v>
      </c>
      <c r="G151" s="1">
        <v>1.45471E7</v>
      </c>
      <c r="I151" s="1">
        <f t="shared" si="1"/>
        <v>-0.0006724241236</v>
      </c>
      <c r="J151" s="1">
        <v>0.0</v>
      </c>
      <c r="K151" s="1">
        <f t="shared" si="2"/>
        <v>-0.0006724241236</v>
      </c>
      <c r="L151" s="1">
        <f t="shared" si="3"/>
        <v>-0.06724241236</v>
      </c>
      <c r="M151" s="1">
        <v>0.79</v>
      </c>
    </row>
    <row r="152" ht="15.75" customHeight="1">
      <c r="A152" s="7">
        <v>44106.0</v>
      </c>
      <c r="B152" s="1">
        <v>59.290001</v>
      </c>
      <c r="C152" s="1">
        <v>59.549999</v>
      </c>
      <c r="D152" s="1">
        <v>59.110001</v>
      </c>
      <c r="E152" s="1">
        <v>59.240002</v>
      </c>
      <c r="F152" s="1">
        <v>57.377743</v>
      </c>
      <c r="G152" s="1">
        <v>1.07418E7</v>
      </c>
      <c r="I152" s="1">
        <f t="shared" si="1"/>
        <v>-0.003532337212</v>
      </c>
      <c r="J152" s="1">
        <v>0.0</v>
      </c>
      <c r="K152" s="1">
        <f t="shared" si="2"/>
        <v>-0.003532337212</v>
      </c>
      <c r="L152" s="1">
        <f t="shared" si="3"/>
        <v>-0.3532337212</v>
      </c>
      <c r="M152" s="1">
        <v>-0.96</v>
      </c>
    </row>
    <row r="153" ht="15.75" customHeight="1">
      <c r="A153" s="7">
        <v>44109.0</v>
      </c>
      <c r="B153" s="1">
        <v>59.630001</v>
      </c>
      <c r="C153" s="1">
        <v>59.84</v>
      </c>
      <c r="D153" s="1">
        <v>59.259998</v>
      </c>
      <c r="E153" s="1">
        <v>59.66</v>
      </c>
      <c r="F153" s="1">
        <v>57.784534</v>
      </c>
      <c r="G153" s="1">
        <v>1.04574E7</v>
      </c>
      <c r="I153" s="1">
        <f t="shared" si="1"/>
        <v>0.007089700269</v>
      </c>
      <c r="J153" s="1">
        <v>0.0</v>
      </c>
      <c r="K153" s="1">
        <f t="shared" si="2"/>
        <v>0.007089700269</v>
      </c>
      <c r="L153" s="1">
        <f t="shared" si="3"/>
        <v>0.7089700269</v>
      </c>
      <c r="M153" s="1">
        <v>1.93</v>
      </c>
    </row>
    <row r="154" ht="15.75" customHeight="1">
      <c r="A154" s="7">
        <v>44110.0</v>
      </c>
      <c r="B154" s="1">
        <v>59.759998</v>
      </c>
      <c r="C154" s="1">
        <v>59.970001</v>
      </c>
      <c r="D154" s="1">
        <v>59.330002</v>
      </c>
      <c r="E154" s="1">
        <v>59.459999</v>
      </c>
      <c r="F154" s="1">
        <v>57.590824</v>
      </c>
      <c r="G154" s="1">
        <v>1.25249E7</v>
      </c>
      <c r="I154" s="1">
        <f t="shared" si="1"/>
        <v>-0.003352281079</v>
      </c>
      <c r="J154" s="1">
        <v>0.0</v>
      </c>
      <c r="K154" s="1">
        <f t="shared" si="2"/>
        <v>-0.003352281079</v>
      </c>
      <c r="L154" s="1">
        <f t="shared" si="3"/>
        <v>-0.3352281079</v>
      </c>
      <c r="M154" s="1">
        <v>-1.28</v>
      </c>
    </row>
    <row r="155" ht="15.75" customHeight="1">
      <c r="A155" s="7">
        <v>44111.0</v>
      </c>
      <c r="B155" s="1">
        <v>59.619999</v>
      </c>
      <c r="C155" s="1">
        <v>59.779999</v>
      </c>
      <c r="D155" s="1">
        <v>59.200001</v>
      </c>
      <c r="E155" s="1">
        <v>59.610001</v>
      </c>
      <c r="F155" s="1">
        <v>57.736107</v>
      </c>
      <c r="G155" s="1">
        <v>1.36747E7</v>
      </c>
      <c r="I155" s="1">
        <f t="shared" si="1"/>
        <v>0.002522676182</v>
      </c>
      <c r="J155" s="1">
        <v>0.0</v>
      </c>
      <c r="K155" s="1">
        <f t="shared" si="2"/>
        <v>0.002522676182</v>
      </c>
      <c r="L155" s="1">
        <f t="shared" si="3"/>
        <v>0.2522676182</v>
      </c>
      <c r="M155" s="1">
        <v>1.84</v>
      </c>
    </row>
    <row r="156" ht="15.75" customHeight="1">
      <c r="A156" s="7">
        <v>44112.0</v>
      </c>
      <c r="B156" s="1">
        <v>59.119999</v>
      </c>
      <c r="C156" s="1">
        <v>59.73</v>
      </c>
      <c r="D156" s="1">
        <v>58.970001</v>
      </c>
      <c r="E156" s="1">
        <v>59.189999</v>
      </c>
      <c r="F156" s="1">
        <v>57.939713</v>
      </c>
      <c r="G156" s="1">
        <v>1.42664E7</v>
      </c>
      <c r="I156" s="1">
        <f t="shared" si="1"/>
        <v>0.003526493395</v>
      </c>
      <c r="J156" s="1">
        <v>0.0</v>
      </c>
      <c r="K156" s="1">
        <f t="shared" si="2"/>
        <v>0.003526493395</v>
      </c>
      <c r="L156" s="1">
        <f t="shared" si="3"/>
        <v>0.3526493395</v>
      </c>
      <c r="M156" s="1">
        <v>0.8</v>
      </c>
    </row>
    <row r="157" ht="15.75" customHeight="1">
      <c r="A157" s="7">
        <v>44113.0</v>
      </c>
      <c r="B157" s="1">
        <v>59.25</v>
      </c>
      <c r="C157" s="1">
        <v>59.540001</v>
      </c>
      <c r="D157" s="1">
        <v>59.080002</v>
      </c>
      <c r="E157" s="1">
        <v>59.330002</v>
      </c>
      <c r="F157" s="1">
        <v>58.076756</v>
      </c>
      <c r="G157" s="1">
        <v>9846200.0</v>
      </c>
      <c r="I157" s="1">
        <f t="shared" si="1"/>
        <v>0.002365268879</v>
      </c>
      <c r="J157" s="1">
        <v>0.0</v>
      </c>
      <c r="K157" s="1">
        <f t="shared" si="2"/>
        <v>0.002365268879</v>
      </c>
      <c r="L157" s="1">
        <f t="shared" si="3"/>
        <v>0.2365268879</v>
      </c>
      <c r="M157" s="1">
        <v>0.93</v>
      </c>
    </row>
    <row r="158" ht="15.75" customHeight="1">
      <c r="A158" s="7">
        <v>44116.0</v>
      </c>
      <c r="B158" s="1">
        <v>59.330002</v>
      </c>
      <c r="C158" s="1">
        <v>59.68</v>
      </c>
      <c r="D158" s="1">
        <v>59.150002</v>
      </c>
      <c r="E158" s="1">
        <v>59.549999</v>
      </c>
      <c r="F158" s="1">
        <v>58.292107</v>
      </c>
      <c r="G158" s="1">
        <v>2.02112E7</v>
      </c>
      <c r="I158" s="1">
        <f t="shared" si="1"/>
        <v>0.003708041131</v>
      </c>
      <c r="J158" s="1">
        <v>0.0</v>
      </c>
      <c r="K158" s="1">
        <f t="shared" si="2"/>
        <v>0.003708041131</v>
      </c>
      <c r="L158" s="1">
        <f t="shared" si="3"/>
        <v>0.3708041131</v>
      </c>
      <c r="M158" s="1">
        <v>1.53</v>
      </c>
    </row>
    <row r="159" ht="15.75" customHeight="1">
      <c r="A159" s="7">
        <v>44117.0</v>
      </c>
      <c r="B159" s="1">
        <v>59.700001</v>
      </c>
      <c r="C159" s="1">
        <v>59.720001</v>
      </c>
      <c r="D159" s="1">
        <v>58.849998</v>
      </c>
      <c r="E159" s="1">
        <v>59.360001</v>
      </c>
      <c r="F159" s="1">
        <v>58.106121</v>
      </c>
      <c r="G159" s="1">
        <v>2.21096E7</v>
      </c>
      <c r="I159" s="1">
        <f t="shared" si="1"/>
        <v>-0.003190586334</v>
      </c>
      <c r="J159" s="1">
        <v>0.0</v>
      </c>
      <c r="K159" s="1">
        <f t="shared" si="2"/>
        <v>-0.003190586334</v>
      </c>
      <c r="L159" s="1">
        <f t="shared" si="3"/>
        <v>-0.3190586334</v>
      </c>
      <c r="M159" s="1">
        <v>-0.41</v>
      </c>
    </row>
    <row r="160" ht="15.75" customHeight="1">
      <c r="A160" s="7">
        <v>44118.0</v>
      </c>
      <c r="B160" s="1">
        <v>59.459999</v>
      </c>
      <c r="C160" s="1">
        <v>59.52</v>
      </c>
      <c r="D160" s="1">
        <v>58.389999</v>
      </c>
      <c r="E160" s="1">
        <v>58.43</v>
      </c>
      <c r="F160" s="1">
        <v>57.195766</v>
      </c>
      <c r="G160" s="1">
        <v>1.65967E7</v>
      </c>
      <c r="I160" s="1">
        <f t="shared" si="1"/>
        <v>-0.01566711018</v>
      </c>
      <c r="J160" s="1">
        <v>0.0</v>
      </c>
      <c r="K160" s="1">
        <f t="shared" si="2"/>
        <v>-0.01566711018</v>
      </c>
      <c r="L160" s="1">
        <f t="shared" si="3"/>
        <v>-1.566711018</v>
      </c>
      <c r="M160" s="1">
        <v>-0.65</v>
      </c>
    </row>
    <row r="161" ht="15.75" customHeight="1">
      <c r="A161" s="7">
        <v>44119.0</v>
      </c>
      <c r="B161" s="1">
        <v>58.110001</v>
      </c>
      <c r="C161" s="1">
        <v>58.279999</v>
      </c>
      <c r="D161" s="1">
        <v>57.720001</v>
      </c>
      <c r="E161" s="1">
        <v>58.16</v>
      </c>
      <c r="F161" s="1">
        <v>56.931465</v>
      </c>
      <c r="G161" s="1">
        <v>1.36445E7</v>
      </c>
      <c r="I161" s="1">
        <f t="shared" si="1"/>
        <v>-0.004620988903</v>
      </c>
      <c r="J161" s="1">
        <v>0.0</v>
      </c>
      <c r="K161" s="1">
        <f t="shared" si="2"/>
        <v>-0.004620988903</v>
      </c>
      <c r="L161" s="1">
        <f t="shared" si="3"/>
        <v>-0.4620988903</v>
      </c>
      <c r="M161" s="1">
        <v>-0.08</v>
      </c>
    </row>
    <row r="162" ht="15.75" customHeight="1">
      <c r="A162" s="7">
        <v>44120.0</v>
      </c>
      <c r="B162" s="1">
        <v>58.080002</v>
      </c>
      <c r="C162" s="1">
        <v>58.43</v>
      </c>
      <c r="D162" s="1">
        <v>58.009998</v>
      </c>
      <c r="E162" s="1">
        <v>58.049999</v>
      </c>
      <c r="F162" s="1">
        <v>56.823792</v>
      </c>
      <c r="G162" s="1">
        <v>1.33642E7</v>
      </c>
      <c r="I162" s="1">
        <f t="shared" si="1"/>
        <v>-0.001891274008</v>
      </c>
      <c r="J162" s="1">
        <v>0.0</v>
      </c>
      <c r="K162" s="1">
        <f t="shared" si="2"/>
        <v>-0.001891274008</v>
      </c>
      <c r="L162" s="1">
        <f t="shared" si="3"/>
        <v>-0.1891274008</v>
      </c>
      <c r="M162" s="1">
        <v>-0.06</v>
      </c>
    </row>
    <row r="163" ht="15.75" customHeight="1">
      <c r="A163" s="7">
        <v>44123.0</v>
      </c>
      <c r="B163" s="1">
        <v>58.150002</v>
      </c>
      <c r="C163" s="1">
        <v>58.290001</v>
      </c>
      <c r="D163" s="1">
        <v>57.080002</v>
      </c>
      <c r="E163" s="1">
        <v>57.299999</v>
      </c>
      <c r="F163" s="1">
        <v>56.08963</v>
      </c>
      <c r="G163" s="1">
        <v>1.60751E7</v>
      </c>
      <c r="I163" s="1">
        <f t="shared" si="1"/>
        <v>-0.01291997549</v>
      </c>
      <c r="J163" s="1">
        <v>0.0</v>
      </c>
      <c r="K163" s="1">
        <f t="shared" si="2"/>
        <v>-0.01291997549</v>
      </c>
      <c r="L163" s="1">
        <f t="shared" si="3"/>
        <v>-1.291997549</v>
      </c>
      <c r="M163" s="1">
        <v>-1.53</v>
      </c>
    </row>
    <row r="164" ht="15.75" customHeight="1">
      <c r="A164" s="7">
        <v>44124.0</v>
      </c>
      <c r="B164" s="1">
        <v>57.540001</v>
      </c>
      <c r="C164" s="1">
        <v>57.669998</v>
      </c>
      <c r="D164" s="1">
        <v>56.759998</v>
      </c>
      <c r="E164" s="1">
        <v>57.25</v>
      </c>
      <c r="F164" s="1">
        <v>56.040688</v>
      </c>
      <c r="G164" s="1">
        <v>1.86962E7</v>
      </c>
      <c r="I164" s="1">
        <f t="shared" si="1"/>
        <v>-0.0008725677099</v>
      </c>
      <c r="J164" s="1">
        <v>0.0</v>
      </c>
      <c r="K164" s="1">
        <f t="shared" si="2"/>
        <v>-0.0008725677099</v>
      </c>
      <c r="L164" s="1">
        <f t="shared" si="3"/>
        <v>-0.08725677099</v>
      </c>
      <c r="M164" s="1">
        <v>0.34</v>
      </c>
    </row>
    <row r="165" ht="15.75" customHeight="1">
      <c r="A165" s="7">
        <v>44125.0</v>
      </c>
      <c r="B165" s="1">
        <v>57.110001</v>
      </c>
      <c r="C165" s="1">
        <v>57.709999</v>
      </c>
      <c r="D165" s="1">
        <v>56.689999</v>
      </c>
      <c r="E165" s="1">
        <v>56.75</v>
      </c>
      <c r="F165" s="1">
        <v>55.551254</v>
      </c>
      <c r="G165" s="1">
        <v>2.14983E7</v>
      </c>
      <c r="I165" s="1">
        <f t="shared" si="1"/>
        <v>-0.008733547311</v>
      </c>
      <c r="J165" s="1">
        <v>0.0</v>
      </c>
      <c r="K165" s="1">
        <f t="shared" si="2"/>
        <v>-0.008733547311</v>
      </c>
      <c r="L165" s="1">
        <f t="shared" si="3"/>
        <v>-0.8733547311</v>
      </c>
      <c r="M165" s="1">
        <v>-0.36</v>
      </c>
    </row>
    <row r="166" ht="15.75" customHeight="1">
      <c r="A166" s="7">
        <v>44126.0</v>
      </c>
      <c r="B166" s="1">
        <v>56.93</v>
      </c>
      <c r="C166" s="1">
        <v>57.66</v>
      </c>
      <c r="D166" s="1">
        <v>56.509998</v>
      </c>
      <c r="E166" s="1">
        <v>57.330002</v>
      </c>
      <c r="F166" s="1">
        <v>56.119003</v>
      </c>
      <c r="G166" s="1">
        <v>1.66361E7</v>
      </c>
      <c r="I166" s="1">
        <f t="shared" si="1"/>
        <v>0.01022027334</v>
      </c>
      <c r="J166" s="1">
        <v>0.0</v>
      </c>
      <c r="K166" s="1">
        <f t="shared" si="2"/>
        <v>0.01022027334</v>
      </c>
      <c r="L166" s="1">
        <f t="shared" si="3"/>
        <v>1.022027334</v>
      </c>
      <c r="M166" s="1">
        <v>0.67</v>
      </c>
    </row>
    <row r="167" ht="15.75" customHeight="1">
      <c r="A167" s="7">
        <v>44127.0</v>
      </c>
      <c r="B167" s="1">
        <v>57.75</v>
      </c>
      <c r="C167" s="1">
        <v>57.970001</v>
      </c>
      <c r="D167" s="1">
        <v>57.459999</v>
      </c>
      <c r="E167" s="1">
        <v>57.959999</v>
      </c>
      <c r="F167" s="1">
        <v>56.735691</v>
      </c>
      <c r="G167" s="1">
        <v>1.28796E7</v>
      </c>
      <c r="I167" s="1">
        <f t="shared" si="1"/>
        <v>0.01098893364</v>
      </c>
      <c r="J167" s="1">
        <v>0.0</v>
      </c>
      <c r="K167" s="1">
        <f t="shared" si="2"/>
        <v>0.01098893364</v>
      </c>
      <c r="L167" s="1">
        <f t="shared" si="3"/>
        <v>1.098893364</v>
      </c>
      <c r="M167" s="1">
        <v>0.38</v>
      </c>
    </row>
    <row r="168" ht="15.75" customHeight="1">
      <c r="A168" s="7">
        <v>44130.0</v>
      </c>
      <c r="B168" s="1">
        <v>57.52</v>
      </c>
      <c r="C168" s="1">
        <v>57.849998</v>
      </c>
      <c r="D168" s="1">
        <v>56.970001</v>
      </c>
      <c r="E168" s="1">
        <v>57.810001</v>
      </c>
      <c r="F168" s="1">
        <v>56.58886</v>
      </c>
      <c r="G168" s="1">
        <v>1.51968E7</v>
      </c>
      <c r="I168" s="1">
        <f t="shared" si="1"/>
        <v>-0.002587982933</v>
      </c>
      <c r="J168" s="1">
        <v>0.0</v>
      </c>
      <c r="K168" s="1">
        <f t="shared" si="2"/>
        <v>-0.002587982933</v>
      </c>
      <c r="L168" s="1">
        <f t="shared" si="3"/>
        <v>-0.2587982933</v>
      </c>
      <c r="M168" s="1">
        <v>-1.85</v>
      </c>
    </row>
    <row r="169" ht="15.75" customHeight="1">
      <c r="A169" s="7">
        <v>44131.0</v>
      </c>
      <c r="B169" s="1">
        <v>57.700001</v>
      </c>
      <c r="C169" s="1">
        <v>57.849998</v>
      </c>
      <c r="D169" s="1">
        <v>57.310001</v>
      </c>
      <c r="E169" s="1">
        <v>57.380001</v>
      </c>
      <c r="F169" s="1">
        <v>56.167946</v>
      </c>
      <c r="G169" s="1">
        <v>1.2253E7</v>
      </c>
      <c r="I169" s="1">
        <f t="shared" si="1"/>
        <v>-0.007438107076</v>
      </c>
      <c r="J169" s="1">
        <v>0.0</v>
      </c>
      <c r="K169" s="1">
        <f t="shared" si="2"/>
        <v>-0.007438107076</v>
      </c>
      <c r="L169" s="1">
        <f t="shared" si="3"/>
        <v>-0.7438107076</v>
      </c>
      <c r="M169" s="1">
        <v>-0.23</v>
      </c>
    </row>
    <row r="170" ht="15.75" customHeight="1">
      <c r="A170" s="7">
        <v>44132.0</v>
      </c>
      <c r="B170" s="1">
        <v>56.919998</v>
      </c>
      <c r="C170" s="1">
        <v>57.349998</v>
      </c>
      <c r="D170" s="1">
        <v>56.119999</v>
      </c>
      <c r="E170" s="1">
        <v>56.310001</v>
      </c>
      <c r="F170" s="1">
        <v>55.120544</v>
      </c>
      <c r="G170" s="1">
        <v>1.87202E7</v>
      </c>
      <c r="I170" s="1">
        <f t="shared" si="1"/>
        <v>-0.01864768208</v>
      </c>
      <c r="J170" s="1">
        <v>0.0</v>
      </c>
      <c r="K170" s="1">
        <f t="shared" si="2"/>
        <v>-0.01864768208</v>
      </c>
      <c r="L170" s="1">
        <f t="shared" si="3"/>
        <v>-1.864768208</v>
      </c>
      <c r="M170" s="1">
        <v>-3.41</v>
      </c>
    </row>
    <row r="171" ht="15.75" customHeight="1">
      <c r="A171" s="7">
        <v>44133.0</v>
      </c>
      <c r="B171" s="1">
        <v>56.16</v>
      </c>
      <c r="C171" s="1">
        <v>57.310001</v>
      </c>
      <c r="D171" s="1">
        <v>56.02</v>
      </c>
      <c r="E171" s="1">
        <v>56.759998</v>
      </c>
      <c r="F171" s="1">
        <v>55.561039</v>
      </c>
      <c r="G171" s="1">
        <v>1.91461E7</v>
      </c>
      <c r="I171" s="1">
        <f t="shared" si="1"/>
        <v>0.00799148499</v>
      </c>
      <c r="J171" s="1">
        <v>0.0</v>
      </c>
      <c r="K171" s="1">
        <f t="shared" si="2"/>
        <v>0.00799148499</v>
      </c>
      <c r="L171" s="1">
        <f t="shared" si="3"/>
        <v>0.799148499</v>
      </c>
      <c r="M171" s="1">
        <v>1.13</v>
      </c>
    </row>
    <row r="172" ht="15.75" customHeight="1">
      <c r="A172" s="7">
        <v>44134.0</v>
      </c>
      <c r="B172" s="1">
        <v>56.599998</v>
      </c>
      <c r="C172" s="1">
        <v>57.07</v>
      </c>
      <c r="D172" s="1">
        <v>56.369999</v>
      </c>
      <c r="E172" s="1">
        <v>56.990002</v>
      </c>
      <c r="F172" s="1">
        <v>55.786182</v>
      </c>
      <c r="G172" s="1">
        <v>1.76328E7</v>
      </c>
      <c r="I172" s="1">
        <f t="shared" si="1"/>
        <v>0.004052174042</v>
      </c>
      <c r="J172" s="1">
        <v>0.0</v>
      </c>
      <c r="K172" s="1">
        <f t="shared" si="2"/>
        <v>0.004052174042</v>
      </c>
      <c r="L172" s="1">
        <f t="shared" si="3"/>
        <v>0.4052174042</v>
      </c>
      <c r="M172" s="1">
        <v>-1.45</v>
      </c>
    </row>
    <row r="173" ht="15.75" customHeight="1">
      <c r="A173" s="7">
        <v>44137.0</v>
      </c>
      <c r="B173" s="1">
        <v>57.669998</v>
      </c>
      <c r="C173" s="1">
        <v>58.209999</v>
      </c>
      <c r="D173" s="1">
        <v>57.0</v>
      </c>
      <c r="E173" s="1">
        <v>57.700001</v>
      </c>
      <c r="F173" s="1">
        <v>56.481186</v>
      </c>
      <c r="G173" s="1">
        <v>1.60864E7</v>
      </c>
      <c r="I173" s="1">
        <f t="shared" si="1"/>
        <v>0.01245835393</v>
      </c>
      <c r="J173" s="1">
        <v>0.0</v>
      </c>
      <c r="K173" s="1">
        <f t="shared" si="2"/>
        <v>0.01245835393</v>
      </c>
      <c r="L173" s="1">
        <f t="shared" si="3"/>
        <v>1.245835393</v>
      </c>
      <c r="M173" s="1">
        <v>1.17</v>
      </c>
    </row>
    <row r="174" ht="15.75" customHeight="1">
      <c r="A174" s="7">
        <v>44138.0</v>
      </c>
      <c r="B174" s="1">
        <v>57.810001</v>
      </c>
      <c r="C174" s="1">
        <v>58.380001</v>
      </c>
      <c r="D174" s="1">
        <v>57.509998</v>
      </c>
      <c r="E174" s="1">
        <v>57.75</v>
      </c>
      <c r="F174" s="1">
        <v>56.530128</v>
      </c>
      <c r="G174" s="1">
        <v>1.06935E7</v>
      </c>
      <c r="I174" s="1">
        <f t="shared" si="1"/>
        <v>0.0008665186315</v>
      </c>
      <c r="J174" s="1">
        <v>0.0</v>
      </c>
      <c r="K174" s="1">
        <f t="shared" si="2"/>
        <v>0.0008665186315</v>
      </c>
      <c r="L174" s="1">
        <f t="shared" si="3"/>
        <v>0.08665186315</v>
      </c>
      <c r="M174" s="1">
        <v>1.93</v>
      </c>
    </row>
    <row r="175" ht="15.75" customHeight="1">
      <c r="A175" s="7">
        <v>44139.0</v>
      </c>
      <c r="B175" s="1">
        <v>57.189999</v>
      </c>
      <c r="C175" s="1">
        <v>57.849998</v>
      </c>
      <c r="D175" s="1">
        <v>56.580002</v>
      </c>
      <c r="E175" s="1">
        <v>57.220001</v>
      </c>
      <c r="F175" s="1">
        <v>56.011326</v>
      </c>
      <c r="G175" s="1">
        <v>2.07857E7</v>
      </c>
      <c r="I175" s="1">
        <f t="shared" si="1"/>
        <v>-0.009177442513</v>
      </c>
      <c r="J175" s="1">
        <v>0.0</v>
      </c>
      <c r="K175" s="1">
        <f t="shared" si="2"/>
        <v>-0.009177442513</v>
      </c>
      <c r="L175" s="1">
        <f t="shared" si="3"/>
        <v>-0.9177442513</v>
      </c>
      <c r="M175" s="1">
        <v>2.25</v>
      </c>
    </row>
    <row r="176" ht="15.75" customHeight="1">
      <c r="A176" s="7">
        <v>44140.0</v>
      </c>
      <c r="B176" s="1">
        <v>58.009998</v>
      </c>
      <c r="C176" s="1">
        <v>58.970001</v>
      </c>
      <c r="D176" s="1">
        <v>57.799999</v>
      </c>
      <c r="E176" s="1">
        <v>58.150002</v>
      </c>
      <c r="F176" s="1">
        <v>56.92168</v>
      </c>
      <c r="G176" s="1">
        <v>2.01564E7</v>
      </c>
      <c r="I176" s="1">
        <f t="shared" si="1"/>
        <v>0.01625303425</v>
      </c>
      <c r="J176" s="1">
        <v>0.0</v>
      </c>
      <c r="K176" s="1">
        <f t="shared" si="2"/>
        <v>0.01625303425</v>
      </c>
      <c r="L176" s="1">
        <f t="shared" si="3"/>
        <v>1.625303425</v>
      </c>
      <c r="M176" s="1">
        <v>2.13</v>
      </c>
    </row>
    <row r="177" ht="15.75" customHeight="1">
      <c r="A177" s="7">
        <v>44141.0</v>
      </c>
      <c r="B177" s="1">
        <v>58.080002</v>
      </c>
      <c r="C177" s="1">
        <v>58.75</v>
      </c>
      <c r="D177" s="1">
        <v>58.009998</v>
      </c>
      <c r="E177" s="1">
        <v>58.529999</v>
      </c>
      <c r="F177" s="1">
        <v>57.293652</v>
      </c>
      <c r="G177" s="1">
        <v>1.19862E7</v>
      </c>
      <c r="I177" s="1">
        <f t="shared" si="1"/>
        <v>0.006534803611</v>
      </c>
      <c r="J177" s="1">
        <v>0.0</v>
      </c>
      <c r="K177" s="1">
        <f t="shared" si="2"/>
        <v>0.006534803611</v>
      </c>
      <c r="L177" s="1">
        <f t="shared" si="3"/>
        <v>0.6534803611</v>
      </c>
      <c r="M177" s="1">
        <v>0.01</v>
      </c>
    </row>
    <row r="178" ht="15.75" customHeight="1">
      <c r="A178" s="7">
        <v>44144.0</v>
      </c>
      <c r="B178" s="1">
        <v>60.040001</v>
      </c>
      <c r="C178" s="1">
        <v>60.580002</v>
      </c>
      <c r="D178" s="1">
        <v>59.509998</v>
      </c>
      <c r="E178" s="1">
        <v>59.84</v>
      </c>
      <c r="F178" s="1">
        <v>58.575981</v>
      </c>
      <c r="G178" s="1">
        <v>2.42659E7</v>
      </c>
      <c r="I178" s="1">
        <f t="shared" si="1"/>
        <v>0.02238169422</v>
      </c>
      <c r="J178" s="1">
        <v>0.0</v>
      </c>
      <c r="K178" s="1">
        <f t="shared" si="2"/>
        <v>0.02238169422</v>
      </c>
      <c r="L178" s="1">
        <f t="shared" si="3"/>
        <v>2.238169422</v>
      </c>
      <c r="M178" s="1">
        <v>0.82</v>
      </c>
    </row>
    <row r="179" ht="15.75" customHeight="1">
      <c r="A179" s="7">
        <v>44145.0</v>
      </c>
      <c r="B179" s="1">
        <v>60.279999</v>
      </c>
      <c r="C179" s="1">
        <v>61.41</v>
      </c>
      <c r="D179" s="1">
        <v>60.200001</v>
      </c>
      <c r="E179" s="1">
        <v>61.099998</v>
      </c>
      <c r="F179" s="1">
        <v>59.809364</v>
      </c>
      <c r="G179" s="1">
        <v>2.20518E7</v>
      </c>
      <c r="I179" s="1">
        <f t="shared" si="1"/>
        <v>0.02105612196</v>
      </c>
      <c r="J179" s="1">
        <v>0.0</v>
      </c>
      <c r="K179" s="1">
        <f t="shared" si="2"/>
        <v>0.02105612196</v>
      </c>
      <c r="L179" s="1">
        <f t="shared" si="3"/>
        <v>2.105612196</v>
      </c>
      <c r="M179" s="1">
        <v>-0.17</v>
      </c>
    </row>
    <row r="180" ht="15.75" customHeight="1">
      <c r="A180" s="7">
        <v>44146.0</v>
      </c>
      <c r="B180" s="1">
        <v>61.290001</v>
      </c>
      <c r="C180" s="1">
        <v>61.349998</v>
      </c>
      <c r="D180" s="1">
        <v>60.470001</v>
      </c>
      <c r="E180" s="1">
        <v>61.0</v>
      </c>
      <c r="F180" s="1">
        <v>59.711479</v>
      </c>
      <c r="G180" s="1">
        <v>1.21969E7</v>
      </c>
      <c r="I180" s="1">
        <f t="shared" si="1"/>
        <v>-0.001636616634</v>
      </c>
      <c r="J180" s="1">
        <v>0.0</v>
      </c>
      <c r="K180" s="1">
        <f t="shared" si="2"/>
        <v>-0.001636616634</v>
      </c>
      <c r="L180" s="1">
        <f t="shared" si="3"/>
        <v>-0.1636616634</v>
      </c>
      <c r="M180" s="1">
        <v>0.88</v>
      </c>
    </row>
    <row r="181" ht="15.75" customHeight="1">
      <c r="A181" s="7">
        <v>44147.0</v>
      </c>
      <c r="B181" s="1">
        <v>60.91</v>
      </c>
      <c r="C181" s="1">
        <v>61.009998</v>
      </c>
      <c r="D181" s="1">
        <v>60.34</v>
      </c>
      <c r="E181" s="1">
        <v>60.790001</v>
      </c>
      <c r="F181" s="1">
        <v>59.505913</v>
      </c>
      <c r="G181" s="1">
        <v>1.32933E7</v>
      </c>
      <c r="I181" s="1">
        <f t="shared" si="1"/>
        <v>-0.003442654636</v>
      </c>
      <c r="J181" s="1">
        <v>0.0</v>
      </c>
      <c r="K181" s="1">
        <f t="shared" si="2"/>
        <v>-0.003442654636</v>
      </c>
      <c r="L181" s="1">
        <f t="shared" si="3"/>
        <v>-0.3442654636</v>
      </c>
      <c r="M181" s="1">
        <v>-0.94</v>
      </c>
    </row>
    <row r="182" ht="15.75" customHeight="1">
      <c r="A182" s="7">
        <v>44148.0</v>
      </c>
      <c r="B182" s="1">
        <v>60.630001</v>
      </c>
      <c r="C182" s="1">
        <v>61.189999</v>
      </c>
      <c r="D182" s="1">
        <v>60.380001</v>
      </c>
      <c r="E182" s="1">
        <v>61.060001</v>
      </c>
      <c r="F182" s="1">
        <v>59.77021</v>
      </c>
      <c r="G182" s="1">
        <v>1.06528E7</v>
      </c>
      <c r="I182" s="1">
        <f t="shared" si="1"/>
        <v>0.004441524996</v>
      </c>
      <c r="J182" s="1">
        <v>0.0</v>
      </c>
      <c r="K182" s="1">
        <f t="shared" si="2"/>
        <v>0.004441524996</v>
      </c>
      <c r="L182" s="1">
        <f t="shared" si="3"/>
        <v>0.4441524996</v>
      </c>
      <c r="M182" s="1">
        <v>1.31</v>
      </c>
    </row>
    <row r="183" ht="15.75" customHeight="1">
      <c r="A183" s="7">
        <v>44151.0</v>
      </c>
      <c r="B183" s="1">
        <v>60.810001</v>
      </c>
      <c r="C183" s="1">
        <v>61.459999</v>
      </c>
      <c r="D183" s="1">
        <v>60.700001</v>
      </c>
      <c r="E183" s="1">
        <v>60.889999</v>
      </c>
      <c r="F183" s="1">
        <v>59.603798</v>
      </c>
      <c r="G183" s="1">
        <v>1.42894E7</v>
      </c>
      <c r="I183" s="1">
        <f t="shared" si="1"/>
        <v>-0.002784196341</v>
      </c>
      <c r="J183" s="1">
        <v>0.0</v>
      </c>
      <c r="K183" s="1">
        <f t="shared" si="2"/>
        <v>-0.002784196341</v>
      </c>
      <c r="L183" s="1">
        <f t="shared" si="3"/>
        <v>-0.2784196341</v>
      </c>
      <c r="M183" s="1">
        <v>1.22</v>
      </c>
    </row>
    <row r="184" ht="15.75" customHeight="1">
      <c r="A184" s="7">
        <v>44152.0</v>
      </c>
      <c r="B184" s="1">
        <v>60.560001</v>
      </c>
      <c r="C184" s="1">
        <v>61.02</v>
      </c>
      <c r="D184" s="1">
        <v>60.360001</v>
      </c>
      <c r="E184" s="1">
        <v>60.75</v>
      </c>
      <c r="F184" s="1">
        <v>59.466759</v>
      </c>
      <c r="G184" s="1">
        <v>1.16982E7</v>
      </c>
      <c r="I184" s="1">
        <f t="shared" si="1"/>
        <v>-0.002299165567</v>
      </c>
      <c r="J184" s="1">
        <v>0.0</v>
      </c>
      <c r="K184" s="1">
        <f t="shared" si="2"/>
        <v>-0.002299165567</v>
      </c>
      <c r="L184" s="1">
        <f t="shared" si="3"/>
        <v>-0.2299165567</v>
      </c>
      <c r="M184" s="1">
        <v>-0.19</v>
      </c>
    </row>
    <row r="185" ht="15.75" customHeight="1">
      <c r="A185" s="7">
        <v>44153.0</v>
      </c>
      <c r="B185" s="1">
        <v>61.130001</v>
      </c>
      <c r="C185" s="1">
        <v>61.150002</v>
      </c>
      <c r="D185" s="1">
        <v>60.299999</v>
      </c>
      <c r="E185" s="1">
        <v>60.32</v>
      </c>
      <c r="F185" s="1">
        <v>59.045841</v>
      </c>
      <c r="G185" s="1">
        <v>1.16988E7</v>
      </c>
      <c r="I185" s="1">
        <f t="shared" si="1"/>
        <v>-0.007078206499</v>
      </c>
      <c r="J185" s="1">
        <v>0.0</v>
      </c>
      <c r="K185" s="1">
        <f t="shared" si="2"/>
        <v>-0.007078206499</v>
      </c>
      <c r="L185" s="1">
        <f t="shared" si="3"/>
        <v>-0.7078206499</v>
      </c>
      <c r="M185" s="1">
        <v>-0.93</v>
      </c>
    </row>
    <row r="186" ht="15.75" customHeight="1">
      <c r="A186" s="7">
        <v>44154.0</v>
      </c>
      <c r="B186" s="1">
        <v>60.400002</v>
      </c>
      <c r="C186" s="1">
        <v>60.439999</v>
      </c>
      <c r="D186" s="1">
        <v>59.900002</v>
      </c>
      <c r="E186" s="1">
        <v>60.209999</v>
      </c>
      <c r="F186" s="1">
        <v>58.938164</v>
      </c>
      <c r="G186" s="1">
        <v>1.2663E7</v>
      </c>
      <c r="I186" s="1">
        <f t="shared" si="1"/>
        <v>-0.00182361701</v>
      </c>
      <c r="J186" s="1">
        <v>0.0</v>
      </c>
      <c r="K186" s="1">
        <f t="shared" si="2"/>
        <v>-0.00182361701</v>
      </c>
      <c r="L186" s="1">
        <f t="shared" si="3"/>
        <v>-0.182361701</v>
      </c>
      <c r="M186" s="1">
        <v>0.59</v>
      </c>
    </row>
    <row r="187" ht="15.75" customHeight="1">
      <c r="A187" s="7">
        <v>44155.0</v>
      </c>
      <c r="B187" s="1">
        <v>60.209999</v>
      </c>
      <c r="C187" s="1">
        <v>60.330002</v>
      </c>
      <c r="D187" s="1">
        <v>59.950001</v>
      </c>
      <c r="E187" s="1">
        <v>60.040001</v>
      </c>
      <c r="F187" s="1">
        <v>58.771755</v>
      </c>
      <c r="G187" s="1">
        <v>1.42254E7</v>
      </c>
      <c r="I187" s="1">
        <f t="shared" si="1"/>
        <v>-0.002823450693</v>
      </c>
      <c r="J187" s="1">
        <v>0.0</v>
      </c>
      <c r="K187" s="1">
        <f t="shared" si="2"/>
        <v>-0.002823450693</v>
      </c>
      <c r="L187" s="1">
        <f t="shared" si="3"/>
        <v>-0.2823450693</v>
      </c>
      <c r="M187" s="1">
        <v>-0.51</v>
      </c>
    </row>
    <row r="188" ht="15.75" customHeight="1">
      <c r="A188" s="7">
        <v>44158.0</v>
      </c>
      <c r="B188" s="1">
        <v>60.009998</v>
      </c>
      <c r="C188" s="1">
        <v>60.389999</v>
      </c>
      <c r="D188" s="1">
        <v>60.0</v>
      </c>
      <c r="E188" s="1">
        <v>60.23</v>
      </c>
      <c r="F188" s="1">
        <v>58.957741</v>
      </c>
      <c r="G188" s="1">
        <v>1.16014E7</v>
      </c>
      <c r="I188" s="1">
        <f t="shared" si="1"/>
        <v>0.003164547324</v>
      </c>
      <c r="J188" s="1">
        <v>0.0</v>
      </c>
      <c r="K188" s="1">
        <f t="shared" si="2"/>
        <v>0.003164547324</v>
      </c>
      <c r="L188" s="1">
        <f t="shared" si="3"/>
        <v>0.3164547324</v>
      </c>
      <c r="M188" s="1">
        <v>0.83</v>
      </c>
    </row>
    <row r="189" ht="15.75" customHeight="1">
      <c r="A189" s="7">
        <v>44159.0</v>
      </c>
      <c r="B189" s="1">
        <v>60.599998</v>
      </c>
      <c r="C189" s="1">
        <v>60.799999</v>
      </c>
      <c r="D189" s="1">
        <v>60.360001</v>
      </c>
      <c r="E189" s="1">
        <v>60.639999</v>
      </c>
      <c r="F189" s="1">
        <v>59.359081</v>
      </c>
      <c r="G189" s="1">
        <v>1.54814E7</v>
      </c>
      <c r="I189" s="1">
        <f t="shared" si="1"/>
        <v>0.006807248602</v>
      </c>
      <c r="J189" s="1">
        <v>0.0</v>
      </c>
      <c r="K189" s="1">
        <f t="shared" si="2"/>
        <v>0.006807248602</v>
      </c>
      <c r="L189" s="1">
        <f t="shared" si="3"/>
        <v>0.6807248602</v>
      </c>
      <c r="M189" s="1">
        <v>1.56</v>
      </c>
    </row>
    <row r="190" ht="15.75" customHeight="1">
      <c r="A190" s="7">
        <v>44160.0</v>
      </c>
      <c r="B190" s="1">
        <v>60.669998</v>
      </c>
      <c r="C190" s="1">
        <v>60.740002</v>
      </c>
      <c r="D190" s="1">
        <v>60.330002</v>
      </c>
      <c r="E190" s="1">
        <v>60.41</v>
      </c>
      <c r="F190" s="1">
        <v>59.133942</v>
      </c>
      <c r="G190" s="1">
        <v>1.06043E7</v>
      </c>
      <c r="I190" s="1">
        <f t="shared" si="1"/>
        <v>-0.003792831631</v>
      </c>
      <c r="J190" s="1">
        <v>0.0</v>
      </c>
      <c r="K190" s="1">
        <f t="shared" si="2"/>
        <v>-0.003792831631</v>
      </c>
      <c r="L190" s="1">
        <f t="shared" si="3"/>
        <v>-0.3792831631</v>
      </c>
      <c r="M190" s="1">
        <v>0.03</v>
      </c>
    </row>
    <row r="191" ht="15.75" customHeight="1">
      <c r="A191" s="7">
        <v>44162.0</v>
      </c>
      <c r="B191" s="1">
        <v>60.52</v>
      </c>
      <c r="C191" s="1">
        <v>60.740002</v>
      </c>
      <c r="D191" s="1">
        <v>60.41</v>
      </c>
      <c r="E191" s="1">
        <v>60.580002</v>
      </c>
      <c r="F191" s="1">
        <v>59.30035</v>
      </c>
      <c r="G191" s="1">
        <v>5763700.0</v>
      </c>
      <c r="I191" s="1">
        <f t="shared" si="1"/>
        <v>0.002814086029</v>
      </c>
      <c r="J191" s="1">
        <v>0.0</v>
      </c>
      <c r="K191" s="1">
        <f t="shared" si="2"/>
        <v>0.002814086029</v>
      </c>
      <c r="L191" s="1">
        <f t="shared" si="3"/>
        <v>0.2814086029</v>
      </c>
      <c r="M191" s="1">
        <v>0.43</v>
      </c>
    </row>
    <row r="192" ht="15.75" customHeight="1">
      <c r="A192" s="7">
        <v>44165.0</v>
      </c>
      <c r="B192" s="1">
        <v>60.32</v>
      </c>
      <c r="C192" s="1">
        <v>60.599998</v>
      </c>
      <c r="D192" s="1">
        <v>60.189999</v>
      </c>
      <c r="E192" s="1">
        <v>60.41</v>
      </c>
      <c r="F192" s="1">
        <v>59.133942</v>
      </c>
      <c r="G192" s="1">
        <v>2.18391E7</v>
      </c>
      <c r="I192" s="1">
        <f t="shared" si="1"/>
        <v>-0.002806189171</v>
      </c>
      <c r="J192" s="1">
        <v>0.0</v>
      </c>
      <c r="K192" s="1">
        <f t="shared" si="2"/>
        <v>-0.002806189171</v>
      </c>
      <c r="L192" s="1">
        <f t="shared" si="3"/>
        <v>-0.2806189171</v>
      </c>
      <c r="M192" s="1">
        <v>-0.53</v>
      </c>
    </row>
    <row r="193" ht="15.75" customHeight="1">
      <c r="A193" s="7">
        <v>44166.0</v>
      </c>
      <c r="B193" s="1">
        <v>60.43</v>
      </c>
      <c r="C193" s="1">
        <v>60.919998</v>
      </c>
      <c r="D193" s="1">
        <v>60.279999</v>
      </c>
      <c r="E193" s="1">
        <v>60.580002</v>
      </c>
      <c r="F193" s="1">
        <v>59.30035</v>
      </c>
      <c r="G193" s="1">
        <v>1.42832E7</v>
      </c>
      <c r="I193" s="1">
        <f t="shared" si="1"/>
        <v>0.002814086029</v>
      </c>
      <c r="J193" s="1">
        <v>0.0</v>
      </c>
      <c r="K193" s="1">
        <f t="shared" si="2"/>
        <v>0.002814086029</v>
      </c>
      <c r="L193" s="1">
        <f t="shared" si="3"/>
        <v>0.2814086029</v>
      </c>
      <c r="M193" s="1">
        <v>0.98</v>
      </c>
    </row>
    <row r="194" ht="15.75" customHeight="1">
      <c r="A194" s="7">
        <v>44167.0</v>
      </c>
      <c r="B194" s="1">
        <v>61.400002</v>
      </c>
      <c r="C194" s="1">
        <v>61.950001</v>
      </c>
      <c r="D194" s="1">
        <v>61.009998</v>
      </c>
      <c r="E194" s="1">
        <v>61.360001</v>
      </c>
      <c r="F194" s="1">
        <v>60.063873</v>
      </c>
      <c r="G194" s="1">
        <v>1.41699E7</v>
      </c>
      <c r="I194" s="1">
        <f t="shared" si="1"/>
        <v>0.01287552266</v>
      </c>
      <c r="J194" s="1">
        <v>0.0</v>
      </c>
      <c r="K194" s="1">
        <f t="shared" si="2"/>
        <v>0.01287552266</v>
      </c>
      <c r="L194" s="1">
        <f t="shared" si="3"/>
        <v>1.287552266</v>
      </c>
      <c r="M194" s="1">
        <v>0.11</v>
      </c>
    </row>
    <row r="195" ht="15.75" customHeight="1">
      <c r="A195" s="7">
        <v>44168.0</v>
      </c>
      <c r="B195" s="1">
        <v>61.110001</v>
      </c>
      <c r="C195" s="1">
        <v>61.830002</v>
      </c>
      <c r="D195" s="1">
        <v>61.040001</v>
      </c>
      <c r="E195" s="1">
        <v>61.740002</v>
      </c>
      <c r="F195" s="1">
        <v>60.435848</v>
      </c>
      <c r="G195" s="1">
        <v>1.19372E7</v>
      </c>
      <c r="I195" s="1">
        <f t="shared" si="1"/>
        <v>0.006192990585</v>
      </c>
      <c r="J195" s="1">
        <v>0.0</v>
      </c>
      <c r="K195" s="1">
        <f t="shared" si="2"/>
        <v>0.006192990585</v>
      </c>
      <c r="L195" s="1">
        <f t="shared" si="3"/>
        <v>0.6192990585</v>
      </c>
      <c r="M195" s="1">
        <v>0.18</v>
      </c>
    </row>
    <row r="196" ht="15.75" customHeight="1">
      <c r="A196" s="7">
        <v>44169.0</v>
      </c>
      <c r="B196" s="1">
        <v>61.549999</v>
      </c>
      <c r="C196" s="1">
        <v>61.799999</v>
      </c>
      <c r="D196" s="1">
        <v>61.27</v>
      </c>
      <c r="E196" s="1">
        <v>61.549999</v>
      </c>
      <c r="F196" s="1">
        <v>60.249859</v>
      </c>
      <c r="G196" s="1">
        <v>1.04958E7</v>
      </c>
      <c r="I196" s="1">
        <f t="shared" si="1"/>
        <v>-0.003077461575</v>
      </c>
      <c r="J196" s="1">
        <v>0.0</v>
      </c>
      <c r="K196" s="1">
        <f t="shared" si="2"/>
        <v>-0.003077461575</v>
      </c>
      <c r="L196" s="1">
        <f t="shared" si="3"/>
        <v>-0.3077461575</v>
      </c>
      <c r="M196" s="1">
        <v>1.02</v>
      </c>
    </row>
    <row r="197" ht="15.75" customHeight="1">
      <c r="A197" s="7">
        <v>44172.0</v>
      </c>
      <c r="B197" s="1">
        <v>61.52</v>
      </c>
      <c r="C197" s="1">
        <v>61.700001</v>
      </c>
      <c r="D197" s="1">
        <v>61.18</v>
      </c>
      <c r="E197" s="1">
        <v>61.349998</v>
      </c>
      <c r="F197" s="1">
        <v>60.054081</v>
      </c>
      <c r="G197" s="1">
        <v>1.25375E7</v>
      </c>
      <c r="I197" s="1">
        <f t="shared" si="1"/>
        <v>-0.00324943499</v>
      </c>
      <c r="J197" s="1">
        <v>0.0</v>
      </c>
      <c r="K197" s="1">
        <f t="shared" si="2"/>
        <v>-0.00324943499</v>
      </c>
      <c r="L197" s="1">
        <f t="shared" si="3"/>
        <v>-0.324943499</v>
      </c>
      <c r="M197" s="1">
        <v>0.03</v>
      </c>
    </row>
    <row r="198" ht="15.75" customHeight="1">
      <c r="A198" s="7">
        <v>44173.0</v>
      </c>
      <c r="B198" s="1">
        <v>61.18</v>
      </c>
      <c r="C198" s="1">
        <v>61.700001</v>
      </c>
      <c r="D198" s="1">
        <v>60.880001</v>
      </c>
      <c r="E198" s="1">
        <v>61.450001</v>
      </c>
      <c r="F198" s="1">
        <v>60.15197</v>
      </c>
      <c r="G198" s="1">
        <v>1.34211E7</v>
      </c>
      <c r="I198" s="1">
        <f t="shared" si="1"/>
        <v>0.00163001412</v>
      </c>
      <c r="J198" s="1">
        <v>0.0</v>
      </c>
      <c r="K198" s="1">
        <f t="shared" si="2"/>
        <v>0.00163001412</v>
      </c>
      <c r="L198" s="1">
        <f t="shared" si="3"/>
        <v>0.163001412</v>
      </c>
      <c r="M198" s="1">
        <v>0.47</v>
      </c>
    </row>
    <row r="199" ht="15.75" customHeight="1">
      <c r="A199" s="7">
        <v>44174.0</v>
      </c>
      <c r="B199" s="1">
        <v>61.450001</v>
      </c>
      <c r="C199" s="1">
        <v>61.82</v>
      </c>
      <c r="D199" s="1">
        <v>61.09</v>
      </c>
      <c r="E199" s="1">
        <v>61.459999</v>
      </c>
      <c r="F199" s="1">
        <v>60.161762</v>
      </c>
      <c r="G199" s="1">
        <v>1.49495E7</v>
      </c>
      <c r="I199" s="1">
        <f t="shared" si="1"/>
        <v>0.0001627876859</v>
      </c>
      <c r="J199" s="1">
        <v>0.0</v>
      </c>
      <c r="K199" s="1">
        <f t="shared" si="2"/>
        <v>0.0001627876859</v>
      </c>
      <c r="L199" s="1">
        <f t="shared" si="3"/>
        <v>0.01627876859</v>
      </c>
      <c r="M199" s="1">
        <v>-1.03</v>
      </c>
    </row>
    <row r="200" ht="15.75" customHeight="1">
      <c r="A200" s="7">
        <v>44175.0</v>
      </c>
      <c r="B200" s="1">
        <v>61.259998</v>
      </c>
      <c r="C200" s="1">
        <v>61.349998</v>
      </c>
      <c r="D200" s="1">
        <v>60.330002</v>
      </c>
      <c r="E200" s="1">
        <v>60.509998</v>
      </c>
      <c r="F200" s="1">
        <v>59.231823</v>
      </c>
      <c r="G200" s="1">
        <v>1.54644E7</v>
      </c>
      <c r="I200" s="1">
        <f t="shared" si="1"/>
        <v>-0.01545730991</v>
      </c>
      <c r="J200" s="1">
        <v>0.0</v>
      </c>
      <c r="K200" s="1">
        <f t="shared" si="2"/>
        <v>-0.01545730991</v>
      </c>
      <c r="L200" s="1">
        <f t="shared" si="3"/>
        <v>-1.545730991</v>
      </c>
      <c r="M200" s="1">
        <v>0.24</v>
      </c>
    </row>
    <row r="201" ht="15.75" customHeight="1">
      <c r="A201" s="7">
        <v>44176.0</v>
      </c>
      <c r="B201" s="1">
        <v>60.080002</v>
      </c>
      <c r="C201" s="1">
        <v>60.529999</v>
      </c>
      <c r="D201" s="1">
        <v>59.970001</v>
      </c>
      <c r="E201" s="1">
        <v>60.349998</v>
      </c>
      <c r="F201" s="1">
        <v>59.075207</v>
      </c>
      <c r="G201" s="1">
        <v>1.3673E7</v>
      </c>
      <c r="I201" s="1">
        <f t="shared" si="1"/>
        <v>-0.002644119192</v>
      </c>
      <c r="J201" s="1">
        <v>0.0</v>
      </c>
      <c r="K201" s="1">
        <f t="shared" si="2"/>
        <v>-0.002644119192</v>
      </c>
      <c r="L201" s="1">
        <f t="shared" si="3"/>
        <v>-0.2644119192</v>
      </c>
      <c r="M201" s="1">
        <v>-0.2</v>
      </c>
    </row>
    <row r="202" ht="15.75" customHeight="1">
      <c r="A202" s="7">
        <v>44179.0</v>
      </c>
      <c r="B202" s="1">
        <v>60.610001</v>
      </c>
      <c r="C202" s="1">
        <v>61.060001</v>
      </c>
      <c r="D202" s="1">
        <v>59.77</v>
      </c>
      <c r="E202" s="1">
        <v>59.98</v>
      </c>
      <c r="F202" s="1">
        <v>58.713024</v>
      </c>
      <c r="G202" s="1">
        <v>1.57065E7</v>
      </c>
      <c r="I202" s="1">
        <f t="shared" si="1"/>
        <v>-0.006130879914</v>
      </c>
      <c r="J202" s="1">
        <v>0.0</v>
      </c>
      <c r="K202" s="1">
        <f t="shared" si="2"/>
        <v>-0.006130879914</v>
      </c>
      <c r="L202" s="1">
        <f t="shared" si="3"/>
        <v>-0.6130879914</v>
      </c>
      <c r="M202" s="1">
        <v>-0.28</v>
      </c>
    </row>
    <row r="203" ht="15.75" customHeight="1">
      <c r="A203" s="7">
        <v>44180.0</v>
      </c>
      <c r="B203" s="1">
        <v>60.07</v>
      </c>
      <c r="C203" s="1">
        <v>60.740002</v>
      </c>
      <c r="D203" s="1">
        <v>59.970001</v>
      </c>
      <c r="E203" s="1">
        <v>60.549999</v>
      </c>
      <c r="F203" s="1">
        <v>59.270981</v>
      </c>
      <c r="G203" s="1">
        <v>1.58772E7</v>
      </c>
      <c r="I203" s="1">
        <f t="shared" si="1"/>
        <v>0.009503121488</v>
      </c>
      <c r="J203" s="1">
        <v>0.0</v>
      </c>
      <c r="K203" s="1">
        <f t="shared" si="2"/>
        <v>0.009503121488</v>
      </c>
      <c r="L203" s="1">
        <f t="shared" si="3"/>
        <v>0.9503121488</v>
      </c>
      <c r="M203" s="1">
        <v>1.28</v>
      </c>
    </row>
    <row r="204" ht="15.75" customHeight="1">
      <c r="A204" s="7">
        <v>44181.0</v>
      </c>
      <c r="B204" s="1">
        <v>60.200001</v>
      </c>
      <c r="C204" s="1">
        <v>60.450001</v>
      </c>
      <c r="D204" s="1">
        <v>59.669998</v>
      </c>
      <c r="E204" s="1">
        <v>59.91</v>
      </c>
      <c r="F204" s="1">
        <v>58.644501</v>
      </c>
      <c r="G204" s="1">
        <v>1.71659E7</v>
      </c>
      <c r="I204" s="1">
        <f t="shared" si="1"/>
        <v>-0.01056975926</v>
      </c>
      <c r="J204" s="1">
        <v>0.0</v>
      </c>
      <c r="K204" s="1">
        <f t="shared" si="2"/>
        <v>-0.01056975926</v>
      </c>
      <c r="L204" s="1">
        <f t="shared" si="3"/>
        <v>-1.056975926</v>
      </c>
      <c r="M204" s="1">
        <v>0.17</v>
      </c>
    </row>
    <row r="205" ht="15.75" customHeight="1">
      <c r="A205" s="7">
        <v>44182.0</v>
      </c>
      <c r="B205" s="1">
        <v>59.98</v>
      </c>
      <c r="C205" s="1">
        <v>60.150002</v>
      </c>
      <c r="D205" s="1">
        <v>59.610001</v>
      </c>
      <c r="E205" s="1">
        <v>60.009998</v>
      </c>
      <c r="F205" s="1">
        <v>58.74239</v>
      </c>
      <c r="G205" s="1">
        <v>1.20955E7</v>
      </c>
      <c r="I205" s="1">
        <f t="shared" si="1"/>
        <v>0.001669193161</v>
      </c>
      <c r="J205" s="1">
        <v>0.0</v>
      </c>
      <c r="K205" s="1">
        <f t="shared" si="2"/>
        <v>0.001669193161</v>
      </c>
      <c r="L205" s="1">
        <f t="shared" si="3"/>
        <v>0.1669193161</v>
      </c>
      <c r="M205" s="1">
        <v>0.79</v>
      </c>
    </row>
    <row r="206" ht="15.75" customHeight="1">
      <c r="A206" s="7">
        <v>44183.0</v>
      </c>
      <c r="B206" s="1">
        <v>60.0</v>
      </c>
      <c r="C206" s="1">
        <v>60.779999</v>
      </c>
      <c r="D206" s="1">
        <v>59.790001</v>
      </c>
      <c r="E206" s="1">
        <v>60.459999</v>
      </c>
      <c r="F206" s="1">
        <v>59.18288</v>
      </c>
      <c r="G206" s="1">
        <v>3.19094E7</v>
      </c>
      <c r="I206" s="1">
        <f t="shared" si="1"/>
        <v>0.007498673445</v>
      </c>
      <c r="J206" s="1">
        <v>0.0</v>
      </c>
      <c r="K206" s="1">
        <f t="shared" si="2"/>
        <v>0.007498673445</v>
      </c>
      <c r="L206" s="1">
        <f t="shared" si="3"/>
        <v>0.7498673445</v>
      </c>
      <c r="M206" s="1">
        <v>-0.12</v>
      </c>
    </row>
    <row r="207" ht="15.75" customHeight="1">
      <c r="A207" s="7">
        <v>44186.0</v>
      </c>
      <c r="B207" s="1">
        <v>60.060001</v>
      </c>
      <c r="C207" s="1">
        <v>60.130001</v>
      </c>
      <c r="D207" s="1">
        <v>59.279999</v>
      </c>
      <c r="E207" s="1">
        <v>59.490002</v>
      </c>
      <c r="F207" s="1">
        <v>58.233376</v>
      </c>
      <c r="G207" s="1">
        <v>1.85675E7</v>
      </c>
      <c r="I207" s="1">
        <f t="shared" si="1"/>
        <v>-0.01604355854</v>
      </c>
      <c r="J207" s="1">
        <v>0.0</v>
      </c>
      <c r="K207" s="1">
        <f t="shared" si="2"/>
        <v>-0.01604355854</v>
      </c>
      <c r="L207" s="1">
        <f t="shared" si="3"/>
        <v>-1.604355854</v>
      </c>
      <c r="M207" s="1">
        <v>-0.23</v>
      </c>
    </row>
    <row r="208" ht="15.75" customHeight="1">
      <c r="A208" s="7">
        <v>44187.0</v>
      </c>
      <c r="B208" s="1">
        <v>59.32</v>
      </c>
      <c r="C208" s="1">
        <v>59.419998</v>
      </c>
      <c r="D208" s="1">
        <v>58.860001</v>
      </c>
      <c r="E208" s="1">
        <v>58.990002</v>
      </c>
      <c r="F208" s="1">
        <v>57.743938</v>
      </c>
      <c r="G208" s="1">
        <v>1.29515E7</v>
      </c>
      <c r="I208" s="1">
        <f t="shared" si="1"/>
        <v>-0.00840476774</v>
      </c>
      <c r="J208" s="1">
        <v>0.0</v>
      </c>
      <c r="K208" s="1">
        <f t="shared" si="2"/>
        <v>-0.00840476774</v>
      </c>
      <c r="L208" s="1">
        <f t="shared" si="3"/>
        <v>-0.840476774</v>
      </c>
      <c r="M208" s="1">
        <v>0.06</v>
      </c>
    </row>
    <row r="209" ht="15.75" customHeight="1">
      <c r="A209" s="7">
        <v>44188.0</v>
      </c>
      <c r="B209" s="1">
        <v>59.200001</v>
      </c>
      <c r="C209" s="1">
        <v>59.279999</v>
      </c>
      <c r="D209" s="1">
        <v>58.889999</v>
      </c>
      <c r="E209" s="1">
        <v>58.959999</v>
      </c>
      <c r="F209" s="1">
        <v>57.714569</v>
      </c>
      <c r="G209" s="1">
        <v>1.40121E7</v>
      </c>
      <c r="I209" s="1">
        <f t="shared" si="1"/>
        <v>-0.0005086075009</v>
      </c>
      <c r="J209" s="1">
        <v>0.0</v>
      </c>
      <c r="K209" s="1">
        <f t="shared" si="2"/>
        <v>-0.0005086075009</v>
      </c>
      <c r="L209" s="1">
        <f t="shared" si="3"/>
        <v>-0.05086075009</v>
      </c>
      <c r="M209" s="1">
        <v>0.1</v>
      </c>
    </row>
    <row r="210" ht="15.75" customHeight="1">
      <c r="A210" s="7">
        <v>44189.0</v>
      </c>
      <c r="B210" s="1">
        <v>59.0</v>
      </c>
      <c r="C210" s="1">
        <v>59.07</v>
      </c>
      <c r="D210" s="1">
        <v>58.66</v>
      </c>
      <c r="E210" s="1">
        <v>58.84</v>
      </c>
      <c r="F210" s="1">
        <v>57.597103</v>
      </c>
      <c r="G210" s="1">
        <v>7751100.0</v>
      </c>
      <c r="I210" s="1">
        <f t="shared" si="1"/>
        <v>-0.00203529199</v>
      </c>
      <c r="J210" s="1">
        <v>0.0</v>
      </c>
      <c r="K210" s="1">
        <f t="shared" si="2"/>
        <v>-0.00203529199</v>
      </c>
      <c r="L210" s="1">
        <f t="shared" si="3"/>
        <v>-0.203529199</v>
      </c>
      <c r="M210" s="1">
        <v>0.21</v>
      </c>
    </row>
    <row r="211" ht="15.75" customHeight="1">
      <c r="A211" s="7">
        <v>44193.0</v>
      </c>
      <c r="B211" s="1">
        <v>59.16</v>
      </c>
      <c r="C211" s="1">
        <v>59.18</v>
      </c>
      <c r="D211" s="1">
        <v>58.650002</v>
      </c>
      <c r="E211" s="1">
        <v>58.98</v>
      </c>
      <c r="F211" s="1">
        <v>57.734146</v>
      </c>
      <c r="G211" s="1">
        <v>1.53556E7</v>
      </c>
      <c r="I211" s="1">
        <f t="shared" si="1"/>
        <v>0.002379338419</v>
      </c>
      <c r="J211" s="1">
        <v>0.0</v>
      </c>
      <c r="K211" s="1">
        <f t="shared" si="2"/>
        <v>0.002379338419</v>
      </c>
      <c r="L211" s="1">
        <f t="shared" si="3"/>
        <v>0.2379338419</v>
      </c>
      <c r="M211" s="1">
        <v>0.46</v>
      </c>
    </row>
    <row r="212" ht="15.75" customHeight="1">
      <c r="A212" s="7">
        <v>44194.0</v>
      </c>
      <c r="B212" s="1">
        <v>59.029999</v>
      </c>
      <c r="C212" s="1">
        <v>59.240002</v>
      </c>
      <c r="D212" s="1">
        <v>58.639999</v>
      </c>
      <c r="E212" s="1">
        <v>58.810001</v>
      </c>
      <c r="F212" s="1">
        <v>57.567741</v>
      </c>
      <c r="G212" s="1">
        <v>1.56861E7</v>
      </c>
      <c r="I212" s="1">
        <f t="shared" si="1"/>
        <v>-0.002882263124</v>
      </c>
      <c r="J212" s="1">
        <v>0.0</v>
      </c>
      <c r="K212" s="1">
        <f t="shared" si="2"/>
        <v>-0.002882263124</v>
      </c>
      <c r="L212" s="1">
        <f t="shared" si="3"/>
        <v>-0.2882263124</v>
      </c>
      <c r="M212" s="1">
        <v>-0.4</v>
      </c>
    </row>
    <row r="213" ht="15.75" customHeight="1">
      <c r="A213" s="7">
        <v>44195.0</v>
      </c>
      <c r="B213" s="1">
        <v>58.830002</v>
      </c>
      <c r="C213" s="1">
        <v>58.939999</v>
      </c>
      <c r="D213" s="1">
        <v>58.060001</v>
      </c>
      <c r="E213" s="1">
        <v>58.139999</v>
      </c>
      <c r="F213" s="1">
        <v>56.911888</v>
      </c>
      <c r="G213" s="1">
        <v>1.82598E7</v>
      </c>
      <c r="I213" s="1">
        <f t="shared" si="1"/>
        <v>-0.01139271732</v>
      </c>
      <c r="J213" s="1">
        <v>0.0</v>
      </c>
      <c r="K213" s="1">
        <f t="shared" si="2"/>
        <v>-0.01139271732</v>
      </c>
      <c r="L213" s="1">
        <f t="shared" si="3"/>
        <v>-1.139271732</v>
      </c>
      <c r="M213" s="1">
        <v>0.27</v>
      </c>
    </row>
    <row r="214" ht="15.75" customHeight="1">
      <c r="A214" s="7">
        <v>44196.0</v>
      </c>
      <c r="B214" s="1">
        <v>58.060001</v>
      </c>
      <c r="C214" s="1">
        <v>58.799999</v>
      </c>
      <c r="D214" s="1">
        <v>58.02</v>
      </c>
      <c r="E214" s="1">
        <v>58.75</v>
      </c>
      <c r="F214" s="1">
        <v>57.509003</v>
      </c>
      <c r="G214" s="1">
        <v>1.29063E7</v>
      </c>
      <c r="I214" s="1">
        <f t="shared" si="1"/>
        <v>0.01049192042</v>
      </c>
      <c r="J214" s="1">
        <v>0.0</v>
      </c>
      <c r="K214" s="1">
        <f t="shared" si="2"/>
        <v>0.01049192042</v>
      </c>
      <c r="L214" s="1">
        <f t="shared" si="3"/>
        <v>1.049192042</v>
      </c>
      <c r="M214" s="1">
        <v>0.39</v>
      </c>
    </row>
    <row r="215" ht="15.75" customHeight="1">
      <c r="A215" s="7">
        <v>44200.0</v>
      </c>
      <c r="B215" s="1">
        <v>58.959999</v>
      </c>
      <c r="C215" s="1">
        <v>59.150002</v>
      </c>
      <c r="D215" s="1">
        <v>58.439999</v>
      </c>
      <c r="E215" s="1">
        <v>58.849998</v>
      </c>
      <c r="F215" s="1">
        <v>57.606892</v>
      </c>
      <c r="G215" s="1">
        <v>1.91298E7</v>
      </c>
      <c r="I215" s="1">
        <f t="shared" si="1"/>
        <v>0.001702150879</v>
      </c>
      <c r="J215" s="1">
        <v>0.0</v>
      </c>
      <c r="K215" s="1">
        <f t="shared" si="2"/>
        <v>0.001702150879</v>
      </c>
      <c r="L215" s="1">
        <f t="shared" si="3"/>
        <v>0.1702150879</v>
      </c>
      <c r="M215" s="1">
        <v>-1.41</v>
      </c>
    </row>
    <row r="216" ht="15.75" customHeight="1">
      <c r="A216" s="7">
        <v>44201.0</v>
      </c>
      <c r="B216" s="1">
        <v>58.860001</v>
      </c>
      <c r="C216" s="1">
        <v>59.09</v>
      </c>
      <c r="D216" s="1">
        <v>58.459999</v>
      </c>
      <c r="E216" s="1">
        <v>58.580002</v>
      </c>
      <c r="F216" s="1">
        <v>57.342598</v>
      </c>
      <c r="G216" s="1">
        <v>1.622E7</v>
      </c>
      <c r="I216" s="1">
        <f t="shared" si="1"/>
        <v>-0.004587888546</v>
      </c>
      <c r="J216" s="1">
        <v>0.0</v>
      </c>
      <c r="K216" s="1">
        <f t="shared" si="2"/>
        <v>-0.004587888546</v>
      </c>
      <c r="L216" s="1">
        <f t="shared" si="3"/>
        <v>-0.4587888546</v>
      </c>
      <c r="M216" s="1">
        <v>0.86</v>
      </c>
    </row>
    <row r="217" ht="15.75" customHeight="1">
      <c r="A217" s="7">
        <v>44202.0</v>
      </c>
      <c r="B217" s="1">
        <v>58.810001</v>
      </c>
      <c r="C217" s="1">
        <v>59.540001</v>
      </c>
      <c r="D217" s="1">
        <v>58.540001</v>
      </c>
      <c r="E217" s="1">
        <v>59.290001</v>
      </c>
      <c r="F217" s="1">
        <v>58.037601</v>
      </c>
      <c r="G217" s="1">
        <v>2.26785E7</v>
      </c>
      <c r="I217" s="1">
        <f t="shared" si="1"/>
        <v>0.01212018681</v>
      </c>
      <c r="J217" s="1">
        <v>0.0</v>
      </c>
      <c r="K217" s="1">
        <f t="shared" si="2"/>
        <v>0.01212018681</v>
      </c>
      <c r="L217" s="1">
        <f t="shared" si="3"/>
        <v>1.212018681</v>
      </c>
      <c r="M217" s="1">
        <v>0.79</v>
      </c>
    </row>
    <row r="218" ht="15.75" customHeight="1">
      <c r="A218" s="7">
        <v>44203.0</v>
      </c>
      <c r="B218" s="1">
        <v>58.27</v>
      </c>
      <c r="C218" s="1">
        <v>58.759998</v>
      </c>
      <c r="D218" s="1">
        <v>58.080002</v>
      </c>
      <c r="E218" s="1">
        <v>58.529999</v>
      </c>
      <c r="F218" s="1">
        <v>57.907001</v>
      </c>
      <c r="G218" s="1">
        <v>1.90799E7</v>
      </c>
      <c r="I218" s="1">
        <f t="shared" si="1"/>
        <v>-0.002250265306</v>
      </c>
      <c r="J218" s="1">
        <v>0.0</v>
      </c>
      <c r="K218" s="1">
        <f t="shared" si="2"/>
        <v>-0.002250265306</v>
      </c>
      <c r="L218" s="1">
        <f t="shared" si="3"/>
        <v>-0.2250265306</v>
      </c>
      <c r="M218" s="1">
        <v>1.76</v>
      </c>
    </row>
    <row r="219" ht="15.75" customHeight="1">
      <c r="A219" s="7">
        <v>44204.0</v>
      </c>
      <c r="B219" s="1">
        <v>58.23</v>
      </c>
      <c r="C219" s="1">
        <v>58.360001</v>
      </c>
      <c r="D219" s="1">
        <v>57.369999</v>
      </c>
      <c r="E219" s="1">
        <v>57.799999</v>
      </c>
      <c r="F219" s="1">
        <v>57.184772</v>
      </c>
      <c r="G219" s="1">
        <v>2.84116E7</v>
      </c>
      <c r="I219" s="1">
        <f t="shared" si="1"/>
        <v>-0.01247222249</v>
      </c>
      <c r="J219" s="1">
        <v>0.0</v>
      </c>
      <c r="K219" s="1">
        <f t="shared" si="2"/>
        <v>-0.01247222249</v>
      </c>
      <c r="L219" s="1">
        <f t="shared" si="3"/>
        <v>-1.247222249</v>
      </c>
      <c r="M219" s="1">
        <v>0.51</v>
      </c>
    </row>
    <row r="220" ht="15.75" customHeight="1">
      <c r="A220" s="7">
        <v>44207.0</v>
      </c>
      <c r="B220" s="1">
        <v>57.75</v>
      </c>
      <c r="C220" s="1">
        <v>58.049999</v>
      </c>
      <c r="D220" s="1">
        <v>57.290001</v>
      </c>
      <c r="E220" s="1">
        <v>57.459999</v>
      </c>
      <c r="F220" s="1">
        <v>56.848389</v>
      </c>
      <c r="G220" s="1">
        <v>1.57015E7</v>
      </c>
      <c r="I220" s="1">
        <f t="shared" si="1"/>
        <v>-0.00588238771</v>
      </c>
      <c r="J220" s="1">
        <v>0.0</v>
      </c>
      <c r="K220" s="1">
        <f t="shared" si="2"/>
        <v>-0.00588238771</v>
      </c>
      <c r="L220" s="1">
        <f t="shared" si="3"/>
        <v>-0.588238771</v>
      </c>
      <c r="M220" s="1">
        <v>-0.51</v>
      </c>
    </row>
    <row r="221" ht="15.75" customHeight="1">
      <c r="A221" s="7">
        <v>44208.0</v>
      </c>
      <c r="B221" s="1">
        <v>57.27</v>
      </c>
      <c r="C221" s="1">
        <v>57.450001</v>
      </c>
      <c r="D221" s="1">
        <v>56.689999</v>
      </c>
      <c r="E221" s="1">
        <v>57.259998</v>
      </c>
      <c r="F221" s="1">
        <v>56.65052</v>
      </c>
      <c r="G221" s="1">
        <v>2.26993E7</v>
      </c>
      <c r="I221" s="1">
        <f t="shared" si="1"/>
        <v>-0.003480643928</v>
      </c>
      <c r="J221" s="1">
        <v>0.0</v>
      </c>
      <c r="K221" s="1">
        <f t="shared" si="2"/>
        <v>-0.003480643928</v>
      </c>
      <c r="L221" s="1">
        <f t="shared" si="3"/>
        <v>-0.3480643928</v>
      </c>
      <c r="M221" s="1">
        <v>0.38</v>
      </c>
    </row>
    <row r="222" ht="15.75" customHeight="1">
      <c r="A222" s="7">
        <v>44209.0</v>
      </c>
      <c r="B222" s="1">
        <v>57.220001</v>
      </c>
      <c r="C222" s="1">
        <v>57.25</v>
      </c>
      <c r="D222" s="1">
        <v>56.880001</v>
      </c>
      <c r="E222" s="1">
        <v>57.060001</v>
      </c>
      <c r="F222" s="1">
        <v>56.452652</v>
      </c>
      <c r="G222" s="1">
        <v>1.69854E7</v>
      </c>
      <c r="I222" s="1">
        <f t="shared" si="1"/>
        <v>-0.003492783473</v>
      </c>
      <c r="J222" s="1">
        <v>0.0</v>
      </c>
      <c r="K222" s="1">
        <f t="shared" si="2"/>
        <v>-0.003492783473</v>
      </c>
      <c r="L222" s="1">
        <f t="shared" si="3"/>
        <v>-0.3492783473</v>
      </c>
      <c r="M222" s="1">
        <v>0.07</v>
      </c>
    </row>
    <row r="223" ht="15.75" customHeight="1">
      <c r="A223" s="7">
        <v>44210.0</v>
      </c>
      <c r="B223" s="1">
        <v>56.889999</v>
      </c>
      <c r="C223" s="1">
        <v>57.43</v>
      </c>
      <c r="D223" s="1">
        <v>56.66</v>
      </c>
      <c r="E223" s="1">
        <v>57.040001</v>
      </c>
      <c r="F223" s="1">
        <v>56.432861</v>
      </c>
      <c r="G223" s="1">
        <v>1.83411E7</v>
      </c>
      <c r="I223" s="1">
        <f t="shared" si="1"/>
        <v>-0.0003505769756</v>
      </c>
      <c r="J223" s="1">
        <v>0.0</v>
      </c>
      <c r="K223" s="1">
        <f t="shared" si="2"/>
        <v>-0.0003505769756</v>
      </c>
      <c r="L223" s="1">
        <f t="shared" si="3"/>
        <v>-0.03505769756</v>
      </c>
      <c r="M223" s="1">
        <v>-0.11</v>
      </c>
    </row>
    <row r="224" ht="15.75" customHeight="1">
      <c r="A224" s="7">
        <v>44211.0</v>
      </c>
      <c r="B224" s="1">
        <v>56.779999</v>
      </c>
      <c r="C224" s="1">
        <v>57.5</v>
      </c>
      <c r="D224" s="1">
        <v>56.709999</v>
      </c>
      <c r="E224" s="1">
        <v>57.380001</v>
      </c>
      <c r="F224" s="1">
        <v>56.769245</v>
      </c>
      <c r="G224" s="1">
        <v>1.57853E7</v>
      </c>
      <c r="I224" s="1">
        <f t="shared" si="1"/>
        <v>0.005960782318</v>
      </c>
      <c r="J224" s="1">
        <v>0.0</v>
      </c>
      <c r="K224" s="1">
        <f t="shared" si="2"/>
        <v>0.005960782318</v>
      </c>
      <c r="L224" s="1">
        <f t="shared" si="3"/>
        <v>0.5960782318</v>
      </c>
      <c r="M224" s="1">
        <v>-0.86</v>
      </c>
    </row>
    <row r="225" ht="15.75" customHeight="1">
      <c r="A225" s="7">
        <v>44215.0</v>
      </c>
      <c r="B225" s="1">
        <v>57.439999</v>
      </c>
      <c r="C225" s="1">
        <v>57.580002</v>
      </c>
      <c r="D225" s="1">
        <v>56.98</v>
      </c>
      <c r="E225" s="1">
        <v>57.049999</v>
      </c>
      <c r="F225" s="1">
        <v>56.442753</v>
      </c>
      <c r="G225" s="1">
        <v>1.88213E7</v>
      </c>
      <c r="I225" s="1">
        <f t="shared" si="1"/>
        <v>-0.00575121265</v>
      </c>
      <c r="J225" s="1">
        <v>0.0</v>
      </c>
      <c r="K225" s="1">
        <f t="shared" si="2"/>
        <v>-0.00575121265</v>
      </c>
      <c r="L225" s="1">
        <f t="shared" si="3"/>
        <v>-0.575121265</v>
      </c>
      <c r="M225" s="1">
        <v>0.91</v>
      </c>
    </row>
    <row r="226" ht="15.75" customHeight="1">
      <c r="A226" s="7">
        <v>44216.0</v>
      </c>
      <c r="B226" s="1">
        <v>57.009998</v>
      </c>
      <c r="C226" s="1">
        <v>57.389999</v>
      </c>
      <c r="D226" s="1">
        <v>56.66</v>
      </c>
      <c r="E226" s="1">
        <v>57.259998</v>
      </c>
      <c r="F226" s="1">
        <v>56.65052</v>
      </c>
      <c r="G226" s="1">
        <v>1.99231E7</v>
      </c>
      <c r="I226" s="1">
        <f t="shared" si="1"/>
        <v>0.003681021725</v>
      </c>
      <c r="J226" s="1">
        <v>0.0</v>
      </c>
      <c r="K226" s="1">
        <f t="shared" si="2"/>
        <v>0.003681021725</v>
      </c>
      <c r="L226" s="1">
        <f t="shared" si="3"/>
        <v>0.3681021725</v>
      </c>
      <c r="M226" s="1">
        <v>1.26</v>
      </c>
    </row>
    <row r="227" ht="15.75" customHeight="1">
      <c r="A227" s="7">
        <v>44217.0</v>
      </c>
      <c r="B227" s="1">
        <v>57.189999</v>
      </c>
      <c r="C227" s="1">
        <v>57.509998</v>
      </c>
      <c r="D227" s="1">
        <v>57.049999</v>
      </c>
      <c r="E227" s="1">
        <v>57.27</v>
      </c>
      <c r="F227" s="1">
        <v>56.660416</v>
      </c>
      <c r="G227" s="1">
        <v>1.36049E7</v>
      </c>
      <c r="I227" s="1">
        <f t="shared" si="1"/>
        <v>0.0001746850691</v>
      </c>
      <c r="J227" s="1">
        <v>0.0</v>
      </c>
      <c r="K227" s="1">
        <f t="shared" si="2"/>
        <v>0.0001746850691</v>
      </c>
      <c r="L227" s="1">
        <f t="shared" si="3"/>
        <v>0.01746850691</v>
      </c>
      <c r="M227" s="1">
        <v>-0.04</v>
      </c>
    </row>
    <row r="228" ht="15.75" customHeight="1">
      <c r="A228" s="7">
        <v>44218.0</v>
      </c>
      <c r="B228" s="1">
        <v>57.169998</v>
      </c>
      <c r="C228" s="1">
        <v>57.689999</v>
      </c>
      <c r="D228" s="1">
        <v>56.759998</v>
      </c>
      <c r="E228" s="1">
        <v>57.470001</v>
      </c>
      <c r="F228" s="1">
        <v>56.858288</v>
      </c>
      <c r="G228" s="1">
        <v>1.63645E7</v>
      </c>
      <c r="I228" s="1">
        <f t="shared" si="1"/>
        <v>0.003492244039</v>
      </c>
      <c r="J228" s="1">
        <v>0.0</v>
      </c>
      <c r="K228" s="1">
        <f t="shared" si="2"/>
        <v>0.003492244039</v>
      </c>
      <c r="L228" s="1">
        <f t="shared" si="3"/>
        <v>0.3492244039</v>
      </c>
      <c r="M228" s="1">
        <v>-0.07</v>
      </c>
    </row>
    <row r="229" ht="15.75" customHeight="1">
      <c r="A229" s="7">
        <v>44221.0</v>
      </c>
      <c r="B229" s="1">
        <v>57.470001</v>
      </c>
      <c r="C229" s="1">
        <v>58.619999</v>
      </c>
      <c r="D229" s="1">
        <v>57.18</v>
      </c>
      <c r="E229" s="1">
        <v>58.419998</v>
      </c>
      <c r="F229" s="1">
        <v>57.798172</v>
      </c>
      <c r="G229" s="1">
        <v>2.24443E7</v>
      </c>
      <c r="I229" s="1">
        <f t="shared" si="1"/>
        <v>0.01653029018</v>
      </c>
      <c r="J229" s="1">
        <v>0.0</v>
      </c>
      <c r="K229" s="1">
        <f t="shared" si="2"/>
        <v>0.01653029018</v>
      </c>
      <c r="L229" s="1">
        <f t="shared" si="3"/>
        <v>1.653029018</v>
      </c>
      <c r="M229" s="1">
        <v>0.28</v>
      </c>
    </row>
    <row r="230" ht="15.75" customHeight="1">
      <c r="A230" s="7">
        <v>44222.0</v>
      </c>
      <c r="B230" s="1">
        <v>56.990002</v>
      </c>
      <c r="C230" s="1">
        <v>57.279999</v>
      </c>
      <c r="D230" s="1">
        <v>56.41</v>
      </c>
      <c r="E230" s="1">
        <v>56.57</v>
      </c>
      <c r="F230" s="1">
        <v>55.967865</v>
      </c>
      <c r="G230" s="1">
        <v>3.78927E7</v>
      </c>
      <c r="I230" s="1">
        <f t="shared" si="1"/>
        <v>-0.03166721259</v>
      </c>
      <c r="J230" s="1">
        <v>0.0</v>
      </c>
      <c r="K230" s="1">
        <f t="shared" si="2"/>
        <v>-0.03166721259</v>
      </c>
      <c r="L230" s="1">
        <f t="shared" si="3"/>
        <v>-3.166721259</v>
      </c>
      <c r="M230" s="1">
        <v>-0.32</v>
      </c>
    </row>
    <row r="231" ht="15.75" customHeight="1">
      <c r="A231" s="7">
        <v>44223.0</v>
      </c>
      <c r="B231" s="1">
        <v>56.639999</v>
      </c>
      <c r="C231" s="1">
        <v>56.959999</v>
      </c>
      <c r="D231" s="1">
        <v>55.060001</v>
      </c>
      <c r="E231" s="1">
        <v>55.130001</v>
      </c>
      <c r="F231" s="1">
        <v>54.543194</v>
      </c>
      <c r="G231" s="1">
        <v>3.7239E7</v>
      </c>
      <c r="I231" s="1">
        <f t="shared" si="1"/>
        <v>-0.02545516074</v>
      </c>
      <c r="J231" s="1">
        <v>0.0</v>
      </c>
      <c r="K231" s="1">
        <f t="shared" si="2"/>
        <v>-0.02545516074</v>
      </c>
      <c r="L231" s="1">
        <f t="shared" si="3"/>
        <v>-2.545516074</v>
      </c>
      <c r="M231" s="1">
        <v>-2.53</v>
      </c>
    </row>
    <row r="232" ht="15.75" customHeight="1">
      <c r="A232" s="7">
        <v>44224.0</v>
      </c>
      <c r="B232" s="1">
        <v>55.0</v>
      </c>
      <c r="C232" s="1">
        <v>56.330002</v>
      </c>
      <c r="D232" s="1">
        <v>55.0</v>
      </c>
      <c r="E232" s="1">
        <v>55.369999</v>
      </c>
      <c r="F232" s="1">
        <v>54.780636</v>
      </c>
      <c r="G232" s="1">
        <v>2.40008E7</v>
      </c>
      <c r="I232" s="1">
        <f t="shared" si="1"/>
        <v>0.004353283748</v>
      </c>
      <c r="J232" s="1">
        <v>0.0</v>
      </c>
      <c r="K232" s="1">
        <f t="shared" si="2"/>
        <v>0.004353283748</v>
      </c>
      <c r="L232" s="1">
        <f t="shared" si="3"/>
        <v>0.4353283748</v>
      </c>
      <c r="M232" s="1">
        <v>0.92</v>
      </c>
    </row>
    <row r="233" ht="15.75" customHeight="1">
      <c r="A233" s="7">
        <v>44225.0</v>
      </c>
      <c r="B233" s="1">
        <v>55.0</v>
      </c>
      <c r="C233" s="1">
        <v>55.27</v>
      </c>
      <c r="D233" s="1">
        <v>54.48</v>
      </c>
      <c r="E233" s="1">
        <v>54.75</v>
      </c>
      <c r="F233" s="1">
        <v>54.167236</v>
      </c>
      <c r="G233" s="1">
        <v>2.62285E7</v>
      </c>
      <c r="I233" s="1">
        <f t="shared" si="1"/>
        <v>-0.01119738734</v>
      </c>
      <c r="J233" s="1">
        <v>0.0</v>
      </c>
      <c r="K233" s="1">
        <f t="shared" si="2"/>
        <v>-0.01119738734</v>
      </c>
      <c r="L233" s="1">
        <f t="shared" si="3"/>
        <v>-1.119738734</v>
      </c>
      <c r="M233" s="1">
        <v>-1.84</v>
      </c>
    </row>
    <row r="234" ht="15.75" customHeight="1">
      <c r="A234" s="7">
        <v>44228.0</v>
      </c>
      <c r="B234" s="1">
        <v>55.27</v>
      </c>
      <c r="C234" s="1">
        <v>55.27</v>
      </c>
      <c r="D234" s="1">
        <v>54.220001</v>
      </c>
      <c r="E234" s="1">
        <v>54.279999</v>
      </c>
      <c r="F234" s="1">
        <v>53.70224</v>
      </c>
      <c r="G234" s="1">
        <v>2.05411E7</v>
      </c>
      <c r="I234" s="1">
        <f t="shared" si="1"/>
        <v>-0.008584451309</v>
      </c>
      <c r="J234" s="1">
        <v>0.0</v>
      </c>
      <c r="K234" s="1">
        <f t="shared" si="2"/>
        <v>-0.008584451309</v>
      </c>
      <c r="L234" s="1">
        <f t="shared" si="3"/>
        <v>-0.8584451309</v>
      </c>
      <c r="M234" s="1">
        <v>1.73</v>
      </c>
    </row>
    <row r="235" ht="15.75" customHeight="1">
      <c r="A235" s="7">
        <v>44229.0</v>
      </c>
      <c r="B235" s="1">
        <v>54.43</v>
      </c>
      <c r="C235" s="1">
        <v>55.169998</v>
      </c>
      <c r="D235" s="1">
        <v>54.169998</v>
      </c>
      <c r="E235" s="1">
        <v>54.5</v>
      </c>
      <c r="F235" s="1">
        <v>53.919899</v>
      </c>
      <c r="G235" s="1">
        <v>1.89745E7</v>
      </c>
      <c r="I235" s="1">
        <f t="shared" si="1"/>
        <v>0.004053071157</v>
      </c>
      <c r="J235" s="1">
        <v>0.0</v>
      </c>
      <c r="K235" s="1">
        <f t="shared" si="2"/>
        <v>0.004053071157</v>
      </c>
      <c r="L235" s="1">
        <f t="shared" si="3"/>
        <v>0.4053071157</v>
      </c>
      <c r="M235" s="1">
        <v>1.48</v>
      </c>
    </row>
    <row r="236" ht="15.75" customHeight="1">
      <c r="A236" s="7">
        <v>44230.0</v>
      </c>
      <c r="B236" s="1">
        <v>54.310001</v>
      </c>
      <c r="C236" s="1">
        <v>54.900002</v>
      </c>
      <c r="D236" s="1">
        <v>54.25</v>
      </c>
      <c r="E236" s="1">
        <v>54.790001</v>
      </c>
      <c r="F236" s="1">
        <v>54.20681</v>
      </c>
      <c r="G236" s="1">
        <v>1.39093E7</v>
      </c>
      <c r="I236" s="1">
        <f t="shared" si="1"/>
        <v>0.00532105967</v>
      </c>
      <c r="J236" s="1">
        <v>0.0</v>
      </c>
      <c r="K236" s="1">
        <f t="shared" si="2"/>
        <v>0.00532105967</v>
      </c>
      <c r="L236" s="1">
        <f t="shared" si="3"/>
        <v>0.532105967</v>
      </c>
      <c r="M236" s="1">
        <v>0.16</v>
      </c>
    </row>
    <row r="237" ht="15.75" customHeight="1">
      <c r="A237" s="7">
        <v>44231.0</v>
      </c>
      <c r="B237" s="1">
        <v>54.759998</v>
      </c>
      <c r="C237" s="1">
        <v>55.369999</v>
      </c>
      <c r="D237" s="1">
        <v>54.59</v>
      </c>
      <c r="E237" s="1">
        <v>55.139999</v>
      </c>
      <c r="F237" s="1">
        <v>54.553085</v>
      </c>
      <c r="G237" s="1">
        <v>1.47617E7</v>
      </c>
      <c r="I237" s="1">
        <f t="shared" si="1"/>
        <v>0.006388035009</v>
      </c>
      <c r="J237" s="1">
        <v>0.0</v>
      </c>
      <c r="K237" s="1">
        <f t="shared" si="2"/>
        <v>0.006388035009</v>
      </c>
      <c r="L237" s="1">
        <f t="shared" si="3"/>
        <v>0.6388035009</v>
      </c>
      <c r="M237" s="1">
        <v>1.23</v>
      </c>
    </row>
    <row r="238" ht="15.75" customHeight="1">
      <c r="A238" s="7">
        <v>44232.0</v>
      </c>
      <c r="B238" s="1">
        <v>55.200001</v>
      </c>
      <c r="C238" s="1">
        <v>55.68</v>
      </c>
      <c r="D238" s="1">
        <v>55.169998</v>
      </c>
      <c r="E238" s="1">
        <v>55.32</v>
      </c>
      <c r="F238" s="1">
        <v>54.731171</v>
      </c>
      <c r="G238" s="1">
        <v>1.20649E7</v>
      </c>
      <c r="I238" s="1">
        <f t="shared" si="1"/>
        <v>0.00326445333</v>
      </c>
      <c r="J238" s="1">
        <v>0.0</v>
      </c>
      <c r="K238" s="1">
        <f t="shared" si="2"/>
        <v>0.00326445333</v>
      </c>
      <c r="L238" s="1">
        <f t="shared" si="3"/>
        <v>0.326445333</v>
      </c>
      <c r="M238" s="1">
        <v>0.58</v>
      </c>
    </row>
    <row r="239" ht="15.75" customHeight="1">
      <c r="A239" s="7">
        <v>44235.0</v>
      </c>
      <c r="B239" s="1">
        <v>55.369999</v>
      </c>
      <c r="C239" s="1">
        <v>55.48</v>
      </c>
      <c r="D239" s="1">
        <v>54.790001</v>
      </c>
      <c r="E239" s="1">
        <v>55.049999</v>
      </c>
      <c r="F239" s="1">
        <v>54.464043</v>
      </c>
      <c r="G239" s="1">
        <v>1.78877E7</v>
      </c>
      <c r="I239" s="1">
        <f t="shared" si="1"/>
        <v>-0.004880728753</v>
      </c>
      <c r="J239" s="1">
        <v>0.0</v>
      </c>
      <c r="K239" s="1">
        <f t="shared" si="2"/>
        <v>-0.004880728753</v>
      </c>
      <c r="L239" s="1">
        <f t="shared" si="3"/>
        <v>-0.4880728753</v>
      </c>
      <c r="M239" s="1">
        <v>0.96</v>
      </c>
    </row>
    <row r="240" ht="15.75" customHeight="1">
      <c r="A240" s="7">
        <v>44236.0</v>
      </c>
      <c r="B240" s="1">
        <v>55.02</v>
      </c>
      <c r="C240" s="1">
        <v>55.299999</v>
      </c>
      <c r="D240" s="1">
        <v>54.68</v>
      </c>
      <c r="E240" s="1">
        <v>55.0</v>
      </c>
      <c r="F240" s="1">
        <v>54.414577</v>
      </c>
      <c r="G240" s="1">
        <v>1.96056E7</v>
      </c>
      <c r="I240" s="1">
        <f t="shared" si="1"/>
        <v>-0.0009082322442</v>
      </c>
      <c r="J240" s="1">
        <v>0.0</v>
      </c>
      <c r="K240" s="1">
        <f t="shared" si="2"/>
        <v>-0.0009082322442</v>
      </c>
      <c r="L240" s="1">
        <f t="shared" si="3"/>
        <v>-0.09082322442</v>
      </c>
      <c r="M240" s="1">
        <v>0.05</v>
      </c>
    </row>
    <row r="241" ht="15.75" customHeight="1">
      <c r="A241" s="7">
        <v>44237.0</v>
      </c>
      <c r="B241" s="1">
        <v>55.220001</v>
      </c>
      <c r="C241" s="1">
        <v>55.439999</v>
      </c>
      <c r="D241" s="1">
        <v>54.919998</v>
      </c>
      <c r="E241" s="1">
        <v>54.959999</v>
      </c>
      <c r="F241" s="1">
        <v>54.375</v>
      </c>
      <c r="G241" s="1">
        <v>1.62328E7</v>
      </c>
      <c r="I241" s="1">
        <f t="shared" si="1"/>
        <v>-0.0007273234891</v>
      </c>
      <c r="J241" s="1">
        <v>0.0</v>
      </c>
      <c r="K241" s="1">
        <f t="shared" si="2"/>
        <v>-0.0007273234891</v>
      </c>
      <c r="L241" s="1">
        <f t="shared" si="3"/>
        <v>-0.07273234891</v>
      </c>
      <c r="M241" s="1">
        <v>-0.07</v>
      </c>
    </row>
    <row r="242" ht="15.75" customHeight="1">
      <c r="A242" s="7">
        <v>44238.0</v>
      </c>
      <c r="B242" s="1">
        <v>55.02</v>
      </c>
      <c r="C242" s="1">
        <v>55.060001</v>
      </c>
      <c r="D242" s="1">
        <v>54.48</v>
      </c>
      <c r="E242" s="1">
        <v>54.599998</v>
      </c>
      <c r="F242" s="1">
        <v>54.018833</v>
      </c>
      <c r="G242" s="1">
        <v>1.73908E7</v>
      </c>
      <c r="I242" s="1">
        <f t="shared" si="1"/>
        <v>-0.006550197701</v>
      </c>
      <c r="J242" s="1">
        <v>0.0</v>
      </c>
      <c r="K242" s="1">
        <f t="shared" si="2"/>
        <v>-0.006550197701</v>
      </c>
      <c r="L242" s="1">
        <f t="shared" si="3"/>
        <v>-0.6550197701</v>
      </c>
      <c r="M242" s="1">
        <v>0.19</v>
      </c>
    </row>
    <row r="243" ht="15.75" customHeight="1">
      <c r="A243" s="7">
        <v>44239.0</v>
      </c>
      <c r="B243" s="1">
        <v>54.419998</v>
      </c>
      <c r="C243" s="1">
        <v>54.68</v>
      </c>
      <c r="D243" s="1">
        <v>54.18</v>
      </c>
      <c r="E243" s="1">
        <v>54.200001</v>
      </c>
      <c r="F243" s="1">
        <v>53.623093</v>
      </c>
      <c r="G243" s="1">
        <v>1.83371E7</v>
      </c>
      <c r="I243" s="1">
        <f t="shared" si="1"/>
        <v>-0.007325963521</v>
      </c>
      <c r="J243" s="1">
        <v>0.0</v>
      </c>
      <c r="K243" s="1">
        <f t="shared" si="2"/>
        <v>-0.007325963521</v>
      </c>
      <c r="L243" s="1">
        <f t="shared" si="3"/>
        <v>-0.7325963521</v>
      </c>
      <c r="M243" s="1">
        <v>0.49</v>
      </c>
    </row>
    <row r="244" ht="15.75" customHeight="1">
      <c r="A244" s="7">
        <v>44243.0</v>
      </c>
      <c r="B244" s="1">
        <v>54.110001</v>
      </c>
      <c r="C244" s="1">
        <v>54.32</v>
      </c>
      <c r="D244" s="1">
        <v>53.830002</v>
      </c>
      <c r="E244" s="1">
        <v>54.150002</v>
      </c>
      <c r="F244" s="1">
        <v>53.573624</v>
      </c>
      <c r="G244" s="1">
        <v>2.20957E7</v>
      </c>
      <c r="I244" s="1">
        <f t="shared" si="1"/>
        <v>-0.0009225316414</v>
      </c>
      <c r="J244" s="1">
        <v>0.0</v>
      </c>
      <c r="K244" s="1">
        <f t="shared" si="2"/>
        <v>-0.0009225316414</v>
      </c>
      <c r="L244" s="1">
        <f t="shared" si="3"/>
        <v>-0.09225316414</v>
      </c>
      <c r="M244" s="1">
        <v>-0.14</v>
      </c>
    </row>
    <row r="245" ht="15.75" customHeight="1">
      <c r="A245" s="7">
        <v>44244.0</v>
      </c>
      <c r="B245" s="1">
        <v>56.0</v>
      </c>
      <c r="C245" s="1">
        <v>57.25</v>
      </c>
      <c r="D245" s="1">
        <v>55.630001</v>
      </c>
      <c r="E245" s="1">
        <v>56.990002</v>
      </c>
      <c r="F245" s="1">
        <v>56.383396</v>
      </c>
      <c r="G245" s="1">
        <v>4.05313E7</v>
      </c>
      <c r="I245" s="1">
        <f t="shared" si="1"/>
        <v>0.05244692799</v>
      </c>
      <c r="J245" s="1">
        <v>0.0</v>
      </c>
      <c r="K245" s="1">
        <f t="shared" si="2"/>
        <v>0.05244692799</v>
      </c>
      <c r="L245" s="1">
        <f t="shared" si="3"/>
        <v>5.244692799</v>
      </c>
      <c r="M245" s="1">
        <v>-0.2</v>
      </c>
    </row>
    <row r="246" ht="15.75" customHeight="1">
      <c r="A246" s="7">
        <v>44245.0</v>
      </c>
      <c r="B246" s="1">
        <v>56.939999</v>
      </c>
      <c r="C246" s="1">
        <v>57.610001</v>
      </c>
      <c r="D246" s="1">
        <v>56.529999</v>
      </c>
      <c r="E246" s="1">
        <v>56.98</v>
      </c>
      <c r="F246" s="1">
        <v>56.373501</v>
      </c>
      <c r="G246" s="1">
        <v>2.07599E7</v>
      </c>
      <c r="I246" s="1">
        <f t="shared" si="1"/>
        <v>-0.0001754949276</v>
      </c>
      <c r="J246" s="1">
        <v>0.0</v>
      </c>
      <c r="K246" s="1">
        <f t="shared" si="2"/>
        <v>-0.0001754949276</v>
      </c>
      <c r="L246" s="1">
        <f t="shared" si="3"/>
        <v>-0.01754949276</v>
      </c>
      <c r="M246" s="1">
        <v>-0.63</v>
      </c>
    </row>
    <row r="247" ht="15.75" customHeight="1">
      <c r="A247" s="7">
        <v>44246.0</v>
      </c>
      <c r="B247" s="1">
        <v>57.330002</v>
      </c>
      <c r="C247" s="1">
        <v>57.400002</v>
      </c>
      <c r="D247" s="1">
        <v>56.349998</v>
      </c>
      <c r="E247" s="1">
        <v>56.450001</v>
      </c>
      <c r="F247" s="1">
        <v>55.849144</v>
      </c>
      <c r="G247" s="1">
        <v>1.86894E7</v>
      </c>
      <c r="I247" s="1">
        <f t="shared" si="1"/>
        <v>-0.00930148014</v>
      </c>
      <c r="J247" s="1">
        <v>0.0</v>
      </c>
      <c r="K247" s="1">
        <f t="shared" si="2"/>
        <v>-0.00930148014</v>
      </c>
      <c r="L247" s="1">
        <f t="shared" si="3"/>
        <v>-0.930148014</v>
      </c>
      <c r="M247" s="1">
        <v>0.16</v>
      </c>
    </row>
    <row r="248" ht="15.75" customHeight="1">
      <c r="A248" s="7">
        <v>44249.0</v>
      </c>
      <c r="B248" s="1">
        <v>56.529999</v>
      </c>
      <c r="C248" s="1">
        <v>56.84</v>
      </c>
      <c r="D248" s="1">
        <v>56.150002</v>
      </c>
      <c r="E248" s="1">
        <v>56.450001</v>
      </c>
      <c r="F248" s="1">
        <v>55.849144</v>
      </c>
      <c r="G248" s="1">
        <v>1.78549E7</v>
      </c>
      <c r="I248" s="1">
        <f t="shared" si="1"/>
        <v>0</v>
      </c>
      <c r="J248" s="1">
        <v>0.0</v>
      </c>
      <c r="K248" s="1">
        <f t="shared" si="2"/>
        <v>0</v>
      </c>
      <c r="L248" s="1">
        <f t="shared" si="3"/>
        <v>0</v>
      </c>
      <c r="M248" s="1">
        <v>-1.12</v>
      </c>
    </row>
    <row r="249" ht="15.75" customHeight="1">
      <c r="A249" s="7">
        <v>44250.0</v>
      </c>
      <c r="B249" s="1">
        <v>56.810001</v>
      </c>
      <c r="C249" s="1">
        <v>57.529999</v>
      </c>
      <c r="D249" s="1">
        <v>56.290001</v>
      </c>
      <c r="E249" s="1">
        <v>57.029999</v>
      </c>
      <c r="F249" s="1">
        <v>56.422966</v>
      </c>
      <c r="G249" s="1">
        <v>2.1062E7</v>
      </c>
      <c r="I249" s="1">
        <f t="shared" si="1"/>
        <v>0.01027449946</v>
      </c>
      <c r="J249" s="1">
        <v>0.0</v>
      </c>
      <c r="K249" s="1">
        <f t="shared" si="2"/>
        <v>0.01027449946</v>
      </c>
      <c r="L249" s="1">
        <f t="shared" si="3"/>
        <v>1.027449946</v>
      </c>
      <c r="M249" s="1">
        <v>-0.15</v>
      </c>
    </row>
    <row r="250" ht="15.75" customHeight="1">
      <c r="A250" s="7">
        <v>44251.0</v>
      </c>
      <c r="B250" s="1">
        <v>57.080002</v>
      </c>
      <c r="C250" s="1">
        <v>57.419998</v>
      </c>
      <c r="D250" s="1">
        <v>56.669998</v>
      </c>
      <c r="E250" s="1">
        <v>57.119999</v>
      </c>
      <c r="F250" s="1">
        <v>56.512009</v>
      </c>
      <c r="G250" s="1">
        <v>1.71369E7</v>
      </c>
      <c r="I250" s="1">
        <f t="shared" si="1"/>
        <v>0.001578133982</v>
      </c>
      <c r="J250" s="1">
        <v>0.0</v>
      </c>
      <c r="K250" s="1">
        <f t="shared" si="2"/>
        <v>0.001578133982</v>
      </c>
      <c r="L250" s="1">
        <f t="shared" si="3"/>
        <v>0.1578133982</v>
      </c>
      <c r="M250" s="1">
        <v>1.15</v>
      </c>
    </row>
    <row r="251" ht="15.75" customHeight="1">
      <c r="A251" s="7">
        <v>44252.0</v>
      </c>
      <c r="B251" s="1">
        <v>56.119999</v>
      </c>
      <c r="C251" s="1">
        <v>56.860001</v>
      </c>
      <c r="D251" s="1">
        <v>55.740002</v>
      </c>
      <c r="E251" s="1">
        <v>56.5</v>
      </c>
      <c r="F251" s="1">
        <v>55.898609</v>
      </c>
      <c r="G251" s="1">
        <v>2.41653E7</v>
      </c>
      <c r="I251" s="1">
        <f t="shared" si="1"/>
        <v>-0.01085433009</v>
      </c>
      <c r="J251" s="1">
        <v>0.0</v>
      </c>
      <c r="K251" s="1">
        <f t="shared" si="2"/>
        <v>-0.01085433009</v>
      </c>
      <c r="L251" s="1">
        <f t="shared" si="3"/>
        <v>-1.085433009</v>
      </c>
      <c r="M251" s="1">
        <v>-2.73</v>
      </c>
    </row>
    <row r="252" ht="15.75" customHeight="1">
      <c r="A252" s="7">
        <v>44253.0</v>
      </c>
      <c r="B252" s="1">
        <v>56.470001</v>
      </c>
      <c r="C252" s="1">
        <v>56.610001</v>
      </c>
      <c r="D252" s="1">
        <v>55.290001</v>
      </c>
      <c r="E252" s="1">
        <v>55.299999</v>
      </c>
      <c r="F252" s="1">
        <v>54.71138</v>
      </c>
      <c r="G252" s="1">
        <v>2.39287E7</v>
      </c>
      <c r="I252" s="1">
        <f t="shared" si="1"/>
        <v>-0.02123897215</v>
      </c>
      <c r="J252" s="1">
        <v>0.0</v>
      </c>
      <c r="K252" s="1">
        <f t="shared" si="2"/>
        <v>-0.02123897215</v>
      </c>
      <c r="L252" s="1">
        <f t="shared" si="3"/>
        <v>-2.123897215</v>
      </c>
      <c r="M252" s="1">
        <v>-0.28</v>
      </c>
    </row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1.0" footer="0.0" header="0.0" left="0.75" right="0.75" top="1.0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2021-04-29T14:00:02Z</dcterms:created>
  <dc:creator>Microsoft Office User</dc:creator>
</cp:coreProperties>
</file>