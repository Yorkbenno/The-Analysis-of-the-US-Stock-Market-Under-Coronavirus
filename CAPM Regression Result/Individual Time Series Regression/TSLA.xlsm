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" sheetId="1" r:id="rId4"/>
    <sheet state="visible" name="Sheet2" sheetId="2" r:id="rId5"/>
    <sheet state="visible" name="TSLA" sheetId="3" r:id="rId6"/>
  </sheets>
  <definedNames/>
  <calcPr/>
  <extLst>
    <ext uri="GoogleSheetsCustomDataVersion1">
      <go:sheetsCustomData xmlns:go="http://customooxmlschemas.google.com/" r:id="rId7" roundtripDataSignature="AMtx7mj9CwFt/NhZH5wOeZFj4EFs7WlK/A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<sst xmlns="http://schemas.openxmlformats.org/spreadsheetml/2006/main" count="64" uniqueCount="39">
  <si>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</si>
  <si>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</si>
  <si>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</si>
  <si>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</si>
  <si>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</si>
  <si>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</si>
  <si>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</si>
  <si>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</si>
  <si>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</si>
  <si>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</si>
  <si>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</si>
  <si>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</si>
  <si>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</si>
  <si>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</si>
  <si>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</si>
  <si>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</si>
  <si>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</si>
  <si>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</si>
  <si>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</si>
  <si>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</si>
  <si>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</si>
  <si>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</si>
  <si>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</si>
  <si>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</si>
  <si>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</si>
  <si>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</si>
  <si>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</si>
  <si>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</si>
  <si>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</si>
  <si>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</si>
  <si>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</si>
  <si>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</si>
  <si>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</si>
  <si>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</si>
  <si>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</si>
  <si>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</si>
  <si>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TSLA</t>
  </si>
  <si>
    <t>TSLA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</si>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</sst>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0.5228012149341691</v>
      </c>
    </row>
    <row r="5" ht="15.75" customHeight="1">
      <c r="A5" s="4" t="s">
        <v>3</v>
      </c>
      <c r="B5" s="4">
        <v>0.2733211103366433</v>
      </c>
    </row>
    <row r="6" ht="15.75" customHeight="1">
      <c r="A6" s="4" t="s">
        <v>4</v>
      </c>
      <c r="B6" s="4">
        <v>0.27039095352348463</v>
      </c>
    </row>
    <row r="7" ht="15.75" customHeight="1">
      <c r="A7" s="4" t="s">
        <v>5</v>
      </c>
      <c r="B7" s="4">
        <v>4.515546507396099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1901.9668904076507</v>
      </c>
      <c r="D12" s="4">
        <v>1901.9668904076507</v>
      </c>
      <c r="E12" s="4">
        <v>93.2786631449954</v>
      </c>
      <c r="F12" s="4">
        <v>6.136382619077651E-19</v>
      </c>
    </row>
    <row r="13" ht="15.75" customHeight="1">
      <c r="A13" s="4" t="s">
        <v>14</v>
      </c>
      <c r="B13" s="4">
        <v>248.0</v>
      </c>
      <c r="C13" s="4">
        <v>5056.759744593363</v>
      </c>
      <c r="D13" s="4">
        <v>20.39016026045711</v>
      </c>
      <c r="E13" s="4"/>
      <c r="F13" s="4"/>
    </row>
    <row r="14" ht="15.75" customHeight="1">
      <c r="A14" s="5" t="s">
        <v>15</v>
      </c>
      <c r="B14" s="5">
        <v>249.0</v>
      </c>
      <c r="C14" s="5">
        <v>6958.726635001014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0.520678613822282</v>
      </c>
      <c r="C17" s="4">
        <v>0.28616262956431054</v>
      </c>
      <c r="D17" s="4">
        <v>1.8195199513473428</v>
      </c>
      <c r="E17" s="4">
        <v>0.07003783192274136</v>
      </c>
      <c r="F17" s="4">
        <v>-0.042940334345209163</v>
      </c>
      <c r="G17" s="4">
        <v>1.0842975619897732</v>
      </c>
      <c r="H17" s="4">
        <v>-0.042940334345209163</v>
      </c>
      <c r="I17" s="4">
        <v>1.0842975619897732</v>
      </c>
    </row>
    <row r="18" ht="15.75" customHeight="1">
      <c r="A18" s="5" t="s">
        <v>24</v>
      </c>
      <c r="B18" s="5">
        <v>1.2861887993844563</v>
      </c>
      <c r="C18" s="5">
        <v>0.13317219764500182</v>
      </c>
      <c r="D18" s="5">
        <v>9.658087965275303</v>
      </c>
      <c r="E18" s="5">
        <v>6.136382619077077E-19</v>
      </c>
      <c r="F18" s="5">
        <v>1.0238960811629774</v>
      </c>
      <c r="G18" s="5">
        <v>1.5484815176059352</v>
      </c>
      <c r="H18" s="5">
        <v>1.0238960811629774</v>
      </c>
      <c r="I18" s="5">
        <v>1.5484815176059352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0.4922775574710629</v>
      </c>
    </row>
    <row r="5" ht="15.75" customHeight="1">
      <c r="A5" s="4" t="s">
        <v>3</v>
      </c>
      <c r="B5" s="4">
        <v>0.24233719358967562</v>
      </c>
    </row>
    <row r="6" ht="15.75" customHeight="1">
      <c r="A6" s="4" t="s">
        <v>4</v>
      </c>
      <c r="B6" s="4">
        <v>0.2389994719755332</v>
      </c>
    </row>
    <row r="7" ht="15.75" customHeight="1">
      <c r="A7" s="4" t="s">
        <v>5</v>
      </c>
      <c r="B7" s="4">
        <v>4.148414386033852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1249.4941478413484</v>
      </c>
      <c r="D12" s="4">
        <v>1249.4941478413484</v>
      </c>
      <c r="E12" s="4">
        <v>72.6055739828207</v>
      </c>
      <c r="F12" s="4">
        <v>2.218298830401469E-15</v>
      </c>
    </row>
    <row r="13" ht="15.75" customHeight="1">
      <c r="A13" s="4" t="s">
        <v>14</v>
      </c>
      <c r="B13" s="4">
        <v>227.0</v>
      </c>
      <c r="C13" s="4">
        <v>3906.5206154433454</v>
      </c>
      <c r="D13" s="4">
        <v>17.209341918252623</v>
      </c>
      <c r="E13" s="4"/>
      <c r="F13" s="4"/>
    </row>
    <row r="14" ht="15.75" customHeight="1">
      <c r="A14" s="5" t="s">
        <v>15</v>
      </c>
      <c r="B14" s="5">
        <v>228.0</v>
      </c>
      <c r="C14" s="5">
        <v>5156.014763284694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0.5687804557191498</v>
      </c>
      <c r="C17" s="4">
        <v>0.27738522084258216</v>
      </c>
      <c r="D17" s="4">
        <v>2.0505074278702695</v>
      </c>
      <c r="E17" s="4">
        <v>0.04146368044690218</v>
      </c>
      <c r="F17" s="4">
        <v>0.022201334788744753</v>
      </c>
      <c r="G17" s="4">
        <v>1.115359576649555</v>
      </c>
      <c r="H17" s="4">
        <v>0.022201334788744753</v>
      </c>
      <c r="I17" s="4">
        <v>1.115359576649555</v>
      </c>
    </row>
    <row r="18" ht="15.75" customHeight="1">
      <c r="A18" s="5" t="s">
        <v>26</v>
      </c>
      <c r="B18" s="5">
        <v>1.6856871527689008</v>
      </c>
      <c r="C18" s="5">
        <v>0.19782992910973296</v>
      </c>
      <c r="D18" s="5">
        <v>8.520890445418289</v>
      </c>
      <c r="E18" s="5">
        <v>2.2182988304014923E-15</v>
      </c>
      <c r="F18" s="5">
        <v>1.2958693087681692</v>
      </c>
      <c r="G18" s="5">
        <v>2.0755049967696326</v>
      </c>
      <c r="H18" s="5">
        <v>1.2958693087681692</v>
      </c>
      <c r="I18" s="5">
        <v>2.0755049967696326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142.251999</v>
      </c>
      <c r="C2" s="1">
        <v>148.738007</v>
      </c>
      <c r="D2" s="1">
        <v>137.334</v>
      </c>
      <c r="E2" s="1">
        <v>148.723999</v>
      </c>
      <c r="F2" s="1">
        <v>148.723999</v>
      </c>
      <c r="G2" s="1">
        <v>1.00975E8</v>
      </c>
      <c r="J2" s="1">
        <v>0.006</v>
      </c>
      <c r="M2" s="1">
        <v>4.31</v>
      </c>
    </row>
    <row r="3" ht="15.75" customHeight="1">
      <c r="A3" s="7">
        <v>43893.0</v>
      </c>
      <c r="B3" s="1">
        <v>161.0</v>
      </c>
      <c r="C3" s="1">
        <v>161.395996</v>
      </c>
      <c r="D3" s="1">
        <v>143.222</v>
      </c>
      <c r="E3" s="1">
        <v>149.102005</v>
      </c>
      <c r="F3" s="1">
        <v>149.102005</v>
      </c>
      <c r="G3" s="1">
        <v>1.2892E8</v>
      </c>
      <c r="I3" s="1">
        <f t="shared" ref="I3:I252" si="1">(F3-F2)/F2</f>
        <v>0.002541661081</v>
      </c>
      <c r="J3" s="1">
        <v>0.006</v>
      </c>
      <c r="K3" s="1">
        <f t="shared" ref="K3:K252" si="2">I3-J3</f>
        <v>-0.003458338919</v>
      </c>
      <c r="L3" s="1">
        <f t="shared" ref="L3:L252" si="3">100*K3</f>
        <v>-0.3458338919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152.792007</v>
      </c>
      <c r="C4" s="1">
        <v>153.304001</v>
      </c>
      <c r="D4" s="1">
        <v>144.945999</v>
      </c>
      <c r="E4" s="1">
        <v>149.899994</v>
      </c>
      <c r="F4" s="1">
        <v>149.899994</v>
      </c>
      <c r="G4" s="1">
        <v>7.5245E7</v>
      </c>
      <c r="I4" s="1">
        <f t="shared" si="1"/>
        <v>0.00535196693</v>
      </c>
      <c r="J4" s="1">
        <v>0.006</v>
      </c>
      <c r="K4" s="1">
        <f t="shared" si="2"/>
        <v>-0.0006480330697</v>
      </c>
      <c r="L4" s="1">
        <f t="shared" si="3"/>
        <v>-0.06480330697</v>
      </c>
      <c r="M4" s="1">
        <v>4.03</v>
      </c>
      <c r="N4" s="1">
        <f>AVERAGE(L3:L252)</f>
        <v>0.6957031856</v>
      </c>
      <c r="O4" s="1">
        <f>AVERAGE(L24:L252)</f>
        <v>0.9295469507</v>
      </c>
    </row>
    <row r="5" ht="15.75" customHeight="1">
      <c r="A5" s="7">
        <v>43895.0</v>
      </c>
      <c r="B5" s="1">
        <v>144.753998</v>
      </c>
      <c r="C5" s="1">
        <v>149.149994</v>
      </c>
      <c r="D5" s="1">
        <v>143.613998</v>
      </c>
      <c r="E5" s="1">
        <v>144.908005</v>
      </c>
      <c r="F5" s="1">
        <v>144.908005</v>
      </c>
      <c r="G5" s="1">
        <v>5.42635E7</v>
      </c>
      <c r="I5" s="1">
        <f t="shared" si="1"/>
        <v>-0.03330212942</v>
      </c>
      <c r="J5" s="1">
        <v>0.006</v>
      </c>
      <c r="K5" s="1">
        <f t="shared" si="2"/>
        <v>-0.03930212942</v>
      </c>
      <c r="L5" s="1">
        <f t="shared" si="3"/>
        <v>-3.930212942</v>
      </c>
      <c r="M5" s="1">
        <v>-3.38</v>
      </c>
    </row>
    <row r="6" ht="15.75" customHeight="1">
      <c r="A6" s="7">
        <v>43896.0</v>
      </c>
      <c r="B6" s="1">
        <v>138.0</v>
      </c>
      <c r="C6" s="1">
        <v>141.399994</v>
      </c>
      <c r="D6" s="1">
        <v>136.854004</v>
      </c>
      <c r="E6" s="1">
        <v>140.695999</v>
      </c>
      <c r="F6" s="1">
        <v>140.695999</v>
      </c>
      <c r="G6" s="1">
        <v>6.33145E7</v>
      </c>
      <c r="I6" s="1">
        <f t="shared" si="1"/>
        <v>-0.0290667586</v>
      </c>
      <c r="J6" s="1">
        <v>0.006</v>
      </c>
      <c r="K6" s="1">
        <f t="shared" si="2"/>
        <v>-0.0350667586</v>
      </c>
      <c r="L6" s="1">
        <f t="shared" si="3"/>
        <v>-3.50667586</v>
      </c>
      <c r="M6" s="1">
        <v>-1.78</v>
      </c>
    </row>
    <row r="7" ht="15.75" customHeight="1">
      <c r="A7" s="7">
        <v>43899.0</v>
      </c>
      <c r="B7" s="1">
        <v>121.078003</v>
      </c>
      <c r="C7" s="1">
        <v>132.600006</v>
      </c>
      <c r="D7" s="1">
        <v>121.0</v>
      </c>
      <c r="E7" s="1">
        <v>121.599998</v>
      </c>
      <c r="F7" s="1">
        <v>121.599998</v>
      </c>
      <c r="G7" s="1">
        <v>8.53685E7</v>
      </c>
      <c r="I7" s="1">
        <f t="shared" si="1"/>
        <v>-0.1357252597</v>
      </c>
      <c r="J7" s="1">
        <v>0.006</v>
      </c>
      <c r="K7" s="1">
        <f t="shared" si="2"/>
        <v>-0.1417252597</v>
      </c>
      <c r="L7" s="1">
        <f t="shared" si="3"/>
        <v>-14.17252597</v>
      </c>
      <c r="M7" s="1">
        <v>-7.79</v>
      </c>
    </row>
    <row r="8" ht="15.75" customHeight="1">
      <c r="A8" s="7">
        <v>43900.0</v>
      </c>
      <c r="B8" s="1">
        <v>131.886002</v>
      </c>
      <c r="C8" s="1">
        <v>133.600006</v>
      </c>
      <c r="D8" s="1">
        <v>121.599998</v>
      </c>
      <c r="E8" s="1">
        <v>129.065994</v>
      </c>
      <c r="F8" s="1">
        <v>129.065994</v>
      </c>
      <c r="G8" s="1">
        <v>7.7972E7</v>
      </c>
      <c r="I8" s="1">
        <f t="shared" si="1"/>
        <v>0.06139799443</v>
      </c>
      <c r="J8" s="1">
        <v>0.006</v>
      </c>
      <c r="K8" s="1">
        <f t="shared" si="2"/>
        <v>0.05539799443</v>
      </c>
      <c r="L8" s="1">
        <f t="shared" si="3"/>
        <v>5.539799443</v>
      </c>
      <c r="M8" s="1">
        <v>4.74</v>
      </c>
    </row>
    <row r="9" ht="15.75" customHeight="1">
      <c r="A9" s="7">
        <v>43901.0</v>
      </c>
      <c r="B9" s="1">
        <v>128.039993</v>
      </c>
      <c r="C9" s="1">
        <v>130.716003</v>
      </c>
      <c r="D9" s="1">
        <v>122.599998</v>
      </c>
      <c r="E9" s="1">
        <v>126.846001</v>
      </c>
      <c r="F9" s="1">
        <v>126.846001</v>
      </c>
      <c r="G9" s="1">
        <v>6.66125E7</v>
      </c>
      <c r="I9" s="1">
        <f t="shared" si="1"/>
        <v>-0.01720044863</v>
      </c>
      <c r="J9" s="1">
        <v>0.006</v>
      </c>
      <c r="K9" s="1">
        <f t="shared" si="2"/>
        <v>-0.02320044863</v>
      </c>
      <c r="L9" s="1">
        <f t="shared" si="3"/>
        <v>-2.320044863</v>
      </c>
      <c r="M9" s="1">
        <v>-5.05</v>
      </c>
    </row>
    <row r="10" ht="15.75" customHeight="1">
      <c r="A10" s="7">
        <v>43902.0</v>
      </c>
      <c r="B10" s="1">
        <v>116.178001</v>
      </c>
      <c r="C10" s="1">
        <v>118.900002</v>
      </c>
      <c r="D10" s="1">
        <v>109.25</v>
      </c>
      <c r="E10" s="1">
        <v>112.110001</v>
      </c>
      <c r="F10" s="1">
        <v>112.110001</v>
      </c>
      <c r="G10" s="1">
        <v>9.45455E7</v>
      </c>
      <c r="I10" s="1">
        <f t="shared" si="1"/>
        <v>-0.1161723656</v>
      </c>
      <c r="J10" s="1">
        <v>0.006</v>
      </c>
      <c r="K10" s="1">
        <f t="shared" si="2"/>
        <v>-0.1221723656</v>
      </c>
      <c r="L10" s="1">
        <f t="shared" si="3"/>
        <v>-12.21723656</v>
      </c>
      <c r="M10" s="1">
        <v>-9.63</v>
      </c>
    </row>
    <row r="11" ht="15.75" customHeight="1">
      <c r="A11" s="7">
        <v>43903.0</v>
      </c>
      <c r="B11" s="1">
        <v>119.0</v>
      </c>
      <c r="C11" s="1">
        <v>121.514</v>
      </c>
      <c r="D11" s="1">
        <v>100.400002</v>
      </c>
      <c r="E11" s="1">
        <v>109.323997</v>
      </c>
      <c r="F11" s="1">
        <v>109.323997</v>
      </c>
      <c r="G11" s="1">
        <v>1.132015E8</v>
      </c>
      <c r="I11" s="1">
        <f t="shared" si="1"/>
        <v>-0.02485062863</v>
      </c>
      <c r="J11" s="1">
        <v>0.006</v>
      </c>
      <c r="K11" s="1">
        <f t="shared" si="2"/>
        <v>-0.03085062863</v>
      </c>
      <c r="L11" s="1">
        <f t="shared" si="3"/>
        <v>-3.085062863</v>
      </c>
      <c r="M11" s="1">
        <v>8.96</v>
      </c>
    </row>
    <row r="12" ht="15.75" customHeight="1">
      <c r="A12" s="7">
        <v>43906.0</v>
      </c>
      <c r="B12" s="1">
        <v>93.900002</v>
      </c>
      <c r="C12" s="1">
        <v>98.973999</v>
      </c>
      <c r="D12" s="1">
        <v>88.433998</v>
      </c>
      <c r="E12" s="1">
        <v>89.014</v>
      </c>
      <c r="F12" s="1">
        <v>89.014</v>
      </c>
      <c r="G12" s="1">
        <v>1.024475E8</v>
      </c>
      <c r="I12" s="1">
        <f t="shared" si="1"/>
        <v>-0.1857780319</v>
      </c>
      <c r="J12" s="1">
        <v>0.006</v>
      </c>
      <c r="K12" s="1">
        <f t="shared" si="2"/>
        <v>-0.1917780319</v>
      </c>
      <c r="L12" s="1">
        <f t="shared" si="3"/>
        <v>-19.17780319</v>
      </c>
      <c r="M12" s="1">
        <v>-12.0</v>
      </c>
    </row>
    <row r="13" ht="15.75" customHeight="1">
      <c r="A13" s="7">
        <v>43907.0</v>
      </c>
      <c r="B13" s="1">
        <v>88.001999</v>
      </c>
      <c r="C13" s="1">
        <v>94.370003</v>
      </c>
      <c r="D13" s="1">
        <v>79.199997</v>
      </c>
      <c r="E13" s="1">
        <v>86.040001</v>
      </c>
      <c r="F13" s="1">
        <v>86.040001</v>
      </c>
      <c r="G13" s="1">
        <v>1.19973E8</v>
      </c>
      <c r="I13" s="1">
        <f t="shared" si="1"/>
        <v>-0.03341046352</v>
      </c>
      <c r="J13" s="1">
        <v>0.006</v>
      </c>
      <c r="K13" s="1">
        <f t="shared" si="2"/>
        <v>-0.03941046352</v>
      </c>
      <c r="L13" s="1">
        <f t="shared" si="3"/>
        <v>-3.941046352</v>
      </c>
      <c r="M13" s="1">
        <v>5.87</v>
      </c>
    </row>
    <row r="14" ht="15.75" customHeight="1">
      <c r="A14" s="7">
        <v>43908.0</v>
      </c>
      <c r="B14" s="1">
        <v>77.800003</v>
      </c>
      <c r="C14" s="1">
        <v>80.972</v>
      </c>
      <c r="D14" s="1">
        <v>70.101997</v>
      </c>
      <c r="E14" s="1">
        <v>72.244003</v>
      </c>
      <c r="F14" s="1">
        <v>72.244003</v>
      </c>
      <c r="G14" s="1">
        <v>1.18931E8</v>
      </c>
      <c r="I14" s="1">
        <f t="shared" si="1"/>
        <v>-0.1603440009</v>
      </c>
      <c r="J14" s="1">
        <v>0.006</v>
      </c>
      <c r="K14" s="1">
        <f t="shared" si="2"/>
        <v>-0.1663440009</v>
      </c>
      <c r="L14" s="1">
        <f t="shared" si="3"/>
        <v>-16.63440009</v>
      </c>
      <c r="M14" s="1">
        <v>-5.56</v>
      </c>
    </row>
    <row r="15" ht="15.75" customHeight="1">
      <c r="A15" s="7">
        <v>43909.0</v>
      </c>
      <c r="B15" s="1">
        <v>74.940002</v>
      </c>
      <c r="C15" s="1">
        <v>90.400002</v>
      </c>
      <c r="D15" s="1">
        <v>71.692001</v>
      </c>
      <c r="E15" s="1">
        <v>85.528</v>
      </c>
      <c r="F15" s="1">
        <v>85.528</v>
      </c>
      <c r="G15" s="1">
        <v>1.509775E8</v>
      </c>
      <c r="I15" s="1">
        <f t="shared" si="1"/>
        <v>0.1838768126</v>
      </c>
      <c r="J15" s="1">
        <v>0.006</v>
      </c>
      <c r="K15" s="1">
        <f t="shared" si="2"/>
        <v>0.1778768126</v>
      </c>
      <c r="L15" s="1">
        <f t="shared" si="3"/>
        <v>17.78768126</v>
      </c>
      <c r="M15" s="1">
        <v>1.31</v>
      </c>
    </row>
    <row r="16" ht="15.75" customHeight="1">
      <c r="A16" s="7">
        <v>43910.0</v>
      </c>
      <c r="B16" s="1">
        <v>87.639999</v>
      </c>
      <c r="C16" s="1">
        <v>95.400002</v>
      </c>
      <c r="D16" s="1">
        <v>85.157997</v>
      </c>
      <c r="E16" s="1">
        <v>85.505997</v>
      </c>
      <c r="F16" s="1">
        <v>85.505997</v>
      </c>
      <c r="G16" s="1">
        <v>1.414275E8</v>
      </c>
      <c r="I16" s="1">
        <f t="shared" si="1"/>
        <v>-0.0002572607801</v>
      </c>
      <c r="J16" s="1">
        <v>0.006</v>
      </c>
      <c r="K16" s="1">
        <f t="shared" si="2"/>
        <v>-0.00625726078</v>
      </c>
      <c r="L16" s="1">
        <f t="shared" si="3"/>
        <v>-0.625726078</v>
      </c>
      <c r="M16" s="1">
        <v>-4.15</v>
      </c>
    </row>
    <row r="17" ht="15.75" customHeight="1">
      <c r="A17" s="7">
        <v>43913.0</v>
      </c>
      <c r="B17" s="1">
        <v>86.720001</v>
      </c>
      <c r="C17" s="1">
        <v>88.400002</v>
      </c>
      <c r="D17" s="1">
        <v>82.099998</v>
      </c>
      <c r="E17" s="1">
        <v>86.858002</v>
      </c>
      <c r="F17" s="1">
        <v>86.858002</v>
      </c>
      <c r="G17" s="1">
        <v>8.22725E7</v>
      </c>
      <c r="I17" s="1">
        <f t="shared" si="1"/>
        <v>0.01581181493</v>
      </c>
      <c r="J17" s="1">
        <v>0.006</v>
      </c>
      <c r="K17" s="1">
        <f t="shared" si="2"/>
        <v>0.00981181493</v>
      </c>
      <c r="L17" s="1">
        <f t="shared" si="3"/>
        <v>0.981181493</v>
      </c>
      <c r="M17" s="1">
        <v>-2.55</v>
      </c>
    </row>
    <row r="18" ht="15.75" customHeight="1">
      <c r="A18" s="7">
        <v>43914.0</v>
      </c>
      <c r="B18" s="1">
        <v>95.459999</v>
      </c>
      <c r="C18" s="1">
        <v>102.737999</v>
      </c>
      <c r="D18" s="1">
        <v>94.800003</v>
      </c>
      <c r="E18" s="1">
        <v>101.0</v>
      </c>
      <c r="F18" s="1">
        <v>101.0</v>
      </c>
      <c r="G18" s="1">
        <v>1.14476E8</v>
      </c>
      <c r="I18" s="1">
        <f t="shared" si="1"/>
        <v>0.1628174454</v>
      </c>
      <c r="J18" s="1">
        <v>0.006</v>
      </c>
      <c r="K18" s="1">
        <f t="shared" si="2"/>
        <v>0.1568174454</v>
      </c>
      <c r="L18" s="1">
        <f t="shared" si="3"/>
        <v>15.68174454</v>
      </c>
      <c r="M18" s="1">
        <v>9.34</v>
      </c>
    </row>
    <row r="19" ht="15.75" customHeight="1">
      <c r="A19" s="7">
        <v>43915.0</v>
      </c>
      <c r="B19" s="1">
        <v>109.050003</v>
      </c>
      <c r="C19" s="1">
        <v>111.400002</v>
      </c>
      <c r="D19" s="1">
        <v>102.222</v>
      </c>
      <c r="E19" s="1">
        <v>107.849998</v>
      </c>
      <c r="F19" s="1">
        <v>107.849998</v>
      </c>
      <c r="G19" s="1">
        <v>1.061135E8</v>
      </c>
      <c r="I19" s="1">
        <f t="shared" si="1"/>
        <v>0.06782176238</v>
      </c>
      <c r="J19" s="1">
        <v>0.006</v>
      </c>
      <c r="K19" s="1">
        <f t="shared" si="2"/>
        <v>0.06182176238</v>
      </c>
      <c r="L19" s="1">
        <f t="shared" si="3"/>
        <v>6.182176238</v>
      </c>
      <c r="M19" s="1">
        <v>1.18</v>
      </c>
    </row>
    <row r="20" ht="15.75" customHeight="1">
      <c r="A20" s="7">
        <v>43916.0</v>
      </c>
      <c r="B20" s="1">
        <v>109.477997</v>
      </c>
      <c r="C20" s="1">
        <v>112.0</v>
      </c>
      <c r="D20" s="1">
        <v>102.449997</v>
      </c>
      <c r="E20" s="1">
        <v>105.632004</v>
      </c>
      <c r="F20" s="1">
        <v>105.632004</v>
      </c>
      <c r="G20" s="1">
        <v>8.69035E7</v>
      </c>
      <c r="I20" s="1">
        <f t="shared" si="1"/>
        <v>-0.02056554512</v>
      </c>
      <c r="J20" s="1">
        <v>0.006</v>
      </c>
      <c r="K20" s="1">
        <f t="shared" si="2"/>
        <v>-0.02656554512</v>
      </c>
      <c r="L20" s="1">
        <f t="shared" si="3"/>
        <v>-2.656554512</v>
      </c>
      <c r="M20" s="1">
        <v>6.02</v>
      </c>
    </row>
    <row r="21" ht="15.75" customHeight="1">
      <c r="A21" s="7">
        <v>43917.0</v>
      </c>
      <c r="B21" s="1">
        <v>101.0</v>
      </c>
      <c r="C21" s="1">
        <v>105.160004</v>
      </c>
      <c r="D21" s="1">
        <v>98.806</v>
      </c>
      <c r="E21" s="1">
        <v>102.872002</v>
      </c>
      <c r="F21" s="1">
        <v>102.872002</v>
      </c>
      <c r="G21" s="1">
        <v>7.1887E7</v>
      </c>
      <c r="I21" s="1">
        <f t="shared" si="1"/>
        <v>-0.02612846387</v>
      </c>
      <c r="J21" s="1">
        <v>0.006</v>
      </c>
      <c r="K21" s="1">
        <f t="shared" si="2"/>
        <v>-0.03212846387</v>
      </c>
      <c r="L21" s="1">
        <f t="shared" si="3"/>
        <v>-3.212846387</v>
      </c>
      <c r="M21" s="1">
        <v>-3.48</v>
      </c>
    </row>
    <row r="22" ht="15.75" customHeight="1">
      <c r="A22" s="7">
        <v>43920.0</v>
      </c>
      <c r="B22" s="1">
        <v>102.052002</v>
      </c>
      <c r="C22" s="1">
        <v>103.330002</v>
      </c>
      <c r="D22" s="1">
        <v>98.246002</v>
      </c>
      <c r="E22" s="1">
        <v>100.426003</v>
      </c>
      <c r="F22" s="1">
        <v>100.426003</v>
      </c>
      <c r="G22" s="1">
        <v>5.99905E7</v>
      </c>
      <c r="I22" s="1">
        <f t="shared" si="1"/>
        <v>-0.0237771109</v>
      </c>
      <c r="J22" s="1">
        <v>0.006</v>
      </c>
      <c r="K22" s="1">
        <f t="shared" si="2"/>
        <v>-0.0297771109</v>
      </c>
      <c r="L22" s="1">
        <f t="shared" si="3"/>
        <v>-2.97771109</v>
      </c>
      <c r="M22" s="1">
        <v>3.16</v>
      </c>
    </row>
    <row r="23" ht="15.75" customHeight="1">
      <c r="A23" s="7">
        <v>43921.0</v>
      </c>
      <c r="B23" s="1">
        <v>100.25</v>
      </c>
      <c r="C23" s="1">
        <v>108.592003</v>
      </c>
      <c r="D23" s="1">
        <v>99.400002</v>
      </c>
      <c r="E23" s="1">
        <v>104.800003</v>
      </c>
      <c r="F23" s="1">
        <v>104.800003</v>
      </c>
      <c r="G23" s="1">
        <v>8.88575E7</v>
      </c>
      <c r="I23" s="1">
        <f t="shared" si="1"/>
        <v>0.04355445671</v>
      </c>
      <c r="J23" s="1">
        <v>0.006</v>
      </c>
      <c r="K23" s="1">
        <f t="shared" si="2"/>
        <v>0.03755445671</v>
      </c>
      <c r="L23" s="1">
        <f t="shared" si="3"/>
        <v>3.755445671</v>
      </c>
      <c r="M23" s="1">
        <v>-1.44</v>
      </c>
    </row>
    <row r="24" ht="15.75" customHeight="1">
      <c r="A24" s="7">
        <v>43922.0</v>
      </c>
      <c r="B24" s="1">
        <v>100.800003</v>
      </c>
      <c r="C24" s="1">
        <v>102.790001</v>
      </c>
      <c r="D24" s="1">
        <v>95.019997</v>
      </c>
      <c r="E24" s="1">
        <v>96.311996</v>
      </c>
      <c r="F24" s="1">
        <v>96.311996</v>
      </c>
      <c r="G24" s="1">
        <v>6.6766E7</v>
      </c>
      <c r="I24" s="1">
        <f t="shared" si="1"/>
        <v>-0.08099243089</v>
      </c>
      <c r="J24" s="1">
        <v>0.0</v>
      </c>
      <c r="K24" s="1">
        <f t="shared" si="2"/>
        <v>-0.08099243089</v>
      </c>
      <c r="L24" s="1">
        <f t="shared" si="3"/>
        <v>-8.099243089</v>
      </c>
      <c r="M24" s="1">
        <v>-4.51</v>
      </c>
    </row>
    <row r="25" ht="15.75" customHeight="1">
      <c r="A25" s="7">
        <v>43923.0</v>
      </c>
      <c r="B25" s="1">
        <v>96.206001</v>
      </c>
      <c r="C25" s="1">
        <v>98.851997</v>
      </c>
      <c r="D25" s="1">
        <v>89.279999</v>
      </c>
      <c r="E25" s="1">
        <v>90.893997</v>
      </c>
      <c r="F25" s="1">
        <v>90.893997</v>
      </c>
      <c r="G25" s="1">
        <v>9.9292E7</v>
      </c>
      <c r="I25" s="1">
        <f t="shared" si="1"/>
        <v>-0.05625466427</v>
      </c>
      <c r="J25" s="1">
        <v>0.0</v>
      </c>
      <c r="K25" s="1">
        <f t="shared" si="2"/>
        <v>-0.05625466427</v>
      </c>
      <c r="L25" s="1">
        <f t="shared" si="3"/>
        <v>-5.625466427</v>
      </c>
      <c r="M25" s="1">
        <v>2.1</v>
      </c>
    </row>
    <row r="26" ht="15.75" customHeight="1">
      <c r="A26" s="7">
        <v>43924.0</v>
      </c>
      <c r="B26" s="1">
        <v>101.900002</v>
      </c>
      <c r="C26" s="1">
        <v>103.098</v>
      </c>
      <c r="D26" s="1">
        <v>93.678001</v>
      </c>
      <c r="E26" s="1">
        <v>96.001999</v>
      </c>
      <c r="F26" s="1">
        <v>96.001999</v>
      </c>
      <c r="G26" s="1">
        <v>1.128105E8</v>
      </c>
      <c r="I26" s="1">
        <f t="shared" si="1"/>
        <v>0.05619735262</v>
      </c>
      <c r="J26" s="1">
        <v>0.0</v>
      </c>
      <c r="K26" s="1">
        <f t="shared" si="2"/>
        <v>0.05619735262</v>
      </c>
      <c r="L26" s="1">
        <f t="shared" si="3"/>
        <v>5.619735262</v>
      </c>
      <c r="M26" s="1">
        <v>-1.64</v>
      </c>
    </row>
    <row r="27" ht="15.75" customHeight="1">
      <c r="A27" s="7">
        <v>43927.0</v>
      </c>
      <c r="B27" s="1">
        <v>102.239998</v>
      </c>
      <c r="C27" s="1">
        <v>104.199997</v>
      </c>
      <c r="D27" s="1">
        <v>99.592003</v>
      </c>
      <c r="E27" s="1">
        <v>103.248001</v>
      </c>
      <c r="F27" s="1">
        <v>103.248001</v>
      </c>
      <c r="G27" s="1">
        <v>7.4509E7</v>
      </c>
      <c r="I27" s="1">
        <f t="shared" si="1"/>
        <v>0.07547761584</v>
      </c>
      <c r="J27" s="1">
        <v>0.0</v>
      </c>
      <c r="K27" s="1">
        <f t="shared" si="2"/>
        <v>0.07547761584</v>
      </c>
      <c r="L27" s="1">
        <f t="shared" si="3"/>
        <v>7.547761584</v>
      </c>
      <c r="M27" s="1">
        <v>7.06</v>
      </c>
    </row>
    <row r="28" ht="15.75" customHeight="1">
      <c r="A28" s="7">
        <v>43928.0</v>
      </c>
      <c r="B28" s="1">
        <v>109.0</v>
      </c>
      <c r="C28" s="1">
        <v>113.0</v>
      </c>
      <c r="D28" s="1">
        <v>106.468002</v>
      </c>
      <c r="E28" s="1">
        <v>109.089996</v>
      </c>
      <c r="F28" s="1">
        <v>109.089996</v>
      </c>
      <c r="G28" s="1">
        <v>8.9599E7</v>
      </c>
      <c r="I28" s="1">
        <f t="shared" si="1"/>
        <v>0.05658216085</v>
      </c>
      <c r="J28" s="1">
        <v>0.0</v>
      </c>
      <c r="K28" s="1">
        <f t="shared" si="2"/>
        <v>0.05658216085</v>
      </c>
      <c r="L28" s="1">
        <f t="shared" si="3"/>
        <v>5.658216085</v>
      </c>
      <c r="M28" s="1">
        <v>-0.11</v>
      </c>
    </row>
    <row r="29" ht="15.75" customHeight="1">
      <c r="A29" s="7">
        <v>43929.0</v>
      </c>
      <c r="B29" s="1">
        <v>110.839996</v>
      </c>
      <c r="C29" s="1">
        <v>111.442001</v>
      </c>
      <c r="D29" s="1">
        <v>106.666</v>
      </c>
      <c r="E29" s="1">
        <v>109.767998</v>
      </c>
      <c r="F29" s="1">
        <v>109.767998</v>
      </c>
      <c r="G29" s="1">
        <v>6.328E7</v>
      </c>
      <c r="I29" s="1">
        <f t="shared" si="1"/>
        <v>0.006215070353</v>
      </c>
      <c r="J29" s="1">
        <v>0.0</v>
      </c>
      <c r="K29" s="1">
        <f t="shared" si="2"/>
        <v>0.006215070353</v>
      </c>
      <c r="L29" s="1">
        <f t="shared" si="3"/>
        <v>0.6215070353</v>
      </c>
      <c r="M29" s="1">
        <v>3.4</v>
      </c>
    </row>
    <row r="30" ht="15.75" customHeight="1">
      <c r="A30" s="7">
        <v>43930.0</v>
      </c>
      <c r="B30" s="1">
        <v>112.417999</v>
      </c>
      <c r="C30" s="1">
        <v>115.036003</v>
      </c>
      <c r="D30" s="1">
        <v>111.421997</v>
      </c>
      <c r="E30" s="1">
        <v>114.599998</v>
      </c>
      <c r="F30" s="1">
        <v>114.599998</v>
      </c>
      <c r="G30" s="1">
        <v>6.825E7</v>
      </c>
      <c r="I30" s="1">
        <f t="shared" si="1"/>
        <v>0.04402011595</v>
      </c>
      <c r="J30" s="1">
        <v>0.0</v>
      </c>
      <c r="K30" s="1">
        <f t="shared" si="2"/>
        <v>0.04402011595</v>
      </c>
      <c r="L30" s="1">
        <f t="shared" si="3"/>
        <v>4.402011595</v>
      </c>
      <c r="M30" s="1">
        <v>1.59</v>
      </c>
    </row>
    <row r="31" ht="15.75" customHeight="1">
      <c r="A31" s="7">
        <v>43934.0</v>
      </c>
      <c r="B31" s="1">
        <v>118.031998</v>
      </c>
      <c r="C31" s="1">
        <v>130.399994</v>
      </c>
      <c r="D31" s="1">
        <v>116.106003</v>
      </c>
      <c r="E31" s="1">
        <v>130.190002</v>
      </c>
      <c r="F31" s="1">
        <v>130.190002</v>
      </c>
      <c r="G31" s="1">
        <v>1.12377E8</v>
      </c>
      <c r="I31" s="1">
        <f t="shared" si="1"/>
        <v>0.1360384317</v>
      </c>
      <c r="J31" s="1">
        <v>0.0</v>
      </c>
      <c r="K31" s="1">
        <f t="shared" si="2"/>
        <v>0.1360384317</v>
      </c>
      <c r="L31" s="1">
        <f t="shared" si="3"/>
        <v>13.60384317</v>
      </c>
      <c r="M31" s="1">
        <v>-0.92</v>
      </c>
    </row>
    <row r="32" ht="15.75" customHeight="1">
      <c r="A32" s="7">
        <v>43935.0</v>
      </c>
      <c r="B32" s="1">
        <v>139.794006</v>
      </c>
      <c r="C32" s="1">
        <v>148.376007</v>
      </c>
      <c r="D32" s="1">
        <v>138.485992</v>
      </c>
      <c r="E32" s="1">
        <v>141.977997</v>
      </c>
      <c r="F32" s="1">
        <v>141.977997</v>
      </c>
      <c r="G32" s="1">
        <v>1.528825E8</v>
      </c>
      <c r="I32" s="1">
        <f t="shared" si="1"/>
        <v>0.09054454888</v>
      </c>
      <c r="J32" s="1">
        <v>0.0</v>
      </c>
      <c r="K32" s="1">
        <f t="shared" si="2"/>
        <v>0.09054454888</v>
      </c>
      <c r="L32" s="1">
        <f t="shared" si="3"/>
        <v>9.054454888</v>
      </c>
      <c r="M32" s="1">
        <v>3.02</v>
      </c>
    </row>
    <row r="33" ht="15.75" customHeight="1">
      <c r="A33" s="7">
        <v>43936.0</v>
      </c>
      <c r="B33" s="1">
        <v>148.399994</v>
      </c>
      <c r="C33" s="1">
        <v>150.626007</v>
      </c>
      <c r="D33" s="1">
        <v>142.0</v>
      </c>
      <c r="E33" s="1">
        <v>145.966003</v>
      </c>
      <c r="F33" s="1">
        <v>145.966003</v>
      </c>
      <c r="G33" s="1">
        <v>1.17885E8</v>
      </c>
      <c r="I33" s="1">
        <f t="shared" si="1"/>
        <v>0.02808890169</v>
      </c>
      <c r="J33" s="1">
        <v>0.0</v>
      </c>
      <c r="K33" s="1">
        <f t="shared" si="2"/>
        <v>0.02808890169</v>
      </c>
      <c r="L33" s="1">
        <f t="shared" si="3"/>
        <v>2.808890169</v>
      </c>
      <c r="M33" s="1">
        <v>-2.15</v>
      </c>
    </row>
    <row r="34" ht="15.75" customHeight="1">
      <c r="A34" s="7">
        <v>43937.0</v>
      </c>
      <c r="B34" s="1">
        <v>143.388</v>
      </c>
      <c r="C34" s="1">
        <v>151.889999</v>
      </c>
      <c r="D34" s="1">
        <v>141.343994</v>
      </c>
      <c r="E34" s="1">
        <v>149.042007</v>
      </c>
      <c r="F34" s="1">
        <v>149.042007</v>
      </c>
      <c r="G34" s="1">
        <v>1.032895E8</v>
      </c>
      <c r="I34" s="1">
        <f t="shared" si="1"/>
        <v>0.02107342763</v>
      </c>
      <c r="J34" s="1">
        <v>0.0</v>
      </c>
      <c r="K34" s="1">
        <f t="shared" si="2"/>
        <v>0.02107342763</v>
      </c>
      <c r="L34" s="1">
        <f t="shared" si="3"/>
        <v>2.107342763</v>
      </c>
      <c r="M34" s="1">
        <v>0.62</v>
      </c>
    </row>
    <row r="35" ht="15.75" customHeight="1">
      <c r="A35" s="7">
        <v>43938.0</v>
      </c>
      <c r="B35" s="1">
        <v>154.455994</v>
      </c>
      <c r="C35" s="1">
        <v>154.990005</v>
      </c>
      <c r="D35" s="1">
        <v>149.531998</v>
      </c>
      <c r="E35" s="1">
        <v>150.778</v>
      </c>
      <c r="F35" s="1">
        <v>150.778</v>
      </c>
      <c r="G35" s="1">
        <v>6.5641E7</v>
      </c>
      <c r="I35" s="1">
        <f t="shared" si="1"/>
        <v>0.01164767595</v>
      </c>
      <c r="J35" s="1">
        <v>0.0</v>
      </c>
      <c r="K35" s="1">
        <f t="shared" si="2"/>
        <v>0.01164767595</v>
      </c>
      <c r="L35" s="1">
        <f t="shared" si="3"/>
        <v>1.164767595</v>
      </c>
      <c r="M35" s="1">
        <v>2.72</v>
      </c>
    </row>
    <row r="36" ht="15.75" customHeight="1">
      <c r="A36" s="7">
        <v>43941.0</v>
      </c>
      <c r="B36" s="1">
        <v>146.539993</v>
      </c>
      <c r="C36" s="1">
        <v>153.113998</v>
      </c>
      <c r="D36" s="1">
        <v>142.442001</v>
      </c>
      <c r="E36" s="1">
        <v>149.272003</v>
      </c>
      <c r="F36" s="1">
        <v>149.272003</v>
      </c>
      <c r="G36" s="1">
        <v>7.3733E7</v>
      </c>
      <c r="I36" s="1">
        <f t="shared" si="1"/>
        <v>-0.009988174667</v>
      </c>
      <c r="J36" s="1">
        <v>0.0</v>
      </c>
      <c r="K36" s="1">
        <f t="shared" si="2"/>
        <v>-0.009988174667</v>
      </c>
      <c r="L36" s="1">
        <f t="shared" si="3"/>
        <v>-0.9988174667</v>
      </c>
      <c r="M36" s="1">
        <v>-1.56</v>
      </c>
    </row>
    <row r="37" ht="15.75" customHeight="1">
      <c r="A37" s="7">
        <v>43942.0</v>
      </c>
      <c r="B37" s="1">
        <v>146.024002</v>
      </c>
      <c r="C37" s="1">
        <v>150.666</v>
      </c>
      <c r="D37" s="1">
        <v>134.757996</v>
      </c>
      <c r="E37" s="1">
        <v>137.343994</v>
      </c>
      <c r="F37" s="1">
        <v>137.343994</v>
      </c>
      <c r="G37" s="1">
        <v>1.010455E8</v>
      </c>
      <c r="I37" s="1">
        <f t="shared" si="1"/>
        <v>-0.07990787797</v>
      </c>
      <c r="J37" s="1">
        <v>0.0</v>
      </c>
      <c r="K37" s="1">
        <f t="shared" si="2"/>
        <v>-0.07990787797</v>
      </c>
      <c r="L37" s="1">
        <f t="shared" si="3"/>
        <v>-7.990787797</v>
      </c>
      <c r="M37" s="1">
        <v>-3.08</v>
      </c>
    </row>
    <row r="38" ht="15.75" customHeight="1">
      <c r="A38" s="7">
        <v>43943.0</v>
      </c>
      <c r="B38" s="1">
        <v>140.796005</v>
      </c>
      <c r="C38" s="1">
        <v>146.800003</v>
      </c>
      <c r="D38" s="1">
        <v>137.742004</v>
      </c>
      <c r="E38" s="1">
        <v>146.421997</v>
      </c>
      <c r="F38" s="1">
        <v>146.421997</v>
      </c>
      <c r="G38" s="1">
        <v>7.08275E7</v>
      </c>
      <c r="I38" s="1">
        <f t="shared" si="1"/>
        <v>0.06609683275</v>
      </c>
      <c r="J38" s="1">
        <v>0.0</v>
      </c>
      <c r="K38" s="1">
        <f t="shared" si="2"/>
        <v>0.06609683275</v>
      </c>
      <c r="L38" s="1">
        <f t="shared" si="3"/>
        <v>6.609683275</v>
      </c>
      <c r="M38" s="1">
        <v>2.31</v>
      </c>
    </row>
    <row r="39" ht="15.75" customHeight="1">
      <c r="A39" s="7">
        <v>43944.0</v>
      </c>
      <c r="B39" s="1">
        <v>145.520004</v>
      </c>
      <c r="C39" s="1">
        <v>146.800003</v>
      </c>
      <c r="D39" s="1">
        <v>140.626007</v>
      </c>
      <c r="E39" s="1">
        <v>141.126007</v>
      </c>
      <c r="F39" s="1">
        <v>141.126007</v>
      </c>
      <c r="G39" s="1">
        <v>6.61835E7</v>
      </c>
      <c r="I39" s="1">
        <f t="shared" si="1"/>
        <v>-0.03616936054</v>
      </c>
      <c r="J39" s="1">
        <v>0.0</v>
      </c>
      <c r="K39" s="1">
        <f t="shared" si="2"/>
        <v>-0.03616936054</v>
      </c>
      <c r="L39" s="1">
        <f t="shared" si="3"/>
        <v>-3.616936054</v>
      </c>
      <c r="M39" s="1">
        <v>0.13</v>
      </c>
    </row>
    <row r="40" ht="15.75" customHeight="1">
      <c r="A40" s="7">
        <v>43945.0</v>
      </c>
      <c r="B40" s="1">
        <v>142.162003</v>
      </c>
      <c r="C40" s="1">
        <v>146.145996</v>
      </c>
      <c r="D40" s="1">
        <v>139.636002</v>
      </c>
      <c r="E40" s="1">
        <v>145.029999</v>
      </c>
      <c r="F40" s="1">
        <v>145.029999</v>
      </c>
      <c r="G40" s="1">
        <v>6.606E7</v>
      </c>
      <c r="I40" s="1">
        <f t="shared" si="1"/>
        <v>0.02766316488</v>
      </c>
      <c r="J40" s="1">
        <v>0.0</v>
      </c>
      <c r="K40" s="1">
        <f t="shared" si="2"/>
        <v>0.02766316488</v>
      </c>
      <c r="L40" s="1">
        <f t="shared" si="3"/>
        <v>2.766316488</v>
      </c>
      <c r="M40" s="1">
        <v>1.44</v>
      </c>
    </row>
    <row r="41" ht="15.75" customHeight="1">
      <c r="A41" s="7">
        <v>43948.0</v>
      </c>
      <c r="B41" s="1">
        <v>147.522003</v>
      </c>
      <c r="C41" s="1">
        <v>159.897995</v>
      </c>
      <c r="D41" s="1">
        <v>147.0</v>
      </c>
      <c r="E41" s="1">
        <v>159.75</v>
      </c>
      <c r="F41" s="1">
        <v>159.75</v>
      </c>
      <c r="G41" s="1">
        <v>1.03407E8</v>
      </c>
      <c r="I41" s="1">
        <f t="shared" si="1"/>
        <v>0.1014962498</v>
      </c>
      <c r="J41" s="1">
        <v>0.0</v>
      </c>
      <c r="K41" s="1">
        <f t="shared" si="2"/>
        <v>0.1014962498</v>
      </c>
      <c r="L41" s="1">
        <f t="shared" si="3"/>
        <v>10.14962498</v>
      </c>
      <c r="M41" s="1">
        <v>1.73</v>
      </c>
    </row>
    <row r="42" ht="15.75" customHeight="1">
      <c r="A42" s="7">
        <v>43949.0</v>
      </c>
      <c r="B42" s="1">
        <v>159.128006</v>
      </c>
      <c r="C42" s="1">
        <v>161.0</v>
      </c>
      <c r="D42" s="1">
        <v>151.337997</v>
      </c>
      <c r="E42" s="1">
        <v>153.824005</v>
      </c>
      <c r="F42" s="1">
        <v>153.824005</v>
      </c>
      <c r="G42" s="1">
        <v>7.611E7</v>
      </c>
      <c r="I42" s="1">
        <f t="shared" si="1"/>
        <v>-0.03709543036</v>
      </c>
      <c r="J42" s="1">
        <v>0.0</v>
      </c>
      <c r="K42" s="1">
        <f t="shared" si="2"/>
        <v>-0.03709543036</v>
      </c>
      <c r="L42" s="1">
        <f t="shared" si="3"/>
        <v>-3.709543036</v>
      </c>
      <c r="M42" s="1">
        <v>-0.45</v>
      </c>
    </row>
    <row r="43" ht="15.75" customHeight="1">
      <c r="A43" s="7">
        <v>43950.0</v>
      </c>
      <c r="B43" s="1">
        <v>158.033997</v>
      </c>
      <c r="C43" s="1">
        <v>160.639999</v>
      </c>
      <c r="D43" s="1">
        <v>156.632004</v>
      </c>
      <c r="E43" s="1">
        <v>160.102005</v>
      </c>
      <c r="F43" s="1">
        <v>160.102005</v>
      </c>
      <c r="G43" s="1">
        <v>8.108E7</v>
      </c>
      <c r="I43" s="1">
        <f t="shared" si="1"/>
        <v>0.04081287573</v>
      </c>
      <c r="J43" s="1">
        <v>0.0</v>
      </c>
      <c r="K43" s="1">
        <f t="shared" si="2"/>
        <v>0.04081287573</v>
      </c>
      <c r="L43" s="1">
        <f t="shared" si="3"/>
        <v>4.081287573</v>
      </c>
      <c r="M43" s="1">
        <v>2.92</v>
      </c>
    </row>
    <row r="44" ht="15.75" customHeight="1">
      <c r="A44" s="7">
        <v>43951.0</v>
      </c>
      <c r="B44" s="1">
        <v>171.037994</v>
      </c>
      <c r="C44" s="1">
        <v>173.964005</v>
      </c>
      <c r="D44" s="1">
        <v>152.699997</v>
      </c>
      <c r="E44" s="1">
        <v>156.376007</v>
      </c>
      <c r="F44" s="1">
        <v>156.376007</v>
      </c>
      <c r="G44" s="1">
        <v>1.423595E8</v>
      </c>
      <c r="I44" s="1">
        <f t="shared" si="1"/>
        <v>-0.02327265046</v>
      </c>
      <c r="J44" s="1">
        <v>0.0</v>
      </c>
      <c r="K44" s="1">
        <f t="shared" si="2"/>
        <v>-0.02327265046</v>
      </c>
      <c r="L44" s="1">
        <f t="shared" si="3"/>
        <v>-2.327265046</v>
      </c>
      <c r="M44" s="1">
        <v>-1.18</v>
      </c>
    </row>
    <row r="45" ht="15.75" customHeight="1">
      <c r="A45" s="7">
        <v>43952.0</v>
      </c>
      <c r="B45" s="1">
        <v>151.0</v>
      </c>
      <c r="C45" s="1">
        <v>154.554001</v>
      </c>
      <c r="D45" s="1">
        <v>136.608002</v>
      </c>
      <c r="E45" s="1">
        <v>140.264008</v>
      </c>
      <c r="F45" s="1">
        <v>140.264008</v>
      </c>
      <c r="G45" s="1">
        <v>1.62659E8</v>
      </c>
      <c r="I45" s="1">
        <f t="shared" si="1"/>
        <v>-0.1030337026</v>
      </c>
      <c r="J45" s="1">
        <v>0.0</v>
      </c>
      <c r="K45" s="1">
        <f t="shared" si="2"/>
        <v>-0.1030337026</v>
      </c>
      <c r="L45" s="1">
        <f t="shared" si="3"/>
        <v>-10.30337026</v>
      </c>
      <c r="M45" s="1">
        <v>-2.91</v>
      </c>
    </row>
    <row r="46" ht="15.75" customHeight="1">
      <c r="A46" s="7">
        <v>43955.0</v>
      </c>
      <c r="B46" s="1">
        <v>140.199997</v>
      </c>
      <c r="C46" s="1">
        <v>152.399994</v>
      </c>
      <c r="D46" s="1">
        <v>139.600006</v>
      </c>
      <c r="E46" s="1">
        <v>152.238007</v>
      </c>
      <c r="F46" s="1">
        <v>152.238007</v>
      </c>
      <c r="G46" s="1">
        <v>9.61855E7</v>
      </c>
      <c r="I46" s="1">
        <f t="shared" si="1"/>
        <v>0.08536758054</v>
      </c>
      <c r="J46" s="1">
        <v>0.0</v>
      </c>
      <c r="K46" s="1">
        <f t="shared" si="2"/>
        <v>0.08536758054</v>
      </c>
      <c r="L46" s="1">
        <f t="shared" si="3"/>
        <v>8.536758054</v>
      </c>
      <c r="M46" s="1">
        <v>0.53</v>
      </c>
    </row>
    <row r="47" ht="15.75" customHeight="1">
      <c r="A47" s="7">
        <v>43956.0</v>
      </c>
      <c r="B47" s="1">
        <v>157.957993</v>
      </c>
      <c r="C47" s="1">
        <v>159.783997</v>
      </c>
      <c r="D47" s="1">
        <v>152.436005</v>
      </c>
      <c r="E47" s="1">
        <v>153.641998</v>
      </c>
      <c r="F47" s="1">
        <v>153.641998</v>
      </c>
      <c r="G47" s="1">
        <v>8.49585E7</v>
      </c>
      <c r="I47" s="1">
        <f t="shared" si="1"/>
        <v>0.009222342224</v>
      </c>
      <c r="J47" s="1">
        <v>0.0</v>
      </c>
      <c r="K47" s="1">
        <f t="shared" si="2"/>
        <v>0.009222342224</v>
      </c>
      <c r="L47" s="1">
        <f t="shared" si="3"/>
        <v>0.9222342224</v>
      </c>
      <c r="M47" s="1">
        <v>0.95</v>
      </c>
    </row>
    <row r="48" ht="15.75" customHeight="1">
      <c r="A48" s="7">
        <v>43957.0</v>
      </c>
      <c r="B48" s="1">
        <v>155.300003</v>
      </c>
      <c r="C48" s="1">
        <v>157.960007</v>
      </c>
      <c r="D48" s="1">
        <v>152.222</v>
      </c>
      <c r="E48" s="1">
        <v>156.516006</v>
      </c>
      <c r="F48" s="1">
        <v>156.516006</v>
      </c>
      <c r="G48" s="1">
        <v>5.5616E7</v>
      </c>
      <c r="I48" s="1">
        <f t="shared" si="1"/>
        <v>0.01870587494</v>
      </c>
      <c r="J48" s="1">
        <v>0.0</v>
      </c>
      <c r="K48" s="1">
        <f t="shared" si="2"/>
        <v>0.01870587494</v>
      </c>
      <c r="L48" s="1">
        <f t="shared" si="3"/>
        <v>1.870587494</v>
      </c>
      <c r="M48" s="1">
        <v>-0.52</v>
      </c>
    </row>
    <row r="49" ht="15.75" customHeight="1">
      <c r="A49" s="7">
        <v>43958.0</v>
      </c>
      <c r="B49" s="1">
        <v>155.442001</v>
      </c>
      <c r="C49" s="1">
        <v>159.279999</v>
      </c>
      <c r="D49" s="1">
        <v>154.470001</v>
      </c>
      <c r="E49" s="1">
        <v>156.007996</v>
      </c>
      <c r="F49" s="1">
        <v>156.007996</v>
      </c>
      <c r="G49" s="1">
        <v>5.76385E7</v>
      </c>
      <c r="I49" s="1">
        <f t="shared" si="1"/>
        <v>-0.00324573833</v>
      </c>
      <c r="J49" s="1">
        <v>0.0</v>
      </c>
      <c r="K49" s="1">
        <f t="shared" si="2"/>
        <v>-0.00324573833</v>
      </c>
      <c r="L49" s="1">
        <f t="shared" si="3"/>
        <v>-0.324573833</v>
      </c>
      <c r="M49" s="1">
        <v>1.33</v>
      </c>
    </row>
    <row r="50" ht="15.75" customHeight="1">
      <c r="A50" s="7">
        <v>43959.0</v>
      </c>
      <c r="B50" s="1">
        <v>158.753998</v>
      </c>
      <c r="C50" s="1">
        <v>164.800003</v>
      </c>
      <c r="D50" s="1">
        <v>157.401993</v>
      </c>
      <c r="E50" s="1">
        <v>163.884003</v>
      </c>
      <c r="F50" s="1">
        <v>163.884003</v>
      </c>
      <c r="G50" s="1">
        <v>8.04325E7</v>
      </c>
      <c r="I50" s="1">
        <f t="shared" si="1"/>
        <v>0.0504846367</v>
      </c>
      <c r="J50" s="1">
        <v>0.0</v>
      </c>
      <c r="K50" s="1">
        <f t="shared" si="2"/>
        <v>0.0504846367</v>
      </c>
      <c r="L50" s="1">
        <f t="shared" si="3"/>
        <v>5.04846367</v>
      </c>
      <c r="M50" s="1">
        <v>1.9</v>
      </c>
    </row>
    <row r="51" ht="15.75" customHeight="1">
      <c r="A51" s="7">
        <v>43962.0</v>
      </c>
      <c r="B51" s="1">
        <v>158.102005</v>
      </c>
      <c r="C51" s="1">
        <v>164.800003</v>
      </c>
      <c r="D51" s="1">
        <v>157.0</v>
      </c>
      <c r="E51" s="1">
        <v>162.257996</v>
      </c>
      <c r="F51" s="1">
        <v>162.257996</v>
      </c>
      <c r="G51" s="1">
        <v>8.2598E7</v>
      </c>
      <c r="I51" s="1">
        <f t="shared" si="1"/>
        <v>-0.009921694432</v>
      </c>
      <c r="J51" s="1">
        <v>0.0</v>
      </c>
      <c r="K51" s="1">
        <f t="shared" si="2"/>
        <v>-0.009921694432</v>
      </c>
      <c r="L51" s="1">
        <f t="shared" si="3"/>
        <v>-0.9921694432</v>
      </c>
      <c r="M51" s="1">
        <v>0.07</v>
      </c>
    </row>
    <row r="52" ht="15.75" customHeight="1">
      <c r="A52" s="7">
        <v>43963.0</v>
      </c>
      <c r="B52" s="1">
        <v>165.399994</v>
      </c>
      <c r="C52" s="1">
        <v>168.658005</v>
      </c>
      <c r="D52" s="1">
        <v>161.600006</v>
      </c>
      <c r="E52" s="1">
        <v>161.882004</v>
      </c>
      <c r="F52" s="1">
        <v>161.882004</v>
      </c>
      <c r="G52" s="1">
        <v>7.95345E7</v>
      </c>
      <c r="I52" s="1">
        <f t="shared" si="1"/>
        <v>-0.002317247897</v>
      </c>
      <c r="J52" s="1">
        <v>0.0</v>
      </c>
      <c r="K52" s="1">
        <f t="shared" si="2"/>
        <v>-0.002317247897</v>
      </c>
      <c r="L52" s="1">
        <f t="shared" si="3"/>
        <v>-0.2317247897</v>
      </c>
      <c r="M52" s="1">
        <v>-2.06</v>
      </c>
    </row>
    <row r="53" ht="15.75" customHeight="1">
      <c r="A53" s="7">
        <v>43964.0</v>
      </c>
      <c r="B53" s="1">
        <v>164.166</v>
      </c>
      <c r="C53" s="1">
        <v>165.199997</v>
      </c>
      <c r="D53" s="1">
        <v>152.660004</v>
      </c>
      <c r="E53" s="1">
        <v>158.192001</v>
      </c>
      <c r="F53" s="1">
        <v>158.192001</v>
      </c>
      <c r="G53" s="1">
        <v>9.53275E7</v>
      </c>
      <c r="I53" s="1">
        <f t="shared" si="1"/>
        <v>-0.02279439906</v>
      </c>
      <c r="J53" s="1">
        <v>0.0</v>
      </c>
      <c r="K53" s="1">
        <f t="shared" si="2"/>
        <v>-0.02279439906</v>
      </c>
      <c r="L53" s="1">
        <f t="shared" si="3"/>
        <v>-2.279439906</v>
      </c>
      <c r="M53" s="1">
        <v>-1.89</v>
      </c>
    </row>
    <row r="54" ht="15.75" customHeight="1">
      <c r="A54" s="7">
        <v>43965.0</v>
      </c>
      <c r="B54" s="1">
        <v>156.0</v>
      </c>
      <c r="C54" s="1">
        <v>160.671997</v>
      </c>
      <c r="D54" s="1">
        <v>152.800003</v>
      </c>
      <c r="E54" s="1">
        <v>160.666</v>
      </c>
      <c r="F54" s="1">
        <v>160.666</v>
      </c>
      <c r="G54" s="1">
        <v>6.8411E7</v>
      </c>
      <c r="I54" s="1">
        <f t="shared" si="1"/>
        <v>0.0156392168</v>
      </c>
      <c r="J54" s="1">
        <v>0.0</v>
      </c>
      <c r="K54" s="1">
        <f t="shared" si="2"/>
        <v>0.0156392168</v>
      </c>
      <c r="L54" s="1">
        <f t="shared" si="3"/>
        <v>1.56392168</v>
      </c>
      <c r="M54" s="1">
        <v>1.14</v>
      </c>
    </row>
    <row r="55" ht="15.75" customHeight="1">
      <c r="A55" s="7">
        <v>43966.0</v>
      </c>
      <c r="B55" s="1">
        <v>158.070007</v>
      </c>
      <c r="C55" s="1">
        <v>161.009995</v>
      </c>
      <c r="D55" s="1">
        <v>157.309998</v>
      </c>
      <c r="E55" s="1">
        <v>159.834</v>
      </c>
      <c r="F55" s="1">
        <v>159.834</v>
      </c>
      <c r="G55" s="1">
        <v>5.2592E7</v>
      </c>
      <c r="I55" s="1">
        <f t="shared" si="1"/>
        <v>-0.005178444724</v>
      </c>
      <c r="J55" s="1">
        <v>0.0</v>
      </c>
      <c r="K55" s="1">
        <f t="shared" si="2"/>
        <v>-0.005178444724</v>
      </c>
      <c r="L55" s="1">
        <f t="shared" si="3"/>
        <v>-0.5178444724</v>
      </c>
      <c r="M55" s="1">
        <v>0.57</v>
      </c>
    </row>
    <row r="56" ht="15.75" customHeight="1">
      <c r="A56" s="7">
        <v>43969.0</v>
      </c>
      <c r="B56" s="1">
        <v>165.556</v>
      </c>
      <c r="C56" s="1">
        <v>166.944</v>
      </c>
      <c r="D56" s="1">
        <v>160.776001</v>
      </c>
      <c r="E56" s="1">
        <v>162.725998</v>
      </c>
      <c r="F56" s="1">
        <v>162.725998</v>
      </c>
      <c r="G56" s="1">
        <v>5.8329E7</v>
      </c>
      <c r="I56" s="1">
        <f t="shared" si="1"/>
        <v>0.01809375978</v>
      </c>
      <c r="J56" s="1">
        <v>0.0</v>
      </c>
      <c r="K56" s="1">
        <f t="shared" si="2"/>
        <v>0.01809375978</v>
      </c>
      <c r="L56" s="1">
        <f t="shared" si="3"/>
        <v>1.809375978</v>
      </c>
      <c r="M56" s="1">
        <v>3.24</v>
      </c>
    </row>
    <row r="57" ht="15.75" customHeight="1">
      <c r="A57" s="7">
        <v>43970.0</v>
      </c>
      <c r="B57" s="1">
        <v>163.033997</v>
      </c>
      <c r="C57" s="1">
        <v>164.414001</v>
      </c>
      <c r="D57" s="1">
        <v>161.216003</v>
      </c>
      <c r="E57" s="1">
        <v>161.602005</v>
      </c>
      <c r="F57" s="1">
        <v>161.602005</v>
      </c>
      <c r="G57" s="1">
        <v>4.81825E7</v>
      </c>
      <c r="I57" s="1">
        <f t="shared" si="1"/>
        <v>-0.006907273661</v>
      </c>
      <c r="J57" s="1">
        <v>0.0</v>
      </c>
      <c r="K57" s="1">
        <f t="shared" si="2"/>
        <v>-0.006907273661</v>
      </c>
      <c r="L57" s="1">
        <f t="shared" si="3"/>
        <v>-0.6907273661</v>
      </c>
      <c r="M57" s="1">
        <v>-1.01</v>
      </c>
    </row>
    <row r="58" ht="15.75" customHeight="1">
      <c r="A58" s="7">
        <v>43971.0</v>
      </c>
      <c r="B58" s="1">
        <v>164.100006</v>
      </c>
      <c r="C58" s="1">
        <v>165.199997</v>
      </c>
      <c r="D58" s="1">
        <v>162.360001</v>
      </c>
      <c r="E58" s="1">
        <v>163.112</v>
      </c>
      <c r="F58" s="1">
        <v>163.112</v>
      </c>
      <c r="G58" s="1">
        <v>3.65465E7</v>
      </c>
      <c r="I58" s="1">
        <f t="shared" si="1"/>
        <v>0.009343912534</v>
      </c>
      <c r="J58" s="1">
        <v>0.0</v>
      </c>
      <c r="K58" s="1">
        <f t="shared" si="2"/>
        <v>0.009343912534</v>
      </c>
      <c r="L58" s="1">
        <f t="shared" si="3"/>
        <v>0.9343912534</v>
      </c>
      <c r="M58" s="1">
        <v>1.8</v>
      </c>
    </row>
    <row r="59" ht="15.75" customHeight="1">
      <c r="A59" s="7">
        <v>43972.0</v>
      </c>
      <c r="B59" s="1">
        <v>163.199997</v>
      </c>
      <c r="C59" s="1">
        <v>166.5</v>
      </c>
      <c r="D59" s="1">
        <v>159.199997</v>
      </c>
      <c r="E59" s="1">
        <v>165.520004</v>
      </c>
      <c r="F59" s="1">
        <v>165.520004</v>
      </c>
      <c r="G59" s="1">
        <v>6.1273E7</v>
      </c>
      <c r="I59" s="1">
        <f t="shared" si="1"/>
        <v>0.01476288685</v>
      </c>
      <c r="J59" s="1">
        <v>0.0</v>
      </c>
      <c r="K59" s="1">
        <f t="shared" si="2"/>
        <v>0.01476288685</v>
      </c>
      <c r="L59" s="1">
        <f t="shared" si="3"/>
        <v>1.476288685</v>
      </c>
      <c r="M59" s="1">
        <v>-0.7</v>
      </c>
    </row>
    <row r="60" ht="15.75" customHeight="1">
      <c r="A60" s="7">
        <v>43973.0</v>
      </c>
      <c r="B60" s="1">
        <v>164.434006</v>
      </c>
      <c r="C60" s="1">
        <v>166.356003</v>
      </c>
      <c r="D60" s="1">
        <v>162.399994</v>
      </c>
      <c r="E60" s="1">
        <v>163.376007</v>
      </c>
      <c r="F60" s="1">
        <v>163.376007</v>
      </c>
      <c r="G60" s="1">
        <v>4.99375E7</v>
      </c>
      <c r="I60" s="1">
        <f t="shared" si="1"/>
        <v>-0.01295309901</v>
      </c>
      <c r="J60" s="1">
        <v>0.0</v>
      </c>
      <c r="K60" s="1">
        <f t="shared" si="2"/>
        <v>-0.01295309901</v>
      </c>
      <c r="L60" s="1">
        <f t="shared" si="3"/>
        <v>-1.295309901</v>
      </c>
      <c r="M60" s="1">
        <v>0.27</v>
      </c>
    </row>
    <row r="61" ht="15.75" customHeight="1">
      <c r="A61" s="7">
        <v>43977.0</v>
      </c>
      <c r="B61" s="1">
        <v>166.899994</v>
      </c>
      <c r="C61" s="1">
        <v>166.919998</v>
      </c>
      <c r="D61" s="1">
        <v>163.141998</v>
      </c>
      <c r="E61" s="1">
        <v>163.774002</v>
      </c>
      <c r="F61" s="1">
        <v>163.774002</v>
      </c>
      <c r="G61" s="1">
        <v>4.04485E7</v>
      </c>
      <c r="I61" s="1">
        <f t="shared" si="1"/>
        <v>0.002436067617</v>
      </c>
      <c r="J61" s="1">
        <v>0.0</v>
      </c>
      <c r="K61" s="1">
        <f t="shared" si="2"/>
        <v>0.002436067617</v>
      </c>
      <c r="L61" s="1">
        <f t="shared" si="3"/>
        <v>0.2436067617</v>
      </c>
      <c r="M61" s="1">
        <v>1.23</v>
      </c>
    </row>
    <row r="62" ht="15.75" customHeight="1">
      <c r="A62" s="7">
        <v>43978.0</v>
      </c>
      <c r="B62" s="1">
        <v>164.171997</v>
      </c>
      <c r="C62" s="1">
        <v>165.542007</v>
      </c>
      <c r="D62" s="1">
        <v>157.0</v>
      </c>
      <c r="E62" s="1">
        <v>164.046005</v>
      </c>
      <c r="F62" s="1">
        <v>164.046005</v>
      </c>
      <c r="G62" s="1">
        <v>5.77475E7</v>
      </c>
      <c r="I62" s="1">
        <f t="shared" si="1"/>
        <v>0.001660843581</v>
      </c>
      <c r="J62" s="1">
        <v>0.0</v>
      </c>
      <c r="K62" s="1">
        <f t="shared" si="2"/>
        <v>0.001660843581</v>
      </c>
      <c r="L62" s="1">
        <f t="shared" si="3"/>
        <v>0.1660843581</v>
      </c>
      <c r="M62" s="1">
        <v>1.54</v>
      </c>
    </row>
    <row r="63" ht="15.75" customHeight="1">
      <c r="A63" s="7">
        <v>43979.0</v>
      </c>
      <c r="B63" s="1">
        <v>162.701996</v>
      </c>
      <c r="C63" s="1">
        <v>164.949997</v>
      </c>
      <c r="D63" s="1">
        <v>160.337997</v>
      </c>
      <c r="E63" s="1">
        <v>161.162003</v>
      </c>
      <c r="F63" s="1">
        <v>161.162003</v>
      </c>
      <c r="G63" s="1">
        <v>3.6278E7</v>
      </c>
      <c r="I63" s="1">
        <f t="shared" si="1"/>
        <v>-0.01758044641</v>
      </c>
      <c r="J63" s="1">
        <v>0.0</v>
      </c>
      <c r="K63" s="1">
        <f t="shared" si="2"/>
        <v>-0.01758044641</v>
      </c>
      <c r="L63" s="1">
        <f t="shared" si="3"/>
        <v>-1.758044641</v>
      </c>
      <c r="M63" s="1">
        <v>-0.41</v>
      </c>
    </row>
    <row r="64" ht="15.75" customHeight="1">
      <c r="A64" s="7">
        <v>43980.0</v>
      </c>
      <c r="B64" s="1">
        <v>161.75</v>
      </c>
      <c r="C64" s="1">
        <v>167.0</v>
      </c>
      <c r="D64" s="1">
        <v>160.841995</v>
      </c>
      <c r="E64" s="1">
        <v>167.0</v>
      </c>
      <c r="F64" s="1">
        <v>167.0</v>
      </c>
      <c r="G64" s="1">
        <v>5.88225E7</v>
      </c>
      <c r="I64" s="1">
        <f t="shared" si="1"/>
        <v>0.03622440086</v>
      </c>
      <c r="J64" s="1">
        <v>0.0</v>
      </c>
      <c r="K64" s="1">
        <f t="shared" si="2"/>
        <v>0.03622440086</v>
      </c>
      <c r="L64" s="1">
        <f t="shared" si="3"/>
        <v>3.622440086</v>
      </c>
      <c r="M64" s="1">
        <v>0.6</v>
      </c>
    </row>
    <row r="65" ht="15.75" customHeight="1">
      <c r="A65" s="7">
        <v>43983.0</v>
      </c>
      <c r="B65" s="1">
        <v>171.600006</v>
      </c>
      <c r="C65" s="1">
        <v>179.800003</v>
      </c>
      <c r="D65" s="1">
        <v>170.820007</v>
      </c>
      <c r="E65" s="1">
        <v>179.619995</v>
      </c>
      <c r="F65" s="1">
        <v>179.619995</v>
      </c>
      <c r="G65" s="1">
        <v>7.46975E7</v>
      </c>
      <c r="I65" s="1">
        <f t="shared" si="1"/>
        <v>0.07556883234</v>
      </c>
      <c r="J65" s="1">
        <v>0.0</v>
      </c>
      <c r="K65" s="1">
        <f t="shared" si="2"/>
        <v>0.07556883234</v>
      </c>
      <c r="L65" s="1">
        <f t="shared" si="3"/>
        <v>7.556883234</v>
      </c>
      <c r="M65" s="1">
        <v>0.52</v>
      </c>
    </row>
    <row r="66" ht="15.75" customHeight="1">
      <c r="A66" s="7">
        <v>43984.0</v>
      </c>
      <c r="B66" s="1">
        <v>178.940002</v>
      </c>
      <c r="C66" s="1">
        <v>181.731995</v>
      </c>
      <c r="D66" s="1">
        <v>174.199997</v>
      </c>
      <c r="E66" s="1">
        <v>176.311996</v>
      </c>
      <c r="F66" s="1">
        <v>176.311996</v>
      </c>
      <c r="G66" s="1">
        <v>6.7828E7</v>
      </c>
      <c r="I66" s="1">
        <f t="shared" si="1"/>
        <v>-0.01841665233</v>
      </c>
      <c r="J66" s="1">
        <v>0.0</v>
      </c>
      <c r="K66" s="1">
        <f t="shared" si="2"/>
        <v>-0.01841665233</v>
      </c>
      <c r="L66" s="1">
        <f t="shared" si="3"/>
        <v>-1.841665233</v>
      </c>
      <c r="M66" s="1">
        <v>0.81</v>
      </c>
    </row>
    <row r="67" ht="15.75" customHeight="1">
      <c r="A67" s="7">
        <v>43985.0</v>
      </c>
      <c r="B67" s="1">
        <v>177.623993</v>
      </c>
      <c r="C67" s="1">
        <v>179.587997</v>
      </c>
      <c r="D67" s="1">
        <v>176.020004</v>
      </c>
      <c r="E67" s="1">
        <v>176.591995</v>
      </c>
      <c r="F67" s="1">
        <v>176.591995</v>
      </c>
      <c r="G67" s="1">
        <v>3.97475E7</v>
      </c>
      <c r="I67" s="1">
        <f t="shared" si="1"/>
        <v>0.001588088198</v>
      </c>
      <c r="J67" s="1">
        <v>0.0</v>
      </c>
      <c r="K67" s="1">
        <f t="shared" si="2"/>
        <v>0.001588088198</v>
      </c>
      <c r="L67" s="1">
        <f t="shared" si="3"/>
        <v>0.1588088198</v>
      </c>
      <c r="M67" s="1">
        <v>1.42</v>
      </c>
    </row>
    <row r="68" ht="15.75" customHeight="1">
      <c r="A68" s="7">
        <v>43986.0</v>
      </c>
      <c r="B68" s="1">
        <v>177.975998</v>
      </c>
      <c r="C68" s="1">
        <v>179.149994</v>
      </c>
      <c r="D68" s="1">
        <v>171.688004</v>
      </c>
      <c r="E68" s="1">
        <v>172.876007</v>
      </c>
      <c r="F68" s="1">
        <v>172.876007</v>
      </c>
      <c r="G68" s="1">
        <v>4.44385E7</v>
      </c>
      <c r="I68" s="1">
        <f t="shared" si="1"/>
        <v>-0.02104278849</v>
      </c>
      <c r="J68" s="1">
        <v>0.0</v>
      </c>
      <c r="K68" s="1">
        <f t="shared" si="2"/>
        <v>-0.02104278849</v>
      </c>
      <c r="L68" s="1">
        <f t="shared" si="3"/>
        <v>-2.104278849</v>
      </c>
      <c r="M68" s="1">
        <v>-0.34</v>
      </c>
    </row>
    <row r="69" ht="15.75" customHeight="1">
      <c r="A69" s="7">
        <v>43987.0</v>
      </c>
      <c r="B69" s="1">
        <v>175.567993</v>
      </c>
      <c r="C69" s="1">
        <v>177.304001</v>
      </c>
      <c r="D69" s="1">
        <v>173.240005</v>
      </c>
      <c r="E69" s="1">
        <v>177.132004</v>
      </c>
      <c r="F69" s="1">
        <v>177.132004</v>
      </c>
      <c r="G69" s="1">
        <v>3.90595E7</v>
      </c>
      <c r="I69" s="1">
        <f t="shared" si="1"/>
        <v>0.02461878357</v>
      </c>
      <c r="J69" s="1">
        <v>0.0</v>
      </c>
      <c r="K69" s="1">
        <f t="shared" si="2"/>
        <v>0.02461878357</v>
      </c>
      <c r="L69" s="1">
        <f t="shared" si="3"/>
        <v>2.461878357</v>
      </c>
      <c r="M69" s="1">
        <v>2.5</v>
      </c>
    </row>
    <row r="70" ht="15.75" customHeight="1">
      <c r="A70" s="7">
        <v>43990.0</v>
      </c>
      <c r="B70" s="1">
        <v>183.800003</v>
      </c>
      <c r="C70" s="1">
        <v>190.0</v>
      </c>
      <c r="D70" s="1">
        <v>181.832001</v>
      </c>
      <c r="E70" s="1">
        <v>189.983994</v>
      </c>
      <c r="F70" s="1">
        <v>189.983994</v>
      </c>
      <c r="G70" s="1">
        <v>7.08735E7</v>
      </c>
      <c r="I70" s="1">
        <f t="shared" si="1"/>
        <v>0.07255600179</v>
      </c>
      <c r="J70" s="1">
        <v>0.0</v>
      </c>
      <c r="K70" s="1">
        <f t="shared" si="2"/>
        <v>0.07255600179</v>
      </c>
      <c r="L70" s="1">
        <f t="shared" si="3"/>
        <v>7.255600179</v>
      </c>
      <c r="M70" s="1">
        <v>1.39</v>
      </c>
    </row>
    <row r="71" ht="15.75" customHeight="1">
      <c r="A71" s="7">
        <v>43991.0</v>
      </c>
      <c r="B71" s="1">
        <v>188.001999</v>
      </c>
      <c r="C71" s="1">
        <v>190.888</v>
      </c>
      <c r="D71" s="1">
        <v>184.785995</v>
      </c>
      <c r="E71" s="1">
        <v>188.134003</v>
      </c>
      <c r="F71" s="1">
        <v>188.134003</v>
      </c>
      <c r="G71" s="1">
        <v>5.6941E7</v>
      </c>
      <c r="I71" s="1">
        <f t="shared" si="1"/>
        <v>-0.009737615054</v>
      </c>
      <c r="J71" s="1">
        <v>0.0</v>
      </c>
      <c r="K71" s="1">
        <f t="shared" si="2"/>
        <v>-0.009737615054</v>
      </c>
      <c r="L71" s="1">
        <f t="shared" si="3"/>
        <v>-0.9737615054</v>
      </c>
      <c r="M71" s="1">
        <v>-0.85</v>
      </c>
    </row>
    <row r="72" ht="15.75" customHeight="1">
      <c r="A72" s="7">
        <v>43992.0</v>
      </c>
      <c r="B72" s="1">
        <v>198.376007</v>
      </c>
      <c r="C72" s="1">
        <v>205.496002</v>
      </c>
      <c r="D72" s="1">
        <v>196.5</v>
      </c>
      <c r="E72" s="1">
        <v>205.009995</v>
      </c>
      <c r="F72" s="1">
        <v>205.009995</v>
      </c>
      <c r="G72" s="1">
        <v>9.2817E7</v>
      </c>
      <c r="I72" s="1">
        <f t="shared" si="1"/>
        <v>0.08970197695</v>
      </c>
      <c r="J72" s="1">
        <v>0.0</v>
      </c>
      <c r="K72" s="1">
        <f t="shared" si="2"/>
        <v>0.08970197695</v>
      </c>
      <c r="L72" s="1">
        <f t="shared" si="3"/>
        <v>8.970197695</v>
      </c>
      <c r="M72" s="1">
        <v>-0.56</v>
      </c>
    </row>
    <row r="73" ht="15.75" customHeight="1">
      <c r="A73" s="7">
        <v>43993.0</v>
      </c>
      <c r="B73" s="1">
        <v>198.039993</v>
      </c>
      <c r="C73" s="1">
        <v>203.792007</v>
      </c>
      <c r="D73" s="1">
        <v>194.399994</v>
      </c>
      <c r="E73" s="1">
        <v>194.567993</v>
      </c>
      <c r="F73" s="1">
        <v>194.567993</v>
      </c>
      <c r="G73" s="1">
        <v>7.95825E7</v>
      </c>
      <c r="I73" s="1">
        <f t="shared" si="1"/>
        <v>-0.05093411177</v>
      </c>
      <c r="J73" s="1">
        <v>0.0</v>
      </c>
      <c r="K73" s="1">
        <f t="shared" si="2"/>
        <v>-0.05093411177</v>
      </c>
      <c r="L73" s="1">
        <f t="shared" si="3"/>
        <v>-5.093411177</v>
      </c>
      <c r="M73" s="1">
        <v>-5.91</v>
      </c>
    </row>
    <row r="74" ht="15.75" customHeight="1">
      <c r="A74" s="7">
        <v>43994.0</v>
      </c>
      <c r="B74" s="1">
        <v>196.0</v>
      </c>
      <c r="C74" s="1">
        <v>197.595993</v>
      </c>
      <c r="D74" s="1">
        <v>182.520004</v>
      </c>
      <c r="E74" s="1">
        <v>187.056</v>
      </c>
      <c r="F74" s="1">
        <v>187.056</v>
      </c>
      <c r="G74" s="1">
        <v>8.3817E7</v>
      </c>
      <c r="I74" s="1">
        <f t="shared" si="1"/>
        <v>-0.03860857526</v>
      </c>
      <c r="J74" s="1">
        <v>0.0</v>
      </c>
      <c r="K74" s="1">
        <f t="shared" si="2"/>
        <v>-0.03860857526</v>
      </c>
      <c r="L74" s="1">
        <f t="shared" si="3"/>
        <v>-3.860857526</v>
      </c>
      <c r="M74" s="1">
        <v>1.29</v>
      </c>
    </row>
    <row r="75" ht="15.75" customHeight="1">
      <c r="A75" s="7">
        <v>43997.0</v>
      </c>
      <c r="B75" s="1">
        <v>183.557999</v>
      </c>
      <c r="C75" s="1">
        <v>199.768005</v>
      </c>
      <c r="D75" s="1">
        <v>181.699997</v>
      </c>
      <c r="E75" s="1">
        <v>198.179993</v>
      </c>
      <c r="F75" s="1">
        <v>198.179993</v>
      </c>
      <c r="G75" s="1">
        <v>7.8486E7</v>
      </c>
      <c r="I75" s="1">
        <f t="shared" si="1"/>
        <v>0.05946878475</v>
      </c>
      <c r="J75" s="1">
        <v>0.0</v>
      </c>
      <c r="K75" s="1">
        <f t="shared" si="2"/>
        <v>0.05946878475</v>
      </c>
      <c r="L75" s="1">
        <f t="shared" si="3"/>
        <v>5.946878475</v>
      </c>
      <c r="M75" s="1">
        <v>1.09</v>
      </c>
    </row>
    <row r="76" ht="15.75" customHeight="1">
      <c r="A76" s="7">
        <v>43998.0</v>
      </c>
      <c r="B76" s="1">
        <v>202.369995</v>
      </c>
      <c r="C76" s="1">
        <v>202.576004</v>
      </c>
      <c r="D76" s="1">
        <v>192.477997</v>
      </c>
      <c r="E76" s="1">
        <v>196.425995</v>
      </c>
      <c r="F76" s="1">
        <v>196.425995</v>
      </c>
      <c r="G76" s="1">
        <v>7.02555E7</v>
      </c>
      <c r="I76" s="1">
        <f t="shared" si="1"/>
        <v>-0.008850530134</v>
      </c>
      <c r="J76" s="1">
        <v>0.0</v>
      </c>
      <c r="K76" s="1">
        <f t="shared" si="2"/>
        <v>-0.008850530134</v>
      </c>
      <c r="L76" s="1">
        <f t="shared" si="3"/>
        <v>-0.8850530134</v>
      </c>
      <c r="M76" s="1">
        <v>1.86</v>
      </c>
    </row>
    <row r="77" ht="15.75" customHeight="1">
      <c r="A77" s="7">
        <v>43999.0</v>
      </c>
      <c r="B77" s="1">
        <v>197.542007</v>
      </c>
      <c r="C77" s="1">
        <v>201.0</v>
      </c>
      <c r="D77" s="1">
        <v>196.514008</v>
      </c>
      <c r="E77" s="1">
        <v>198.358002</v>
      </c>
      <c r="F77" s="1">
        <v>198.358002</v>
      </c>
      <c r="G77" s="1">
        <v>4.9454E7</v>
      </c>
      <c r="I77" s="1">
        <f t="shared" si="1"/>
        <v>0.00983580101</v>
      </c>
      <c r="J77" s="1">
        <v>0.0</v>
      </c>
      <c r="K77" s="1">
        <f t="shared" si="2"/>
        <v>0.00983580101</v>
      </c>
      <c r="L77" s="1">
        <f t="shared" si="3"/>
        <v>0.983580101</v>
      </c>
      <c r="M77" s="1">
        <v>-0.4</v>
      </c>
    </row>
    <row r="78" ht="15.75" customHeight="1">
      <c r="A78" s="7">
        <v>44000.0</v>
      </c>
      <c r="B78" s="1">
        <v>200.600006</v>
      </c>
      <c r="C78" s="1">
        <v>203.839996</v>
      </c>
      <c r="D78" s="1">
        <v>198.893997</v>
      </c>
      <c r="E78" s="1">
        <v>200.792007</v>
      </c>
      <c r="F78" s="1">
        <v>200.792007</v>
      </c>
      <c r="G78" s="1">
        <v>4.87595E7</v>
      </c>
      <c r="I78" s="1">
        <f t="shared" si="1"/>
        <v>0.01227076788</v>
      </c>
      <c r="J78" s="1">
        <v>0.0</v>
      </c>
      <c r="K78" s="1">
        <f t="shared" si="2"/>
        <v>0.01227076788</v>
      </c>
      <c r="L78" s="1">
        <f t="shared" si="3"/>
        <v>1.227076788</v>
      </c>
      <c r="M78" s="1">
        <v>0.19</v>
      </c>
    </row>
    <row r="79" ht="15.75" customHeight="1">
      <c r="A79" s="7">
        <v>44001.0</v>
      </c>
      <c r="B79" s="1">
        <v>202.556</v>
      </c>
      <c r="C79" s="1">
        <v>203.194</v>
      </c>
      <c r="D79" s="1">
        <v>198.268005</v>
      </c>
      <c r="E79" s="1">
        <v>200.179993</v>
      </c>
      <c r="F79" s="1">
        <v>200.179993</v>
      </c>
      <c r="G79" s="1">
        <v>4.33985E7</v>
      </c>
      <c r="I79" s="1">
        <f t="shared" si="1"/>
        <v>-0.003047999814</v>
      </c>
      <c r="J79" s="1">
        <v>0.0</v>
      </c>
      <c r="K79" s="1">
        <f t="shared" si="2"/>
        <v>-0.003047999814</v>
      </c>
      <c r="L79" s="1">
        <f t="shared" si="3"/>
        <v>-0.3047999814</v>
      </c>
      <c r="M79" s="1">
        <v>-0.45</v>
      </c>
    </row>
    <row r="80" ht="15.75" customHeight="1">
      <c r="A80" s="7">
        <v>44004.0</v>
      </c>
      <c r="B80" s="1">
        <v>199.990005</v>
      </c>
      <c r="C80" s="1">
        <v>201.776001</v>
      </c>
      <c r="D80" s="1">
        <v>198.003998</v>
      </c>
      <c r="E80" s="1">
        <v>198.863998</v>
      </c>
      <c r="F80" s="1">
        <v>198.863998</v>
      </c>
      <c r="G80" s="1">
        <v>3.1812E7</v>
      </c>
      <c r="I80" s="1">
        <f t="shared" si="1"/>
        <v>-0.006574058577</v>
      </c>
      <c r="J80" s="1">
        <v>0.0</v>
      </c>
      <c r="K80" s="1">
        <f t="shared" si="2"/>
        <v>-0.006574058577</v>
      </c>
      <c r="L80" s="1">
        <f t="shared" si="3"/>
        <v>-0.6574058577</v>
      </c>
      <c r="M80" s="1">
        <v>0.71</v>
      </c>
    </row>
    <row r="81" ht="15.75" customHeight="1">
      <c r="A81" s="7">
        <v>44005.0</v>
      </c>
      <c r="B81" s="1">
        <v>199.776001</v>
      </c>
      <c r="C81" s="1">
        <v>202.399994</v>
      </c>
      <c r="D81" s="1">
        <v>198.802002</v>
      </c>
      <c r="E81" s="1">
        <v>200.356003</v>
      </c>
      <c r="F81" s="1">
        <v>200.356003</v>
      </c>
      <c r="G81" s="1">
        <v>3.18265E7</v>
      </c>
      <c r="I81" s="1">
        <f t="shared" si="1"/>
        <v>0.007502640071</v>
      </c>
      <c r="J81" s="1">
        <v>0.0</v>
      </c>
      <c r="K81" s="1">
        <f t="shared" si="2"/>
        <v>0.007502640071</v>
      </c>
      <c r="L81" s="1">
        <f t="shared" si="3"/>
        <v>0.7502640071</v>
      </c>
      <c r="M81" s="1">
        <v>0.42</v>
      </c>
    </row>
    <row r="82" ht="15.75" customHeight="1">
      <c r="A82" s="7">
        <v>44006.0</v>
      </c>
      <c r="B82" s="1">
        <v>198.822006</v>
      </c>
      <c r="C82" s="1">
        <v>200.175995</v>
      </c>
      <c r="D82" s="1">
        <v>190.628006</v>
      </c>
      <c r="E82" s="1">
        <v>192.169998</v>
      </c>
      <c r="F82" s="1">
        <v>192.169998</v>
      </c>
      <c r="G82" s="1">
        <v>5.4798E7</v>
      </c>
      <c r="I82" s="1">
        <f t="shared" si="1"/>
        <v>-0.0408572984</v>
      </c>
      <c r="J82" s="1">
        <v>0.0</v>
      </c>
      <c r="K82" s="1">
        <f t="shared" si="2"/>
        <v>-0.0408572984</v>
      </c>
      <c r="L82" s="1">
        <f t="shared" si="3"/>
        <v>-4.08572984</v>
      </c>
      <c r="M82" s="1">
        <v>-2.61</v>
      </c>
    </row>
    <row r="83" ht="15.75" customHeight="1">
      <c r="A83" s="7">
        <v>44007.0</v>
      </c>
      <c r="B83" s="1">
        <v>190.854004</v>
      </c>
      <c r="C83" s="1">
        <v>197.195999</v>
      </c>
      <c r="D83" s="1">
        <v>187.429993</v>
      </c>
      <c r="E83" s="1">
        <v>197.195999</v>
      </c>
      <c r="F83" s="1">
        <v>197.195999</v>
      </c>
      <c r="G83" s="1">
        <v>4.62725E7</v>
      </c>
      <c r="I83" s="1">
        <f t="shared" si="1"/>
        <v>0.02615393169</v>
      </c>
      <c r="J83" s="1">
        <v>0.0</v>
      </c>
      <c r="K83" s="1">
        <f t="shared" si="2"/>
        <v>0.02615393169</v>
      </c>
      <c r="L83" s="1">
        <f t="shared" si="3"/>
        <v>2.615393169</v>
      </c>
      <c r="M83" s="1">
        <v>1.12</v>
      </c>
    </row>
    <row r="84" ht="15.75" customHeight="1">
      <c r="A84" s="7">
        <v>44008.0</v>
      </c>
      <c r="B84" s="1">
        <v>198.955994</v>
      </c>
      <c r="C84" s="1">
        <v>199.0</v>
      </c>
      <c r="D84" s="1">
        <v>190.973999</v>
      </c>
      <c r="E84" s="1">
        <v>191.947998</v>
      </c>
      <c r="F84" s="1">
        <v>191.947998</v>
      </c>
      <c r="G84" s="1">
        <v>4.42745E7</v>
      </c>
      <c r="I84" s="1">
        <f t="shared" si="1"/>
        <v>-0.02661312109</v>
      </c>
      <c r="J84" s="1">
        <v>0.0</v>
      </c>
      <c r="K84" s="1">
        <f t="shared" si="2"/>
        <v>-0.02661312109</v>
      </c>
      <c r="L84" s="1">
        <f t="shared" si="3"/>
        <v>-2.661312109</v>
      </c>
      <c r="M84" s="1">
        <v>-2.44</v>
      </c>
    </row>
    <row r="85" ht="15.75" customHeight="1">
      <c r="A85" s="7">
        <v>44011.0</v>
      </c>
      <c r="B85" s="1">
        <v>193.802002</v>
      </c>
      <c r="C85" s="1">
        <v>202.0</v>
      </c>
      <c r="D85" s="1">
        <v>189.703995</v>
      </c>
      <c r="E85" s="1">
        <v>201.869995</v>
      </c>
      <c r="F85" s="1">
        <v>201.869995</v>
      </c>
      <c r="G85" s="1">
        <v>4.5132E7</v>
      </c>
      <c r="I85" s="1">
        <f t="shared" si="1"/>
        <v>0.05169106791</v>
      </c>
      <c r="J85" s="1">
        <v>0.0</v>
      </c>
      <c r="K85" s="1">
        <f t="shared" si="2"/>
        <v>0.05169106791</v>
      </c>
      <c r="L85" s="1">
        <f t="shared" si="3"/>
        <v>5.169106791</v>
      </c>
      <c r="M85" s="1">
        <v>1.51</v>
      </c>
    </row>
    <row r="86" ht="15.75" customHeight="1">
      <c r="A86" s="7">
        <v>44012.0</v>
      </c>
      <c r="B86" s="1">
        <v>201.300003</v>
      </c>
      <c r="C86" s="1">
        <v>217.537994</v>
      </c>
      <c r="D86" s="1">
        <v>200.746002</v>
      </c>
      <c r="E86" s="1">
        <v>215.962006</v>
      </c>
      <c r="F86" s="1">
        <v>215.962006</v>
      </c>
      <c r="G86" s="1">
        <v>8.45925E7</v>
      </c>
      <c r="I86" s="1">
        <f t="shared" si="1"/>
        <v>0.06980735795</v>
      </c>
      <c r="J86" s="1">
        <v>0.0</v>
      </c>
      <c r="K86" s="1">
        <f t="shared" si="2"/>
        <v>0.06980735795</v>
      </c>
      <c r="L86" s="1">
        <f t="shared" si="3"/>
        <v>6.980735795</v>
      </c>
      <c r="M86" s="1">
        <v>1.58</v>
      </c>
    </row>
    <row r="87" ht="15.75" customHeight="1">
      <c r="A87" s="7">
        <v>44013.0</v>
      </c>
      <c r="B87" s="1">
        <v>216.600006</v>
      </c>
      <c r="C87" s="1">
        <v>227.065994</v>
      </c>
      <c r="D87" s="1">
        <v>216.100006</v>
      </c>
      <c r="E87" s="1">
        <v>223.925995</v>
      </c>
      <c r="F87" s="1">
        <v>223.925995</v>
      </c>
      <c r="G87" s="1">
        <v>6.66345E7</v>
      </c>
      <c r="I87" s="1">
        <f t="shared" si="1"/>
        <v>0.03687680601</v>
      </c>
      <c r="J87" s="1">
        <v>0.0</v>
      </c>
      <c r="K87" s="1">
        <f t="shared" si="2"/>
        <v>0.03687680601</v>
      </c>
      <c r="L87" s="1">
        <f t="shared" si="3"/>
        <v>3.687680601</v>
      </c>
      <c r="M87" s="1">
        <v>0.41</v>
      </c>
    </row>
    <row r="88" ht="15.75" customHeight="1">
      <c r="A88" s="7">
        <v>44014.0</v>
      </c>
      <c r="B88" s="1">
        <v>244.296005</v>
      </c>
      <c r="C88" s="1">
        <v>245.600006</v>
      </c>
      <c r="D88" s="1">
        <v>237.119995</v>
      </c>
      <c r="E88" s="1">
        <v>241.731995</v>
      </c>
      <c r="F88" s="1">
        <v>241.731995</v>
      </c>
      <c r="G88" s="1">
        <v>8.62505E7</v>
      </c>
      <c r="I88" s="1">
        <f t="shared" si="1"/>
        <v>0.07951734233</v>
      </c>
      <c r="J88" s="1">
        <v>0.0</v>
      </c>
      <c r="K88" s="1">
        <f t="shared" si="2"/>
        <v>0.07951734233</v>
      </c>
      <c r="L88" s="1">
        <f t="shared" si="3"/>
        <v>7.951734233</v>
      </c>
      <c r="M88" s="1">
        <v>0.5</v>
      </c>
    </row>
    <row r="89" ht="15.75" customHeight="1">
      <c r="A89" s="7">
        <v>44018.0</v>
      </c>
      <c r="B89" s="1">
        <v>255.337997</v>
      </c>
      <c r="C89" s="1">
        <v>275.558014</v>
      </c>
      <c r="D89" s="1">
        <v>253.207993</v>
      </c>
      <c r="E89" s="1">
        <v>274.31601</v>
      </c>
      <c r="F89" s="1">
        <v>274.31601</v>
      </c>
      <c r="G89" s="1">
        <v>1.028495E8</v>
      </c>
      <c r="I89" s="1">
        <f t="shared" si="1"/>
        <v>0.1347939688</v>
      </c>
      <c r="J89" s="1">
        <v>0.0</v>
      </c>
      <c r="K89" s="1">
        <f t="shared" si="2"/>
        <v>0.1347939688</v>
      </c>
      <c r="L89" s="1">
        <f t="shared" si="3"/>
        <v>13.47939688</v>
      </c>
      <c r="M89" s="1">
        <v>1.65</v>
      </c>
    </row>
    <row r="90" ht="15.75" customHeight="1">
      <c r="A90" s="7">
        <v>44019.0</v>
      </c>
      <c r="B90" s="1">
        <v>281.002014</v>
      </c>
      <c r="C90" s="1">
        <v>285.899994</v>
      </c>
      <c r="D90" s="1">
        <v>267.34201</v>
      </c>
      <c r="E90" s="1">
        <v>277.971985</v>
      </c>
      <c r="F90" s="1">
        <v>277.971985</v>
      </c>
      <c r="G90" s="1">
        <v>1.074485E8</v>
      </c>
      <c r="I90" s="1">
        <f t="shared" si="1"/>
        <v>0.01332760345</v>
      </c>
      <c r="J90" s="1">
        <v>0.0</v>
      </c>
      <c r="K90" s="1">
        <f t="shared" si="2"/>
        <v>0.01332760345</v>
      </c>
      <c r="L90" s="1">
        <f t="shared" si="3"/>
        <v>1.332760345</v>
      </c>
      <c r="M90" s="1">
        <v>-1.03</v>
      </c>
    </row>
    <row r="91" ht="15.75" customHeight="1">
      <c r="A91" s="7">
        <v>44020.0</v>
      </c>
      <c r="B91" s="1">
        <v>281.0</v>
      </c>
      <c r="C91" s="1">
        <v>283.451996</v>
      </c>
      <c r="D91" s="1">
        <v>262.268005</v>
      </c>
      <c r="E91" s="1">
        <v>273.175995</v>
      </c>
      <c r="F91" s="1">
        <v>273.175995</v>
      </c>
      <c r="G91" s="1">
        <v>8.15565E7</v>
      </c>
      <c r="I91" s="1">
        <f t="shared" si="1"/>
        <v>-0.01725350128</v>
      </c>
      <c r="J91" s="1">
        <v>0.0</v>
      </c>
      <c r="K91" s="1">
        <f t="shared" si="2"/>
        <v>-0.01725350128</v>
      </c>
      <c r="L91" s="1">
        <f t="shared" si="3"/>
        <v>-1.725350128</v>
      </c>
      <c r="M91" s="1">
        <v>0.91</v>
      </c>
    </row>
    <row r="92" ht="15.75" customHeight="1">
      <c r="A92" s="7">
        <v>44021.0</v>
      </c>
      <c r="B92" s="1">
        <v>279.39801</v>
      </c>
      <c r="C92" s="1">
        <v>281.712006</v>
      </c>
      <c r="D92" s="1">
        <v>270.256012</v>
      </c>
      <c r="E92" s="1">
        <v>278.855988</v>
      </c>
      <c r="F92" s="1">
        <v>278.855988</v>
      </c>
      <c r="G92" s="1">
        <v>5.8588E7</v>
      </c>
      <c r="I92" s="1">
        <f t="shared" si="1"/>
        <v>0.0207924309</v>
      </c>
      <c r="J92" s="1">
        <v>0.0</v>
      </c>
      <c r="K92" s="1">
        <f t="shared" si="2"/>
        <v>0.0207924309</v>
      </c>
      <c r="L92" s="1">
        <f t="shared" si="3"/>
        <v>2.07924309</v>
      </c>
      <c r="M92" s="1">
        <v>-0.53</v>
      </c>
    </row>
    <row r="93" ht="15.75" customHeight="1">
      <c r="A93" s="7">
        <v>44022.0</v>
      </c>
      <c r="B93" s="1">
        <v>279.200012</v>
      </c>
      <c r="C93" s="1">
        <v>309.783997</v>
      </c>
      <c r="D93" s="1">
        <v>275.201996</v>
      </c>
      <c r="E93" s="1">
        <v>308.929993</v>
      </c>
      <c r="F93" s="1">
        <v>308.929993</v>
      </c>
      <c r="G93" s="1">
        <v>1.16688E8</v>
      </c>
      <c r="I93" s="1">
        <f t="shared" si="1"/>
        <v>0.1078478006</v>
      </c>
      <c r="J93" s="1">
        <v>0.0</v>
      </c>
      <c r="K93" s="1">
        <f t="shared" si="2"/>
        <v>0.1078478006</v>
      </c>
      <c r="L93" s="1">
        <f t="shared" si="3"/>
        <v>10.78478006</v>
      </c>
      <c r="M93" s="1">
        <v>1.11</v>
      </c>
    </row>
    <row r="94" ht="15.75" customHeight="1">
      <c r="A94" s="7">
        <v>44025.0</v>
      </c>
      <c r="B94" s="1">
        <v>331.799988</v>
      </c>
      <c r="C94" s="1">
        <v>358.997986</v>
      </c>
      <c r="D94" s="1">
        <v>294.221985</v>
      </c>
      <c r="E94" s="1">
        <v>299.411987</v>
      </c>
      <c r="F94" s="1">
        <v>299.411987</v>
      </c>
      <c r="G94" s="1">
        <v>1.94927E8</v>
      </c>
      <c r="I94" s="1">
        <f t="shared" si="1"/>
        <v>-0.03080958863</v>
      </c>
      <c r="J94" s="1">
        <v>0.0</v>
      </c>
      <c r="K94" s="1">
        <f t="shared" si="2"/>
        <v>-0.03080958863</v>
      </c>
      <c r="L94" s="1">
        <f t="shared" si="3"/>
        <v>-3.080958863</v>
      </c>
      <c r="M94" s="1">
        <v>-1.2</v>
      </c>
    </row>
    <row r="95" ht="15.75" customHeight="1">
      <c r="A95" s="7">
        <v>44026.0</v>
      </c>
      <c r="B95" s="1">
        <v>311.200012</v>
      </c>
      <c r="C95" s="1">
        <v>318.0</v>
      </c>
      <c r="D95" s="1">
        <v>286.200012</v>
      </c>
      <c r="E95" s="1">
        <v>303.359985</v>
      </c>
      <c r="F95" s="1">
        <v>303.359985</v>
      </c>
      <c r="G95" s="1">
        <v>1.170905E8</v>
      </c>
      <c r="I95" s="1">
        <f t="shared" si="1"/>
        <v>0.01318583815</v>
      </c>
      <c r="J95" s="1">
        <v>0.0</v>
      </c>
      <c r="K95" s="1">
        <f t="shared" si="2"/>
        <v>0.01318583815</v>
      </c>
      <c r="L95" s="1">
        <f t="shared" si="3"/>
        <v>1.318583815</v>
      </c>
      <c r="M95" s="1">
        <v>1.35</v>
      </c>
    </row>
    <row r="96" ht="15.75" customHeight="1">
      <c r="A96" s="7">
        <v>44027.0</v>
      </c>
      <c r="B96" s="1">
        <v>308.600006</v>
      </c>
      <c r="C96" s="1">
        <v>310.0</v>
      </c>
      <c r="D96" s="1">
        <v>291.399994</v>
      </c>
      <c r="E96" s="1">
        <v>309.201996</v>
      </c>
      <c r="F96" s="1">
        <v>309.201996</v>
      </c>
      <c r="G96" s="1">
        <v>8.1839E7</v>
      </c>
      <c r="I96" s="1">
        <f t="shared" si="1"/>
        <v>0.01925768489</v>
      </c>
      <c r="J96" s="1">
        <v>0.0</v>
      </c>
      <c r="K96" s="1">
        <f t="shared" si="2"/>
        <v>0.01925768489</v>
      </c>
      <c r="L96" s="1">
        <f t="shared" si="3"/>
        <v>1.925768489</v>
      </c>
      <c r="M96" s="1">
        <v>1.14</v>
      </c>
    </row>
    <row r="97" ht="15.75" customHeight="1">
      <c r="A97" s="7">
        <v>44028.0</v>
      </c>
      <c r="B97" s="1">
        <v>295.432007</v>
      </c>
      <c r="C97" s="1">
        <v>306.34201</v>
      </c>
      <c r="D97" s="1">
        <v>293.200012</v>
      </c>
      <c r="E97" s="1">
        <v>300.127991</v>
      </c>
      <c r="F97" s="1">
        <v>300.127991</v>
      </c>
      <c r="G97" s="1">
        <v>7.1504E7</v>
      </c>
      <c r="I97" s="1">
        <f t="shared" si="1"/>
        <v>-0.02934652789</v>
      </c>
      <c r="J97" s="1">
        <v>0.0</v>
      </c>
      <c r="K97" s="1">
        <f t="shared" si="2"/>
        <v>-0.02934652789</v>
      </c>
      <c r="L97" s="1">
        <f t="shared" si="3"/>
        <v>-2.934652789</v>
      </c>
      <c r="M97" s="1">
        <v>-0.37</v>
      </c>
    </row>
    <row r="98" ht="15.75" customHeight="1">
      <c r="A98" s="7">
        <v>44029.0</v>
      </c>
      <c r="B98" s="1">
        <v>302.690002</v>
      </c>
      <c r="C98" s="1">
        <v>307.502014</v>
      </c>
      <c r="D98" s="1">
        <v>298.0</v>
      </c>
      <c r="E98" s="1">
        <v>300.167999</v>
      </c>
      <c r="F98" s="1">
        <v>300.167999</v>
      </c>
      <c r="G98" s="1">
        <v>4.665E7</v>
      </c>
      <c r="I98" s="1">
        <f t="shared" si="1"/>
        <v>0.000133303128</v>
      </c>
      <c r="J98" s="1">
        <v>0.0</v>
      </c>
      <c r="K98" s="1">
        <f t="shared" si="2"/>
        <v>0.000133303128</v>
      </c>
      <c r="L98" s="1">
        <f t="shared" si="3"/>
        <v>0.0133303128</v>
      </c>
      <c r="M98" s="1">
        <v>0.3</v>
      </c>
    </row>
    <row r="99" ht="15.75" customHeight="1">
      <c r="A99" s="7">
        <v>44032.0</v>
      </c>
      <c r="B99" s="1">
        <v>303.802002</v>
      </c>
      <c r="C99" s="1">
        <v>330.0</v>
      </c>
      <c r="D99" s="1">
        <v>297.600006</v>
      </c>
      <c r="E99" s="1">
        <v>328.600006</v>
      </c>
      <c r="F99" s="1">
        <v>328.600006</v>
      </c>
      <c r="G99" s="1">
        <v>8.5607E7</v>
      </c>
      <c r="I99" s="1">
        <f t="shared" si="1"/>
        <v>0.09472031361</v>
      </c>
      <c r="J99" s="1">
        <v>0.0</v>
      </c>
      <c r="K99" s="1">
        <f t="shared" si="2"/>
        <v>0.09472031361</v>
      </c>
      <c r="L99" s="1">
        <f t="shared" si="3"/>
        <v>9.472031361</v>
      </c>
      <c r="M99" s="1">
        <v>1.01</v>
      </c>
    </row>
    <row r="100" ht="15.75" customHeight="1">
      <c r="A100" s="7">
        <v>44033.0</v>
      </c>
      <c r="B100" s="1">
        <v>327.985992</v>
      </c>
      <c r="C100" s="1">
        <v>335.0</v>
      </c>
      <c r="D100" s="1">
        <v>311.600006</v>
      </c>
      <c r="E100" s="1">
        <v>313.671997</v>
      </c>
      <c r="F100" s="1">
        <v>313.671997</v>
      </c>
      <c r="G100" s="1">
        <v>8.0536E7</v>
      </c>
      <c r="I100" s="1">
        <f t="shared" si="1"/>
        <v>-0.04542911968</v>
      </c>
      <c r="J100" s="1">
        <v>0.0</v>
      </c>
      <c r="K100" s="1">
        <f t="shared" si="2"/>
        <v>-0.04542911968</v>
      </c>
      <c r="L100" s="1">
        <f t="shared" si="3"/>
        <v>-4.542911968</v>
      </c>
      <c r="M100" s="1">
        <v>0.16</v>
      </c>
    </row>
    <row r="101" ht="15.75" customHeight="1">
      <c r="A101" s="7">
        <v>44034.0</v>
      </c>
      <c r="B101" s="1">
        <v>319.799988</v>
      </c>
      <c r="C101" s="1">
        <v>325.283997</v>
      </c>
      <c r="D101" s="1">
        <v>312.399994</v>
      </c>
      <c r="E101" s="1">
        <v>318.466003</v>
      </c>
      <c r="F101" s="1">
        <v>318.466003</v>
      </c>
      <c r="G101" s="1">
        <v>7.08055E7</v>
      </c>
      <c r="I101" s="1">
        <f t="shared" si="1"/>
        <v>0.01528350011</v>
      </c>
      <c r="J101" s="1">
        <v>0.0</v>
      </c>
      <c r="K101" s="1">
        <f t="shared" si="2"/>
        <v>0.01528350011</v>
      </c>
      <c r="L101" s="1">
        <f t="shared" si="3"/>
        <v>1.528350011</v>
      </c>
      <c r="M101" s="1">
        <v>0.49</v>
      </c>
    </row>
    <row r="102" ht="15.75" customHeight="1">
      <c r="A102" s="7">
        <v>44035.0</v>
      </c>
      <c r="B102" s="1">
        <v>335.790009</v>
      </c>
      <c r="C102" s="1">
        <v>337.799988</v>
      </c>
      <c r="D102" s="1">
        <v>296.153992</v>
      </c>
      <c r="E102" s="1">
        <v>302.614014</v>
      </c>
      <c r="F102" s="1">
        <v>302.614014</v>
      </c>
      <c r="G102" s="1">
        <v>1.216425E8</v>
      </c>
      <c r="I102" s="1">
        <f t="shared" si="1"/>
        <v>-0.04977607924</v>
      </c>
      <c r="J102" s="1">
        <v>0.0</v>
      </c>
      <c r="K102" s="1">
        <f t="shared" si="2"/>
        <v>-0.04977607924</v>
      </c>
      <c r="L102" s="1">
        <f t="shared" si="3"/>
        <v>-4.977607924</v>
      </c>
      <c r="M102" s="1">
        <v>-1.2</v>
      </c>
    </row>
    <row r="103" ht="15.75" customHeight="1">
      <c r="A103" s="7">
        <v>44036.0</v>
      </c>
      <c r="B103" s="1">
        <v>283.201996</v>
      </c>
      <c r="C103" s="1">
        <v>293.0</v>
      </c>
      <c r="D103" s="1">
        <v>273.308014</v>
      </c>
      <c r="E103" s="1">
        <v>283.399994</v>
      </c>
      <c r="F103" s="1">
        <v>283.399994</v>
      </c>
      <c r="G103" s="1">
        <v>9.6983E7</v>
      </c>
      <c r="I103" s="1">
        <f t="shared" si="1"/>
        <v>-0.06349349042</v>
      </c>
      <c r="J103" s="1">
        <v>0.0</v>
      </c>
      <c r="K103" s="1">
        <f t="shared" si="2"/>
        <v>-0.06349349042</v>
      </c>
      <c r="L103" s="1">
        <f t="shared" si="3"/>
        <v>-6.349349042</v>
      </c>
      <c r="M103" s="1">
        <v>-0.75</v>
      </c>
    </row>
    <row r="104" ht="15.75" customHeight="1">
      <c r="A104" s="7">
        <v>44039.0</v>
      </c>
      <c r="B104" s="1">
        <v>287.0</v>
      </c>
      <c r="C104" s="1">
        <v>309.588013</v>
      </c>
      <c r="D104" s="1">
        <v>282.600006</v>
      </c>
      <c r="E104" s="1">
        <v>307.920013</v>
      </c>
      <c r="F104" s="1">
        <v>307.920013</v>
      </c>
      <c r="G104" s="1">
        <v>8.02435E7</v>
      </c>
      <c r="I104" s="1">
        <f t="shared" si="1"/>
        <v>0.08652088751</v>
      </c>
      <c r="J104" s="1">
        <v>0.0</v>
      </c>
      <c r="K104" s="1">
        <f t="shared" si="2"/>
        <v>0.08652088751</v>
      </c>
      <c r="L104" s="1">
        <f t="shared" si="3"/>
        <v>8.652088751</v>
      </c>
      <c r="M104" s="1">
        <v>0.88</v>
      </c>
    </row>
    <row r="105" ht="15.75" customHeight="1">
      <c r="A105" s="7">
        <v>44040.0</v>
      </c>
      <c r="B105" s="1">
        <v>300.799988</v>
      </c>
      <c r="C105" s="1">
        <v>312.940002</v>
      </c>
      <c r="D105" s="1">
        <v>294.884003</v>
      </c>
      <c r="E105" s="1">
        <v>295.298004</v>
      </c>
      <c r="F105" s="1">
        <v>295.298004</v>
      </c>
      <c r="G105" s="1">
        <v>7.90435E7</v>
      </c>
      <c r="I105" s="1">
        <f t="shared" si="1"/>
        <v>-0.04099119403</v>
      </c>
      <c r="J105" s="1">
        <v>0.0</v>
      </c>
      <c r="K105" s="1">
        <f t="shared" si="2"/>
        <v>-0.04099119403</v>
      </c>
      <c r="L105" s="1">
        <f t="shared" si="3"/>
        <v>-4.099119403</v>
      </c>
      <c r="M105" s="1">
        <v>-0.81</v>
      </c>
    </row>
    <row r="106" ht="15.75" customHeight="1">
      <c r="A106" s="7">
        <v>44041.0</v>
      </c>
      <c r="B106" s="1">
        <v>300.200012</v>
      </c>
      <c r="C106" s="1">
        <v>306.962006</v>
      </c>
      <c r="D106" s="1">
        <v>297.399994</v>
      </c>
      <c r="E106" s="1">
        <v>299.821991</v>
      </c>
      <c r="F106" s="1">
        <v>299.821991</v>
      </c>
      <c r="G106" s="1">
        <v>4.71345E7</v>
      </c>
      <c r="I106" s="1">
        <f t="shared" si="1"/>
        <v>0.01532007307</v>
      </c>
      <c r="J106" s="1">
        <v>0.0</v>
      </c>
      <c r="K106" s="1">
        <f t="shared" si="2"/>
        <v>0.01532007307</v>
      </c>
      <c r="L106" s="1">
        <f t="shared" si="3"/>
        <v>1.532007307</v>
      </c>
      <c r="M106" s="1">
        <v>1.35</v>
      </c>
    </row>
    <row r="107" ht="15.75" customHeight="1">
      <c r="A107" s="7">
        <v>44042.0</v>
      </c>
      <c r="B107" s="1">
        <v>297.600006</v>
      </c>
      <c r="C107" s="1">
        <v>302.64801</v>
      </c>
      <c r="D107" s="1">
        <v>294.200012</v>
      </c>
      <c r="E107" s="1">
        <v>297.497986</v>
      </c>
      <c r="F107" s="1">
        <v>297.497986</v>
      </c>
      <c r="G107" s="1">
        <v>3.8105E7</v>
      </c>
      <c r="I107" s="1">
        <f t="shared" si="1"/>
        <v>-0.00775128266</v>
      </c>
      <c r="J107" s="1">
        <v>0.0</v>
      </c>
      <c r="K107" s="1">
        <f t="shared" si="2"/>
        <v>-0.00775128266</v>
      </c>
      <c r="L107" s="1">
        <f t="shared" si="3"/>
        <v>-0.775128266</v>
      </c>
      <c r="M107" s="1">
        <v>-0.29</v>
      </c>
    </row>
    <row r="108" ht="15.75" customHeight="1">
      <c r="A108" s="7">
        <v>44043.0</v>
      </c>
      <c r="B108" s="1">
        <v>303.0</v>
      </c>
      <c r="C108" s="1">
        <v>303.410004</v>
      </c>
      <c r="D108" s="1">
        <v>284.196014</v>
      </c>
      <c r="E108" s="1">
        <v>286.152008</v>
      </c>
      <c r="F108" s="1">
        <v>286.152008</v>
      </c>
      <c r="G108" s="1">
        <v>6.1041E7</v>
      </c>
      <c r="I108" s="1">
        <f t="shared" si="1"/>
        <v>-0.03813799936</v>
      </c>
      <c r="J108" s="1">
        <v>0.0</v>
      </c>
      <c r="K108" s="1">
        <f t="shared" si="2"/>
        <v>-0.03813799936</v>
      </c>
      <c r="L108" s="1">
        <f t="shared" si="3"/>
        <v>-3.813799936</v>
      </c>
      <c r="M108" s="1">
        <v>0.61</v>
      </c>
    </row>
    <row r="109" ht="15.75" customHeight="1">
      <c r="A109" s="7">
        <v>44046.0</v>
      </c>
      <c r="B109" s="1">
        <v>289.839996</v>
      </c>
      <c r="C109" s="1">
        <v>301.962006</v>
      </c>
      <c r="D109" s="1">
        <v>288.876007</v>
      </c>
      <c r="E109" s="1">
        <v>297.0</v>
      </c>
      <c r="F109" s="1">
        <v>297.0</v>
      </c>
      <c r="G109" s="1">
        <v>4.40465E7</v>
      </c>
      <c r="I109" s="1">
        <f t="shared" si="1"/>
        <v>0.03790989298</v>
      </c>
      <c r="J109" s="1">
        <v>0.0</v>
      </c>
      <c r="K109" s="1">
        <f t="shared" si="2"/>
        <v>0.03790989298</v>
      </c>
      <c r="L109" s="1">
        <f t="shared" si="3"/>
        <v>3.790989298</v>
      </c>
      <c r="M109" s="1">
        <v>0.98</v>
      </c>
    </row>
    <row r="110" ht="15.75" customHeight="1">
      <c r="A110" s="7">
        <v>44047.0</v>
      </c>
      <c r="B110" s="1">
        <v>299.002014</v>
      </c>
      <c r="C110" s="1">
        <v>305.481995</v>
      </c>
      <c r="D110" s="1">
        <v>292.399994</v>
      </c>
      <c r="E110" s="1">
        <v>297.399994</v>
      </c>
      <c r="F110" s="1">
        <v>297.399994</v>
      </c>
      <c r="G110" s="1">
        <v>4.2075E7</v>
      </c>
      <c r="I110" s="1">
        <f t="shared" si="1"/>
        <v>0.001346781145</v>
      </c>
      <c r="J110" s="1">
        <v>0.0</v>
      </c>
      <c r="K110" s="1">
        <f t="shared" si="2"/>
        <v>0.001346781145</v>
      </c>
      <c r="L110" s="1">
        <f t="shared" si="3"/>
        <v>0.1346781145</v>
      </c>
      <c r="M110" s="1">
        <v>0.37</v>
      </c>
    </row>
    <row r="111" ht="15.75" customHeight="1">
      <c r="A111" s="7">
        <v>44048.0</v>
      </c>
      <c r="B111" s="1">
        <v>298.597992</v>
      </c>
      <c r="C111" s="1">
        <v>299.967987</v>
      </c>
      <c r="D111" s="1">
        <v>293.661987</v>
      </c>
      <c r="E111" s="1">
        <v>297.003998</v>
      </c>
      <c r="F111" s="1">
        <v>297.003998</v>
      </c>
      <c r="G111" s="1">
        <v>2.4739E7</v>
      </c>
      <c r="I111" s="1">
        <f t="shared" si="1"/>
        <v>-0.00133152659</v>
      </c>
      <c r="J111" s="1">
        <v>0.0</v>
      </c>
      <c r="K111" s="1">
        <f t="shared" si="2"/>
        <v>-0.00133152659</v>
      </c>
      <c r="L111" s="1">
        <f t="shared" si="3"/>
        <v>-0.133152659</v>
      </c>
      <c r="M111" s="1">
        <v>0.78</v>
      </c>
    </row>
    <row r="112" ht="15.75" customHeight="1">
      <c r="A112" s="7">
        <v>44049.0</v>
      </c>
      <c r="B112" s="1">
        <v>298.165985</v>
      </c>
      <c r="C112" s="1">
        <v>303.462006</v>
      </c>
      <c r="D112" s="1">
        <v>295.451996</v>
      </c>
      <c r="E112" s="1">
        <v>297.915985</v>
      </c>
      <c r="F112" s="1">
        <v>297.915985</v>
      </c>
      <c r="G112" s="1">
        <v>2.99615E7</v>
      </c>
      <c r="I112" s="1">
        <f t="shared" si="1"/>
        <v>0.003070621965</v>
      </c>
      <c r="J112" s="1">
        <v>0.0</v>
      </c>
      <c r="K112" s="1">
        <f t="shared" si="2"/>
        <v>0.003070621965</v>
      </c>
      <c r="L112" s="1">
        <f t="shared" si="3"/>
        <v>0.3070621965</v>
      </c>
      <c r="M112" s="1">
        <v>0.53</v>
      </c>
    </row>
    <row r="113" ht="15.75" customHeight="1">
      <c r="A113" s="7">
        <v>44050.0</v>
      </c>
      <c r="B113" s="1">
        <v>299.90799</v>
      </c>
      <c r="C113" s="1">
        <v>299.950012</v>
      </c>
      <c r="D113" s="1">
        <v>283.002014</v>
      </c>
      <c r="E113" s="1">
        <v>290.541992</v>
      </c>
      <c r="F113" s="1">
        <v>290.541992</v>
      </c>
      <c r="G113" s="1">
        <v>4.4482E7</v>
      </c>
      <c r="I113" s="1">
        <f t="shared" si="1"/>
        <v>-0.02475192125</v>
      </c>
      <c r="J113" s="1">
        <v>0.0</v>
      </c>
      <c r="K113" s="1">
        <f t="shared" si="2"/>
        <v>-0.02475192125</v>
      </c>
      <c r="L113" s="1">
        <f t="shared" si="3"/>
        <v>-2.475192125</v>
      </c>
      <c r="M113" s="1">
        <v>0.02</v>
      </c>
    </row>
    <row r="114" ht="15.75" customHeight="1">
      <c r="A114" s="7">
        <v>44053.0</v>
      </c>
      <c r="B114" s="1">
        <v>289.600006</v>
      </c>
      <c r="C114" s="1">
        <v>291.5</v>
      </c>
      <c r="D114" s="1">
        <v>277.167999</v>
      </c>
      <c r="E114" s="1">
        <v>283.713989</v>
      </c>
      <c r="F114" s="1">
        <v>283.713989</v>
      </c>
      <c r="G114" s="1">
        <v>3.76115E7</v>
      </c>
      <c r="I114" s="1">
        <f t="shared" si="1"/>
        <v>-0.02350091618</v>
      </c>
      <c r="J114" s="1">
        <v>0.0</v>
      </c>
      <c r="K114" s="1">
        <f t="shared" si="2"/>
        <v>-0.02350091618</v>
      </c>
      <c r="L114" s="1">
        <f t="shared" si="3"/>
        <v>-2.350091618</v>
      </c>
      <c r="M114" s="1">
        <v>0.24</v>
      </c>
    </row>
    <row r="115" ht="15.75" customHeight="1">
      <c r="A115" s="7">
        <v>44054.0</v>
      </c>
      <c r="B115" s="1">
        <v>279.200012</v>
      </c>
      <c r="C115" s="1">
        <v>284.0</v>
      </c>
      <c r="D115" s="1">
        <v>273.0</v>
      </c>
      <c r="E115" s="1">
        <v>274.877991</v>
      </c>
      <c r="F115" s="1">
        <v>274.877991</v>
      </c>
      <c r="G115" s="1">
        <v>4.3129E7</v>
      </c>
      <c r="I115" s="1">
        <f t="shared" si="1"/>
        <v>-0.03114403358</v>
      </c>
      <c r="J115" s="1">
        <v>0.0</v>
      </c>
      <c r="K115" s="1">
        <f t="shared" si="2"/>
        <v>-0.03114403358</v>
      </c>
      <c r="L115" s="1">
        <f t="shared" si="3"/>
        <v>-3.114403358</v>
      </c>
      <c r="M115" s="1">
        <v>-0.83</v>
      </c>
    </row>
    <row r="116" ht="15.75" customHeight="1">
      <c r="A116" s="7">
        <v>44055.0</v>
      </c>
      <c r="B116" s="1">
        <v>294.0</v>
      </c>
      <c r="C116" s="1">
        <v>317.0</v>
      </c>
      <c r="D116" s="1">
        <v>287.0</v>
      </c>
      <c r="E116" s="1">
        <v>310.951996</v>
      </c>
      <c r="F116" s="1">
        <v>310.951996</v>
      </c>
      <c r="G116" s="1">
        <v>1.09147E8</v>
      </c>
      <c r="I116" s="1">
        <f t="shared" si="1"/>
        <v>0.1312364255</v>
      </c>
      <c r="J116" s="1">
        <v>0.0</v>
      </c>
      <c r="K116" s="1">
        <f t="shared" si="2"/>
        <v>0.1312364255</v>
      </c>
      <c r="L116" s="1">
        <f t="shared" si="3"/>
        <v>13.12364255</v>
      </c>
      <c r="M116" s="1">
        <v>1.4</v>
      </c>
    </row>
    <row r="117" ht="15.75" customHeight="1">
      <c r="A117" s="7">
        <v>44056.0</v>
      </c>
      <c r="B117" s="1">
        <v>322.200012</v>
      </c>
      <c r="C117" s="1">
        <v>330.235992</v>
      </c>
      <c r="D117" s="1">
        <v>313.451996</v>
      </c>
      <c r="E117" s="1">
        <v>324.200012</v>
      </c>
      <c r="F117" s="1">
        <v>324.200012</v>
      </c>
      <c r="G117" s="1">
        <v>1.021265E8</v>
      </c>
      <c r="I117" s="1">
        <f t="shared" si="1"/>
        <v>0.04260469838</v>
      </c>
      <c r="J117" s="1">
        <v>0.0</v>
      </c>
      <c r="K117" s="1">
        <f t="shared" si="2"/>
        <v>0.04260469838</v>
      </c>
      <c r="L117" s="1">
        <f t="shared" si="3"/>
        <v>4.260469838</v>
      </c>
      <c r="M117" s="1">
        <v>-0.01</v>
      </c>
    </row>
    <row r="118" ht="15.75" customHeight="1">
      <c r="A118" s="7">
        <v>44057.0</v>
      </c>
      <c r="B118" s="1">
        <v>332.997986</v>
      </c>
      <c r="C118" s="1">
        <v>333.76001</v>
      </c>
      <c r="D118" s="1">
        <v>325.328003</v>
      </c>
      <c r="E118" s="1">
        <v>330.141998</v>
      </c>
      <c r="F118" s="1">
        <v>330.141998</v>
      </c>
      <c r="G118" s="1">
        <v>6.2888E7</v>
      </c>
      <c r="I118" s="1">
        <f t="shared" si="1"/>
        <v>0.01832814861</v>
      </c>
      <c r="J118" s="1">
        <v>0.0</v>
      </c>
      <c r="K118" s="1">
        <f t="shared" si="2"/>
        <v>0.01832814861</v>
      </c>
      <c r="L118" s="1">
        <f t="shared" si="3"/>
        <v>1.832814861</v>
      </c>
      <c r="M118" s="1">
        <v>-0.04</v>
      </c>
    </row>
    <row r="119" ht="15.75" customHeight="1">
      <c r="A119" s="7">
        <v>44060.0</v>
      </c>
      <c r="B119" s="1">
        <v>335.399994</v>
      </c>
      <c r="C119" s="1">
        <v>369.171997</v>
      </c>
      <c r="D119" s="1">
        <v>334.56601</v>
      </c>
      <c r="E119" s="1">
        <v>367.127991</v>
      </c>
      <c r="F119" s="1">
        <v>367.127991</v>
      </c>
      <c r="G119" s="1">
        <v>1.012115E8</v>
      </c>
      <c r="I119" s="1">
        <f t="shared" si="1"/>
        <v>0.1120305603</v>
      </c>
      <c r="J119" s="1">
        <v>0.0</v>
      </c>
      <c r="K119" s="1">
        <f t="shared" si="2"/>
        <v>0.1120305603</v>
      </c>
      <c r="L119" s="1">
        <f t="shared" si="3"/>
        <v>11.20305603</v>
      </c>
      <c r="M119" s="1">
        <v>0.45</v>
      </c>
    </row>
    <row r="120" ht="15.75" customHeight="1">
      <c r="A120" s="7">
        <v>44061.0</v>
      </c>
      <c r="B120" s="1">
        <v>379.798004</v>
      </c>
      <c r="C120" s="1">
        <v>384.779999</v>
      </c>
      <c r="D120" s="1">
        <v>369.022003</v>
      </c>
      <c r="E120" s="1">
        <v>377.417999</v>
      </c>
      <c r="F120" s="1">
        <v>377.417999</v>
      </c>
      <c r="G120" s="1">
        <v>8.23725E7</v>
      </c>
      <c r="I120" s="1">
        <f t="shared" si="1"/>
        <v>0.02802839405</v>
      </c>
      <c r="J120" s="1">
        <v>0.0</v>
      </c>
      <c r="K120" s="1">
        <f t="shared" si="2"/>
        <v>0.02802839405</v>
      </c>
      <c r="L120" s="1">
        <f t="shared" si="3"/>
        <v>2.802839405</v>
      </c>
      <c r="M120" s="1">
        <v>0.22</v>
      </c>
    </row>
    <row r="121" ht="15.75" customHeight="1">
      <c r="A121" s="7">
        <v>44062.0</v>
      </c>
      <c r="B121" s="1">
        <v>373.0</v>
      </c>
      <c r="C121" s="1">
        <v>382.200012</v>
      </c>
      <c r="D121" s="1">
        <v>368.242004</v>
      </c>
      <c r="E121" s="1">
        <v>375.705994</v>
      </c>
      <c r="F121" s="1">
        <v>375.705994</v>
      </c>
      <c r="G121" s="1">
        <v>6.10265E7</v>
      </c>
      <c r="I121" s="1">
        <f t="shared" si="1"/>
        <v>-0.004536097919</v>
      </c>
      <c r="J121" s="1">
        <v>0.0</v>
      </c>
      <c r="K121" s="1">
        <f t="shared" si="2"/>
        <v>-0.004536097919</v>
      </c>
      <c r="L121" s="1">
        <f t="shared" si="3"/>
        <v>-0.4536097919</v>
      </c>
      <c r="M121" s="1">
        <v>-0.38</v>
      </c>
    </row>
    <row r="122" ht="15.75" customHeight="1">
      <c r="A122" s="7">
        <v>44063.0</v>
      </c>
      <c r="B122" s="1">
        <v>372.135986</v>
      </c>
      <c r="C122" s="1">
        <v>404.39801</v>
      </c>
      <c r="D122" s="1">
        <v>371.411987</v>
      </c>
      <c r="E122" s="1">
        <v>400.365997</v>
      </c>
      <c r="F122" s="1">
        <v>400.365997</v>
      </c>
      <c r="G122" s="1">
        <v>1.03059E8</v>
      </c>
      <c r="I122" s="1">
        <f t="shared" si="1"/>
        <v>0.06563643752</v>
      </c>
      <c r="J122" s="1">
        <v>0.0</v>
      </c>
      <c r="K122" s="1">
        <f t="shared" si="2"/>
        <v>0.06563643752</v>
      </c>
      <c r="L122" s="1">
        <f t="shared" si="3"/>
        <v>6.563643752</v>
      </c>
      <c r="M122" s="1">
        <v>0.31</v>
      </c>
    </row>
    <row r="123" ht="15.75" customHeight="1">
      <c r="A123" s="7">
        <v>44064.0</v>
      </c>
      <c r="B123" s="1">
        <v>408.951996</v>
      </c>
      <c r="C123" s="1">
        <v>419.097992</v>
      </c>
      <c r="D123" s="1">
        <v>405.01001</v>
      </c>
      <c r="E123" s="1">
        <v>409.996002</v>
      </c>
      <c r="F123" s="1">
        <v>409.996002</v>
      </c>
      <c r="G123" s="1">
        <v>1.07448E8</v>
      </c>
      <c r="I123" s="1">
        <f t="shared" si="1"/>
        <v>0.02405300418</v>
      </c>
      <c r="J123" s="1">
        <v>0.0</v>
      </c>
      <c r="K123" s="1">
        <f t="shared" si="2"/>
        <v>0.02405300418</v>
      </c>
      <c r="L123" s="1">
        <f t="shared" si="3"/>
        <v>2.405300418</v>
      </c>
      <c r="M123" s="1">
        <v>0.25</v>
      </c>
    </row>
    <row r="124" ht="15.75" customHeight="1">
      <c r="A124" s="7">
        <v>44067.0</v>
      </c>
      <c r="B124" s="1">
        <v>425.256012</v>
      </c>
      <c r="C124" s="1">
        <v>425.799988</v>
      </c>
      <c r="D124" s="1">
        <v>385.503998</v>
      </c>
      <c r="E124" s="1">
        <v>402.839996</v>
      </c>
      <c r="F124" s="1">
        <v>402.839996</v>
      </c>
      <c r="G124" s="1">
        <v>1.00318E8</v>
      </c>
      <c r="I124" s="1">
        <f t="shared" si="1"/>
        <v>-0.01745384337</v>
      </c>
      <c r="J124" s="1">
        <v>0.0</v>
      </c>
      <c r="K124" s="1">
        <f t="shared" si="2"/>
        <v>-0.01745384337</v>
      </c>
      <c r="L124" s="1">
        <f t="shared" si="3"/>
        <v>-1.745384337</v>
      </c>
      <c r="M124" s="1">
        <v>0.92</v>
      </c>
    </row>
    <row r="125" ht="15.75" customHeight="1">
      <c r="A125" s="7">
        <v>44068.0</v>
      </c>
      <c r="B125" s="1">
        <v>394.977997</v>
      </c>
      <c r="C125" s="1">
        <v>405.589996</v>
      </c>
      <c r="D125" s="1">
        <v>393.600006</v>
      </c>
      <c r="E125" s="1">
        <v>404.667999</v>
      </c>
      <c r="F125" s="1">
        <v>404.667999</v>
      </c>
      <c r="G125" s="1">
        <v>5.32945E7</v>
      </c>
      <c r="I125" s="1">
        <f t="shared" si="1"/>
        <v>0.004537789242</v>
      </c>
      <c r="J125" s="1">
        <v>0.0</v>
      </c>
      <c r="K125" s="1">
        <f t="shared" si="2"/>
        <v>0.004537789242</v>
      </c>
      <c r="L125" s="1">
        <f t="shared" si="3"/>
        <v>0.4537789242</v>
      </c>
      <c r="M125" s="1">
        <v>0.36</v>
      </c>
    </row>
    <row r="126" ht="15.75" customHeight="1">
      <c r="A126" s="7">
        <v>44069.0</v>
      </c>
      <c r="B126" s="1">
        <v>412.0</v>
      </c>
      <c r="C126" s="1">
        <v>433.200012</v>
      </c>
      <c r="D126" s="1">
        <v>410.726013</v>
      </c>
      <c r="E126" s="1">
        <v>430.634003</v>
      </c>
      <c r="F126" s="1">
        <v>430.634003</v>
      </c>
      <c r="G126" s="1">
        <v>7.1197E7</v>
      </c>
      <c r="I126" s="1">
        <f t="shared" si="1"/>
        <v>0.06416619071</v>
      </c>
      <c r="J126" s="1">
        <v>0.0</v>
      </c>
      <c r="K126" s="1">
        <f t="shared" si="2"/>
        <v>0.06416619071</v>
      </c>
      <c r="L126" s="1">
        <f t="shared" si="3"/>
        <v>6.416619071</v>
      </c>
      <c r="M126" s="1">
        <v>1.0</v>
      </c>
    </row>
    <row r="127" ht="15.75" customHeight="1">
      <c r="A127" s="7">
        <v>44070.0</v>
      </c>
      <c r="B127" s="1">
        <v>436.09201</v>
      </c>
      <c r="C127" s="1">
        <v>459.119995</v>
      </c>
      <c r="D127" s="1">
        <v>428.5</v>
      </c>
      <c r="E127" s="1">
        <v>447.75</v>
      </c>
      <c r="F127" s="1">
        <v>447.75</v>
      </c>
      <c r="G127" s="1">
        <v>1.18465E8</v>
      </c>
      <c r="I127" s="1">
        <f t="shared" si="1"/>
        <v>0.03974604161</v>
      </c>
      <c r="J127" s="1">
        <v>0.0</v>
      </c>
      <c r="K127" s="1">
        <f t="shared" si="2"/>
        <v>0.03974604161</v>
      </c>
      <c r="L127" s="1">
        <f t="shared" si="3"/>
        <v>3.974604161</v>
      </c>
      <c r="M127" s="1">
        <v>0.18</v>
      </c>
    </row>
    <row r="128" ht="15.75" customHeight="1">
      <c r="A128" s="7">
        <v>44071.0</v>
      </c>
      <c r="B128" s="1">
        <v>459.023987</v>
      </c>
      <c r="C128" s="1">
        <v>463.697998</v>
      </c>
      <c r="D128" s="1">
        <v>437.303986</v>
      </c>
      <c r="E128" s="1">
        <v>442.679993</v>
      </c>
      <c r="F128" s="1">
        <v>442.679993</v>
      </c>
      <c r="G128" s="1">
        <v>1.00406E8</v>
      </c>
      <c r="I128" s="1">
        <f t="shared" si="1"/>
        <v>-0.01132329872</v>
      </c>
      <c r="J128" s="1">
        <v>0.0</v>
      </c>
      <c r="K128" s="1">
        <f t="shared" si="2"/>
        <v>-0.01132329872</v>
      </c>
      <c r="L128" s="1">
        <f t="shared" si="3"/>
        <v>-1.132329872</v>
      </c>
      <c r="M128" s="1">
        <v>0.7</v>
      </c>
    </row>
    <row r="129" ht="15.75" customHeight="1">
      <c r="A129" s="7">
        <v>44074.0</v>
      </c>
      <c r="B129" s="1">
        <v>444.609985</v>
      </c>
      <c r="C129" s="1">
        <v>500.140015</v>
      </c>
      <c r="D129" s="1">
        <v>440.109985</v>
      </c>
      <c r="E129" s="1">
        <v>498.320007</v>
      </c>
      <c r="F129" s="1">
        <v>498.320007</v>
      </c>
      <c r="G129" s="1">
        <v>1.183744E8</v>
      </c>
      <c r="I129" s="1">
        <f t="shared" si="1"/>
        <v>0.1256890189</v>
      </c>
      <c r="J129" s="1">
        <v>0.0</v>
      </c>
      <c r="K129" s="1">
        <f t="shared" si="2"/>
        <v>0.1256890189</v>
      </c>
      <c r="L129" s="1">
        <f t="shared" si="3"/>
        <v>12.56890189</v>
      </c>
      <c r="M129" s="1">
        <v>-0.04</v>
      </c>
    </row>
    <row r="130" ht="15.75" customHeight="1">
      <c r="A130" s="7">
        <v>44075.0</v>
      </c>
      <c r="B130" s="1">
        <v>502.140015</v>
      </c>
      <c r="C130" s="1">
        <v>502.48999</v>
      </c>
      <c r="D130" s="1">
        <v>470.51001</v>
      </c>
      <c r="E130" s="1">
        <v>475.049988</v>
      </c>
      <c r="F130" s="1">
        <v>475.049988</v>
      </c>
      <c r="G130" s="1">
        <v>8.98411E7</v>
      </c>
      <c r="I130" s="1">
        <f t="shared" si="1"/>
        <v>-0.04669693906</v>
      </c>
      <c r="J130" s="1">
        <v>0.0</v>
      </c>
      <c r="K130" s="1">
        <f t="shared" si="2"/>
        <v>-0.04669693906</v>
      </c>
      <c r="L130" s="1">
        <f t="shared" si="3"/>
        <v>-4.669693906</v>
      </c>
      <c r="M130" s="1">
        <v>0.92</v>
      </c>
    </row>
    <row r="131" ht="15.75" customHeight="1">
      <c r="A131" s="7">
        <v>44076.0</v>
      </c>
      <c r="B131" s="1">
        <v>478.98999</v>
      </c>
      <c r="C131" s="1">
        <v>479.040009</v>
      </c>
      <c r="D131" s="1">
        <v>405.119995</v>
      </c>
      <c r="E131" s="1">
        <v>447.369995</v>
      </c>
      <c r="F131" s="1">
        <v>447.369995</v>
      </c>
      <c r="G131" s="1">
        <v>9.61761E7</v>
      </c>
      <c r="I131" s="1">
        <f t="shared" si="1"/>
        <v>-0.05826753752</v>
      </c>
      <c r="J131" s="1">
        <v>0.0</v>
      </c>
      <c r="K131" s="1">
        <f t="shared" si="2"/>
        <v>-0.05826753752</v>
      </c>
      <c r="L131" s="1">
        <f t="shared" si="3"/>
        <v>-5.826753752</v>
      </c>
      <c r="M131" s="1">
        <v>1.27</v>
      </c>
    </row>
    <row r="132" ht="15.75" customHeight="1">
      <c r="A132" s="7">
        <v>44077.0</v>
      </c>
      <c r="B132" s="1">
        <v>407.230011</v>
      </c>
      <c r="C132" s="1">
        <v>431.799988</v>
      </c>
      <c r="D132" s="1">
        <v>402.0</v>
      </c>
      <c r="E132" s="1">
        <v>407.0</v>
      </c>
      <c r="F132" s="1">
        <v>407.0</v>
      </c>
      <c r="G132" s="1">
        <v>8.75961E7</v>
      </c>
      <c r="I132" s="1">
        <f t="shared" si="1"/>
        <v>-0.09023849487</v>
      </c>
      <c r="J132" s="1">
        <v>0.0</v>
      </c>
      <c r="K132" s="1">
        <f t="shared" si="2"/>
        <v>-0.09023849487</v>
      </c>
      <c r="L132" s="1">
        <f t="shared" si="3"/>
        <v>-9.023849487</v>
      </c>
      <c r="M132" s="1">
        <v>-3.7</v>
      </c>
    </row>
    <row r="133" ht="15.75" customHeight="1">
      <c r="A133" s="7">
        <v>44078.0</v>
      </c>
      <c r="B133" s="1">
        <v>402.809998</v>
      </c>
      <c r="C133" s="1">
        <v>428.0</v>
      </c>
      <c r="D133" s="1">
        <v>372.019989</v>
      </c>
      <c r="E133" s="1">
        <v>418.320007</v>
      </c>
      <c r="F133" s="1">
        <v>418.320007</v>
      </c>
      <c r="G133" s="1">
        <v>1.103219E8</v>
      </c>
      <c r="I133" s="1">
        <f t="shared" si="1"/>
        <v>0.02781328501</v>
      </c>
      <c r="J133" s="1">
        <v>0.0</v>
      </c>
      <c r="K133" s="1">
        <f t="shared" si="2"/>
        <v>0.02781328501</v>
      </c>
      <c r="L133" s="1">
        <f t="shared" si="3"/>
        <v>2.781328501</v>
      </c>
      <c r="M133" s="1">
        <v>-0.87</v>
      </c>
    </row>
    <row r="134" ht="15.75" customHeight="1">
      <c r="A134" s="7">
        <v>44082.0</v>
      </c>
      <c r="B134" s="1">
        <v>356.0</v>
      </c>
      <c r="C134" s="1">
        <v>368.73999</v>
      </c>
      <c r="D134" s="1">
        <v>329.880005</v>
      </c>
      <c r="E134" s="1">
        <v>330.209991</v>
      </c>
      <c r="F134" s="1">
        <v>330.209991</v>
      </c>
      <c r="G134" s="1">
        <v>1.154657E8</v>
      </c>
      <c r="I134" s="1">
        <f t="shared" si="1"/>
        <v>-0.2106282619</v>
      </c>
      <c r="J134" s="1">
        <v>0.0</v>
      </c>
      <c r="K134" s="1">
        <f t="shared" si="2"/>
        <v>-0.2106282619</v>
      </c>
      <c r="L134" s="1">
        <f t="shared" si="3"/>
        <v>-21.06282619</v>
      </c>
      <c r="M134" s="1">
        <v>-2.91</v>
      </c>
    </row>
    <row r="135" ht="15.75" customHeight="1">
      <c r="A135" s="7">
        <v>44083.0</v>
      </c>
      <c r="B135" s="1">
        <v>356.600006</v>
      </c>
      <c r="C135" s="1">
        <v>369.0</v>
      </c>
      <c r="D135" s="1">
        <v>341.51001</v>
      </c>
      <c r="E135" s="1">
        <v>366.279999</v>
      </c>
      <c r="F135" s="1">
        <v>366.279999</v>
      </c>
      <c r="G135" s="1">
        <v>7.94658E7</v>
      </c>
      <c r="I135" s="1">
        <f t="shared" si="1"/>
        <v>0.1092335453</v>
      </c>
      <c r="J135" s="1">
        <v>0.0</v>
      </c>
      <c r="K135" s="1">
        <f t="shared" si="2"/>
        <v>0.1092335453</v>
      </c>
      <c r="L135" s="1">
        <f t="shared" si="3"/>
        <v>10.92335453</v>
      </c>
      <c r="M135" s="1">
        <v>2.07</v>
      </c>
    </row>
    <row r="136" ht="15.75" customHeight="1">
      <c r="A136" s="7">
        <v>44084.0</v>
      </c>
      <c r="B136" s="1">
        <v>386.209991</v>
      </c>
      <c r="C136" s="1">
        <v>398.98999</v>
      </c>
      <c r="D136" s="1">
        <v>360.559998</v>
      </c>
      <c r="E136" s="1">
        <v>371.339996</v>
      </c>
      <c r="F136" s="1">
        <v>371.339996</v>
      </c>
      <c r="G136" s="1">
        <v>8.49306E7</v>
      </c>
      <c r="I136" s="1">
        <f t="shared" si="1"/>
        <v>0.01381455994</v>
      </c>
      <c r="J136" s="1">
        <v>0.0</v>
      </c>
      <c r="K136" s="1">
        <f t="shared" si="2"/>
        <v>0.01381455994</v>
      </c>
      <c r="L136" s="1">
        <f t="shared" si="3"/>
        <v>1.381455994</v>
      </c>
      <c r="M136" s="1">
        <v>-1.64</v>
      </c>
    </row>
    <row r="137" ht="15.75" customHeight="1">
      <c r="A137" s="7">
        <v>44085.0</v>
      </c>
      <c r="B137" s="1">
        <v>381.940002</v>
      </c>
      <c r="C137" s="1">
        <v>382.5</v>
      </c>
      <c r="D137" s="1">
        <v>360.5</v>
      </c>
      <c r="E137" s="1">
        <v>372.720001</v>
      </c>
      <c r="F137" s="1">
        <v>372.720001</v>
      </c>
      <c r="G137" s="1">
        <v>6.07175E7</v>
      </c>
      <c r="I137" s="1">
        <f t="shared" si="1"/>
        <v>0.003716284308</v>
      </c>
      <c r="J137" s="1">
        <v>0.0</v>
      </c>
      <c r="K137" s="1">
        <f t="shared" si="2"/>
        <v>0.003716284308</v>
      </c>
      <c r="L137" s="1">
        <f t="shared" si="3"/>
        <v>0.3716284308</v>
      </c>
      <c r="M137" s="1">
        <v>-0.06</v>
      </c>
    </row>
    <row r="138" ht="15.75" customHeight="1">
      <c r="A138" s="7">
        <v>44088.0</v>
      </c>
      <c r="B138" s="1">
        <v>380.950012</v>
      </c>
      <c r="C138" s="1">
        <v>420.0</v>
      </c>
      <c r="D138" s="1">
        <v>373.299988</v>
      </c>
      <c r="E138" s="1">
        <v>419.619995</v>
      </c>
      <c r="F138" s="1">
        <v>419.619995</v>
      </c>
      <c r="G138" s="1">
        <v>8.30206E7</v>
      </c>
      <c r="I138" s="1">
        <f t="shared" si="1"/>
        <v>0.1258317071</v>
      </c>
      <c r="J138" s="1">
        <v>0.0</v>
      </c>
      <c r="K138" s="1">
        <f t="shared" si="2"/>
        <v>0.1258317071</v>
      </c>
      <c r="L138" s="1">
        <f t="shared" si="3"/>
        <v>12.58317071</v>
      </c>
      <c r="M138" s="1">
        <v>1.59</v>
      </c>
    </row>
    <row r="139" ht="15.75" customHeight="1">
      <c r="A139" s="7">
        <v>44089.0</v>
      </c>
      <c r="B139" s="1">
        <v>436.559998</v>
      </c>
      <c r="C139" s="1">
        <v>461.940002</v>
      </c>
      <c r="D139" s="1">
        <v>430.700012</v>
      </c>
      <c r="E139" s="1">
        <v>449.76001</v>
      </c>
      <c r="F139" s="1">
        <v>449.76001</v>
      </c>
      <c r="G139" s="1">
        <v>9.72982E7</v>
      </c>
      <c r="I139" s="1">
        <f t="shared" si="1"/>
        <v>0.0718269276</v>
      </c>
      <c r="J139" s="1">
        <v>0.0</v>
      </c>
      <c r="K139" s="1">
        <f t="shared" si="2"/>
        <v>0.0718269276</v>
      </c>
      <c r="L139" s="1">
        <f t="shared" si="3"/>
        <v>7.18269276</v>
      </c>
      <c r="M139" s="1">
        <v>0.57</v>
      </c>
    </row>
    <row r="140" ht="15.75" customHeight="1">
      <c r="A140" s="7">
        <v>44090.0</v>
      </c>
      <c r="B140" s="1">
        <v>439.869995</v>
      </c>
      <c r="C140" s="1">
        <v>457.790009</v>
      </c>
      <c r="D140" s="1">
        <v>435.309998</v>
      </c>
      <c r="E140" s="1">
        <v>441.76001</v>
      </c>
      <c r="F140" s="1">
        <v>441.76001</v>
      </c>
      <c r="G140" s="1">
        <v>7.22793E7</v>
      </c>
      <c r="I140" s="1">
        <f t="shared" si="1"/>
        <v>-0.01778726392</v>
      </c>
      <c r="J140" s="1">
        <v>0.0</v>
      </c>
      <c r="K140" s="1">
        <f t="shared" si="2"/>
        <v>-0.01778726392</v>
      </c>
      <c r="L140" s="1">
        <f t="shared" si="3"/>
        <v>-1.778726392</v>
      </c>
      <c r="M140" s="1">
        <v>-0.39</v>
      </c>
    </row>
    <row r="141" ht="15.75" customHeight="1">
      <c r="A141" s="7">
        <v>44091.0</v>
      </c>
      <c r="B141" s="1">
        <v>415.600006</v>
      </c>
      <c r="C141" s="1">
        <v>437.790009</v>
      </c>
      <c r="D141" s="1">
        <v>408.0</v>
      </c>
      <c r="E141" s="1">
        <v>423.429993</v>
      </c>
      <c r="F141" s="1">
        <v>423.429993</v>
      </c>
      <c r="G141" s="1">
        <v>7.67792E7</v>
      </c>
      <c r="I141" s="1">
        <f t="shared" si="1"/>
        <v>-0.04149315598</v>
      </c>
      <c r="J141" s="1">
        <v>0.0</v>
      </c>
      <c r="K141" s="1">
        <f t="shared" si="2"/>
        <v>-0.04149315598</v>
      </c>
      <c r="L141" s="1">
        <f t="shared" si="3"/>
        <v>-4.149315598</v>
      </c>
      <c r="M141" s="1">
        <v>-0.85</v>
      </c>
    </row>
    <row r="142" ht="15.75" customHeight="1">
      <c r="A142" s="7">
        <v>44092.0</v>
      </c>
      <c r="B142" s="1">
        <v>447.940002</v>
      </c>
      <c r="C142" s="1">
        <v>451.0</v>
      </c>
      <c r="D142" s="1">
        <v>428.799988</v>
      </c>
      <c r="E142" s="1">
        <v>442.149994</v>
      </c>
      <c r="F142" s="1">
        <v>442.149994</v>
      </c>
      <c r="G142" s="1">
        <v>8.64068E7</v>
      </c>
      <c r="I142" s="1">
        <f t="shared" si="1"/>
        <v>0.04421038025</v>
      </c>
      <c r="J142" s="1">
        <v>0.0</v>
      </c>
      <c r="K142" s="1">
        <f t="shared" si="2"/>
        <v>0.04421038025</v>
      </c>
      <c r="L142" s="1">
        <f t="shared" si="3"/>
        <v>4.421038025</v>
      </c>
      <c r="M142" s="1">
        <v>-0.88</v>
      </c>
    </row>
    <row r="143" ht="15.75" customHeight="1">
      <c r="A143" s="7">
        <v>44095.0</v>
      </c>
      <c r="B143" s="1">
        <v>453.130005</v>
      </c>
      <c r="C143" s="1">
        <v>455.679993</v>
      </c>
      <c r="D143" s="1">
        <v>407.070007</v>
      </c>
      <c r="E143" s="1">
        <v>449.390015</v>
      </c>
      <c r="F143" s="1">
        <v>449.390015</v>
      </c>
      <c r="G143" s="1">
        <v>1.094768E8</v>
      </c>
      <c r="I143" s="1">
        <f t="shared" si="1"/>
        <v>0.01637458125</v>
      </c>
      <c r="J143" s="1">
        <v>0.0</v>
      </c>
      <c r="K143" s="1">
        <f t="shared" si="2"/>
        <v>0.01637458125</v>
      </c>
      <c r="L143" s="1">
        <f t="shared" si="3"/>
        <v>1.637458125</v>
      </c>
      <c r="M143" s="1">
        <v>-1.08</v>
      </c>
    </row>
    <row r="144" ht="15.75" customHeight="1">
      <c r="A144" s="7">
        <v>44096.0</v>
      </c>
      <c r="B144" s="1">
        <v>429.600006</v>
      </c>
      <c r="C144" s="1">
        <v>437.76001</v>
      </c>
      <c r="D144" s="1">
        <v>417.600006</v>
      </c>
      <c r="E144" s="1">
        <v>424.230011</v>
      </c>
      <c r="F144" s="1">
        <v>424.230011</v>
      </c>
      <c r="G144" s="1">
        <v>7.95808E7</v>
      </c>
      <c r="I144" s="1">
        <f t="shared" si="1"/>
        <v>-0.05598701164</v>
      </c>
      <c r="J144" s="1">
        <v>0.0</v>
      </c>
      <c r="K144" s="1">
        <f t="shared" si="2"/>
        <v>-0.05598701164</v>
      </c>
      <c r="L144" s="1">
        <f t="shared" si="3"/>
        <v>-5.598701164</v>
      </c>
      <c r="M144" s="1">
        <v>1.02</v>
      </c>
    </row>
    <row r="145" ht="15.75" customHeight="1">
      <c r="A145" s="7">
        <v>44097.0</v>
      </c>
      <c r="B145" s="1">
        <v>405.160004</v>
      </c>
      <c r="C145" s="1">
        <v>412.149994</v>
      </c>
      <c r="D145" s="1">
        <v>375.880005</v>
      </c>
      <c r="E145" s="1">
        <v>380.359985</v>
      </c>
      <c r="F145" s="1">
        <v>380.359985</v>
      </c>
      <c r="G145" s="1">
        <v>9.50742E7</v>
      </c>
      <c r="I145" s="1">
        <f t="shared" si="1"/>
        <v>-0.1034109442</v>
      </c>
      <c r="J145" s="1">
        <v>0.0</v>
      </c>
      <c r="K145" s="1">
        <f t="shared" si="2"/>
        <v>-0.1034109442</v>
      </c>
      <c r="L145" s="1">
        <f t="shared" si="3"/>
        <v>-10.34109442</v>
      </c>
      <c r="M145" s="1">
        <v>-2.48</v>
      </c>
    </row>
    <row r="146" ht="15.75" customHeight="1">
      <c r="A146" s="7">
        <v>44098.0</v>
      </c>
      <c r="B146" s="1">
        <v>363.799988</v>
      </c>
      <c r="C146" s="1">
        <v>399.5</v>
      </c>
      <c r="D146" s="1">
        <v>351.299988</v>
      </c>
      <c r="E146" s="1">
        <v>387.790009</v>
      </c>
      <c r="F146" s="1">
        <v>387.790009</v>
      </c>
      <c r="G146" s="1">
        <v>9.65611E7</v>
      </c>
      <c r="I146" s="1">
        <f t="shared" si="1"/>
        <v>0.01953418943</v>
      </c>
      <c r="J146" s="1">
        <v>0.0</v>
      </c>
      <c r="K146" s="1">
        <f t="shared" si="2"/>
        <v>0.01953418943</v>
      </c>
      <c r="L146" s="1">
        <f t="shared" si="3"/>
        <v>1.953418943</v>
      </c>
      <c r="M146" s="1">
        <v>0.25</v>
      </c>
    </row>
    <row r="147" ht="15.75" customHeight="1">
      <c r="A147" s="7">
        <v>44099.0</v>
      </c>
      <c r="B147" s="1">
        <v>393.470001</v>
      </c>
      <c r="C147" s="1">
        <v>408.730011</v>
      </c>
      <c r="D147" s="1">
        <v>391.299988</v>
      </c>
      <c r="E147" s="1">
        <v>407.339996</v>
      </c>
      <c r="F147" s="1">
        <v>407.339996</v>
      </c>
      <c r="G147" s="1">
        <v>6.72085E7</v>
      </c>
      <c r="I147" s="1">
        <f t="shared" si="1"/>
        <v>0.05041384911</v>
      </c>
      <c r="J147" s="1">
        <v>0.0</v>
      </c>
      <c r="K147" s="1">
        <f t="shared" si="2"/>
        <v>0.05041384911</v>
      </c>
      <c r="L147" s="1">
        <f t="shared" si="3"/>
        <v>5.041384911</v>
      </c>
      <c r="M147" s="1">
        <v>1.72</v>
      </c>
    </row>
    <row r="148" ht="15.75" customHeight="1">
      <c r="A148" s="7">
        <v>44102.0</v>
      </c>
      <c r="B148" s="1">
        <v>424.619995</v>
      </c>
      <c r="C148" s="1">
        <v>428.079987</v>
      </c>
      <c r="D148" s="1">
        <v>415.549988</v>
      </c>
      <c r="E148" s="1">
        <v>421.200012</v>
      </c>
      <c r="F148" s="1">
        <v>421.200012</v>
      </c>
      <c r="G148" s="1">
        <v>4.97196E7</v>
      </c>
      <c r="I148" s="1">
        <f t="shared" si="1"/>
        <v>0.03402566931</v>
      </c>
      <c r="J148" s="1">
        <v>0.0</v>
      </c>
      <c r="K148" s="1">
        <f t="shared" si="2"/>
        <v>0.03402566931</v>
      </c>
      <c r="L148" s="1">
        <f t="shared" si="3"/>
        <v>3.402566931</v>
      </c>
      <c r="M148" s="1">
        <v>1.66</v>
      </c>
    </row>
    <row r="149" ht="15.75" customHeight="1">
      <c r="A149" s="7">
        <v>44103.0</v>
      </c>
      <c r="B149" s="1">
        <v>416.0</v>
      </c>
      <c r="C149" s="1">
        <v>428.5</v>
      </c>
      <c r="D149" s="1">
        <v>411.600006</v>
      </c>
      <c r="E149" s="1">
        <v>419.070007</v>
      </c>
      <c r="F149" s="1">
        <v>419.070007</v>
      </c>
      <c r="G149" s="1">
        <v>5.02193E7</v>
      </c>
      <c r="I149" s="1">
        <f t="shared" si="1"/>
        <v>-0.005056991784</v>
      </c>
      <c r="J149" s="1">
        <v>0.0</v>
      </c>
      <c r="K149" s="1">
        <f t="shared" si="2"/>
        <v>-0.005056991784</v>
      </c>
      <c r="L149" s="1">
        <f t="shared" si="3"/>
        <v>-0.5056991784</v>
      </c>
      <c r="M149" s="1">
        <v>-0.42</v>
      </c>
    </row>
    <row r="150" ht="15.75" customHeight="1">
      <c r="A150" s="7">
        <v>44104.0</v>
      </c>
      <c r="B150" s="1">
        <v>421.320007</v>
      </c>
      <c r="C150" s="1">
        <v>433.929993</v>
      </c>
      <c r="D150" s="1">
        <v>420.470001</v>
      </c>
      <c r="E150" s="1">
        <v>429.01001</v>
      </c>
      <c r="F150" s="1">
        <v>429.01001</v>
      </c>
      <c r="G150" s="1">
        <v>4.81456E7</v>
      </c>
      <c r="I150" s="1">
        <f t="shared" si="1"/>
        <v>0.02371919449</v>
      </c>
      <c r="J150" s="1">
        <v>0.0</v>
      </c>
      <c r="K150" s="1">
        <f t="shared" si="2"/>
        <v>0.02371919449</v>
      </c>
      <c r="L150" s="1">
        <f t="shared" si="3"/>
        <v>2.371919449</v>
      </c>
      <c r="M150" s="1">
        <v>0.79</v>
      </c>
    </row>
    <row r="151" ht="15.75" customHeight="1">
      <c r="A151" s="7">
        <v>44105.0</v>
      </c>
      <c r="B151" s="1">
        <v>440.76001</v>
      </c>
      <c r="C151" s="1">
        <v>448.880005</v>
      </c>
      <c r="D151" s="1">
        <v>434.420013</v>
      </c>
      <c r="E151" s="1">
        <v>448.160004</v>
      </c>
      <c r="F151" s="1">
        <v>448.160004</v>
      </c>
      <c r="G151" s="1">
        <v>5.07415E7</v>
      </c>
      <c r="I151" s="1">
        <f t="shared" si="1"/>
        <v>0.04463763911</v>
      </c>
      <c r="J151" s="1">
        <v>0.0</v>
      </c>
      <c r="K151" s="1">
        <f t="shared" si="2"/>
        <v>0.04463763911</v>
      </c>
      <c r="L151" s="1">
        <f t="shared" si="3"/>
        <v>4.463763911</v>
      </c>
      <c r="M151" s="1">
        <v>0.79</v>
      </c>
    </row>
    <row r="152" ht="15.75" customHeight="1">
      <c r="A152" s="7">
        <v>44106.0</v>
      </c>
      <c r="B152" s="1">
        <v>421.390015</v>
      </c>
      <c r="C152" s="1">
        <v>439.130005</v>
      </c>
      <c r="D152" s="1">
        <v>415.0</v>
      </c>
      <c r="E152" s="1">
        <v>415.089996</v>
      </c>
      <c r="F152" s="1">
        <v>415.089996</v>
      </c>
      <c r="G152" s="1">
        <v>7.143E7</v>
      </c>
      <c r="I152" s="1">
        <f t="shared" si="1"/>
        <v>-0.07379062769</v>
      </c>
      <c r="J152" s="1">
        <v>0.0</v>
      </c>
      <c r="K152" s="1">
        <f t="shared" si="2"/>
        <v>-0.07379062769</v>
      </c>
      <c r="L152" s="1">
        <f t="shared" si="3"/>
        <v>-7.379062769</v>
      </c>
      <c r="M152" s="1">
        <v>-0.96</v>
      </c>
    </row>
    <row r="153" ht="15.75" customHeight="1">
      <c r="A153" s="7">
        <v>44109.0</v>
      </c>
      <c r="B153" s="1">
        <v>423.350006</v>
      </c>
      <c r="C153" s="1">
        <v>433.640015</v>
      </c>
      <c r="D153" s="1">
        <v>419.329987</v>
      </c>
      <c r="E153" s="1">
        <v>425.679993</v>
      </c>
      <c r="F153" s="1">
        <v>425.679993</v>
      </c>
      <c r="G153" s="1">
        <v>4.47228E7</v>
      </c>
      <c r="I153" s="1">
        <f t="shared" si="1"/>
        <v>0.02551253247</v>
      </c>
      <c r="J153" s="1">
        <v>0.0</v>
      </c>
      <c r="K153" s="1">
        <f t="shared" si="2"/>
        <v>0.02551253247</v>
      </c>
      <c r="L153" s="1">
        <f t="shared" si="3"/>
        <v>2.551253247</v>
      </c>
      <c r="M153" s="1">
        <v>1.93</v>
      </c>
    </row>
    <row r="154" ht="15.75" customHeight="1">
      <c r="A154" s="7">
        <v>44110.0</v>
      </c>
      <c r="B154" s="1">
        <v>423.790009</v>
      </c>
      <c r="C154" s="1">
        <v>428.779999</v>
      </c>
      <c r="D154" s="1">
        <v>406.049988</v>
      </c>
      <c r="E154" s="1">
        <v>413.980011</v>
      </c>
      <c r="F154" s="1">
        <v>413.980011</v>
      </c>
      <c r="G154" s="1">
        <v>4.91463E7</v>
      </c>
      <c r="I154" s="1">
        <f t="shared" si="1"/>
        <v>-0.02748539324</v>
      </c>
      <c r="J154" s="1">
        <v>0.0</v>
      </c>
      <c r="K154" s="1">
        <f t="shared" si="2"/>
        <v>-0.02748539324</v>
      </c>
      <c r="L154" s="1">
        <f t="shared" si="3"/>
        <v>-2.748539324</v>
      </c>
      <c r="M154" s="1">
        <v>-1.28</v>
      </c>
    </row>
    <row r="155" ht="15.75" customHeight="1">
      <c r="A155" s="7">
        <v>44111.0</v>
      </c>
      <c r="B155" s="1">
        <v>419.869995</v>
      </c>
      <c r="C155" s="1">
        <v>429.899994</v>
      </c>
      <c r="D155" s="1">
        <v>413.850006</v>
      </c>
      <c r="E155" s="1">
        <v>425.299988</v>
      </c>
      <c r="F155" s="1">
        <v>425.299988</v>
      </c>
      <c r="G155" s="1">
        <v>4.31277E7</v>
      </c>
      <c r="I155" s="1">
        <f t="shared" si="1"/>
        <v>0.02734425987</v>
      </c>
      <c r="J155" s="1">
        <v>0.0</v>
      </c>
      <c r="K155" s="1">
        <f t="shared" si="2"/>
        <v>0.02734425987</v>
      </c>
      <c r="L155" s="1">
        <f t="shared" si="3"/>
        <v>2.734425987</v>
      </c>
      <c r="M155" s="1">
        <v>1.84</v>
      </c>
    </row>
    <row r="156" ht="15.75" customHeight="1">
      <c r="A156" s="7">
        <v>44112.0</v>
      </c>
      <c r="B156" s="1">
        <v>438.440002</v>
      </c>
      <c r="C156" s="1">
        <v>439.0</v>
      </c>
      <c r="D156" s="1">
        <v>425.299988</v>
      </c>
      <c r="E156" s="1">
        <v>425.920013</v>
      </c>
      <c r="F156" s="1">
        <v>425.920013</v>
      </c>
      <c r="G156" s="1">
        <v>4.04211E7</v>
      </c>
      <c r="I156" s="1">
        <f t="shared" si="1"/>
        <v>0.001457853321</v>
      </c>
      <c r="J156" s="1">
        <v>0.0</v>
      </c>
      <c r="K156" s="1">
        <f t="shared" si="2"/>
        <v>0.001457853321</v>
      </c>
      <c r="L156" s="1">
        <f t="shared" si="3"/>
        <v>0.1457853321</v>
      </c>
      <c r="M156" s="1">
        <v>0.8</v>
      </c>
    </row>
    <row r="157" ht="15.75" customHeight="1">
      <c r="A157" s="7">
        <v>44113.0</v>
      </c>
      <c r="B157" s="1">
        <v>430.130005</v>
      </c>
      <c r="C157" s="1">
        <v>434.589996</v>
      </c>
      <c r="D157" s="1">
        <v>426.459991</v>
      </c>
      <c r="E157" s="1">
        <v>434.0</v>
      </c>
      <c r="F157" s="1">
        <v>434.0</v>
      </c>
      <c r="G157" s="1">
        <v>2.89257E7</v>
      </c>
      <c r="I157" s="1">
        <f t="shared" si="1"/>
        <v>0.01897066762</v>
      </c>
      <c r="J157" s="1">
        <v>0.0</v>
      </c>
      <c r="K157" s="1">
        <f t="shared" si="2"/>
        <v>0.01897066762</v>
      </c>
      <c r="L157" s="1">
        <f t="shared" si="3"/>
        <v>1.897066762</v>
      </c>
      <c r="M157" s="1">
        <v>0.93</v>
      </c>
    </row>
    <row r="158" ht="15.75" customHeight="1">
      <c r="A158" s="7">
        <v>44116.0</v>
      </c>
      <c r="B158" s="1">
        <v>442.0</v>
      </c>
      <c r="C158" s="1">
        <v>448.73999</v>
      </c>
      <c r="D158" s="1">
        <v>438.579987</v>
      </c>
      <c r="E158" s="1">
        <v>442.299988</v>
      </c>
      <c r="F158" s="1">
        <v>442.299988</v>
      </c>
      <c r="G158" s="1">
        <v>3.87911E7</v>
      </c>
      <c r="I158" s="1">
        <f t="shared" si="1"/>
        <v>0.01912439631</v>
      </c>
      <c r="J158" s="1">
        <v>0.0</v>
      </c>
      <c r="K158" s="1">
        <f t="shared" si="2"/>
        <v>0.01912439631</v>
      </c>
      <c r="L158" s="1">
        <f t="shared" si="3"/>
        <v>1.912439631</v>
      </c>
      <c r="M158" s="1">
        <v>1.53</v>
      </c>
    </row>
    <row r="159" ht="15.75" customHeight="1">
      <c r="A159" s="7">
        <v>44117.0</v>
      </c>
      <c r="B159" s="1">
        <v>443.350006</v>
      </c>
      <c r="C159" s="1">
        <v>448.890015</v>
      </c>
      <c r="D159" s="1">
        <v>436.600006</v>
      </c>
      <c r="E159" s="1">
        <v>446.649994</v>
      </c>
      <c r="F159" s="1">
        <v>446.649994</v>
      </c>
      <c r="G159" s="1">
        <v>3.44637E7</v>
      </c>
      <c r="I159" s="1">
        <f t="shared" si="1"/>
        <v>0.009834967484</v>
      </c>
      <c r="J159" s="1">
        <v>0.0</v>
      </c>
      <c r="K159" s="1">
        <f t="shared" si="2"/>
        <v>0.009834967484</v>
      </c>
      <c r="L159" s="1">
        <f t="shared" si="3"/>
        <v>0.9834967484</v>
      </c>
      <c r="M159" s="1">
        <v>-0.41</v>
      </c>
    </row>
    <row r="160" ht="15.75" customHeight="1">
      <c r="A160" s="7">
        <v>44118.0</v>
      </c>
      <c r="B160" s="1">
        <v>449.779999</v>
      </c>
      <c r="C160" s="1">
        <v>465.899994</v>
      </c>
      <c r="D160" s="1">
        <v>447.350006</v>
      </c>
      <c r="E160" s="1">
        <v>461.299988</v>
      </c>
      <c r="F160" s="1">
        <v>461.299988</v>
      </c>
      <c r="G160" s="1">
        <v>4.78797E7</v>
      </c>
      <c r="I160" s="1">
        <f t="shared" si="1"/>
        <v>0.03279971834</v>
      </c>
      <c r="J160" s="1">
        <v>0.0</v>
      </c>
      <c r="K160" s="1">
        <f t="shared" si="2"/>
        <v>0.03279971834</v>
      </c>
      <c r="L160" s="1">
        <f t="shared" si="3"/>
        <v>3.279971834</v>
      </c>
      <c r="M160" s="1">
        <v>-0.65</v>
      </c>
    </row>
    <row r="161" ht="15.75" customHeight="1">
      <c r="A161" s="7">
        <v>44119.0</v>
      </c>
      <c r="B161" s="1">
        <v>450.309998</v>
      </c>
      <c r="C161" s="1">
        <v>456.570007</v>
      </c>
      <c r="D161" s="1">
        <v>442.5</v>
      </c>
      <c r="E161" s="1">
        <v>448.880005</v>
      </c>
      <c r="F161" s="1">
        <v>448.880005</v>
      </c>
      <c r="G161" s="1">
        <v>3.56724E7</v>
      </c>
      <c r="I161" s="1">
        <f t="shared" si="1"/>
        <v>-0.02692387454</v>
      </c>
      <c r="J161" s="1">
        <v>0.0</v>
      </c>
      <c r="K161" s="1">
        <f t="shared" si="2"/>
        <v>-0.02692387454</v>
      </c>
      <c r="L161" s="1">
        <f t="shared" si="3"/>
        <v>-2.692387454</v>
      </c>
      <c r="M161" s="1">
        <v>-0.08</v>
      </c>
    </row>
    <row r="162" ht="15.75" customHeight="1">
      <c r="A162" s="7">
        <v>44120.0</v>
      </c>
      <c r="B162" s="1">
        <v>454.440002</v>
      </c>
      <c r="C162" s="1">
        <v>455.950012</v>
      </c>
      <c r="D162" s="1">
        <v>438.850006</v>
      </c>
      <c r="E162" s="1">
        <v>439.670013</v>
      </c>
      <c r="F162" s="1">
        <v>439.670013</v>
      </c>
      <c r="G162" s="1">
        <v>3.27759E7</v>
      </c>
      <c r="I162" s="1">
        <f t="shared" si="1"/>
        <v>-0.02051771497</v>
      </c>
      <c r="J162" s="1">
        <v>0.0</v>
      </c>
      <c r="K162" s="1">
        <f t="shared" si="2"/>
        <v>-0.02051771497</v>
      </c>
      <c r="L162" s="1">
        <f t="shared" si="3"/>
        <v>-2.051771497</v>
      </c>
      <c r="M162" s="1">
        <v>-0.06</v>
      </c>
    </row>
    <row r="163" ht="15.75" customHeight="1">
      <c r="A163" s="7">
        <v>44123.0</v>
      </c>
      <c r="B163" s="1">
        <v>446.23999</v>
      </c>
      <c r="C163" s="1">
        <v>447.0</v>
      </c>
      <c r="D163" s="1">
        <v>428.869995</v>
      </c>
      <c r="E163" s="1">
        <v>430.829987</v>
      </c>
      <c r="F163" s="1">
        <v>430.829987</v>
      </c>
      <c r="G163" s="1">
        <v>3.62878E7</v>
      </c>
      <c r="I163" s="1">
        <f t="shared" si="1"/>
        <v>-0.02010604712</v>
      </c>
      <c r="J163" s="1">
        <v>0.0</v>
      </c>
      <c r="K163" s="1">
        <f t="shared" si="2"/>
        <v>-0.02010604712</v>
      </c>
      <c r="L163" s="1">
        <f t="shared" si="3"/>
        <v>-2.010604712</v>
      </c>
      <c r="M163" s="1">
        <v>-1.53</v>
      </c>
    </row>
    <row r="164" ht="15.75" customHeight="1">
      <c r="A164" s="7">
        <v>44124.0</v>
      </c>
      <c r="B164" s="1">
        <v>431.75</v>
      </c>
      <c r="C164" s="1">
        <v>431.75</v>
      </c>
      <c r="D164" s="1">
        <v>419.049988</v>
      </c>
      <c r="E164" s="1">
        <v>421.940002</v>
      </c>
      <c r="F164" s="1">
        <v>421.940002</v>
      </c>
      <c r="G164" s="1">
        <v>3.16563E7</v>
      </c>
      <c r="I164" s="1">
        <f t="shared" si="1"/>
        <v>-0.02063455486</v>
      </c>
      <c r="J164" s="1">
        <v>0.0</v>
      </c>
      <c r="K164" s="1">
        <f t="shared" si="2"/>
        <v>-0.02063455486</v>
      </c>
      <c r="L164" s="1">
        <f t="shared" si="3"/>
        <v>-2.063455486</v>
      </c>
      <c r="M164" s="1">
        <v>0.34</v>
      </c>
    </row>
    <row r="165" ht="15.75" customHeight="1">
      <c r="A165" s="7">
        <v>44125.0</v>
      </c>
      <c r="B165" s="1">
        <v>422.700012</v>
      </c>
      <c r="C165" s="1">
        <v>432.950012</v>
      </c>
      <c r="D165" s="1">
        <v>421.25</v>
      </c>
      <c r="E165" s="1">
        <v>422.640015</v>
      </c>
      <c r="F165" s="1">
        <v>422.640015</v>
      </c>
      <c r="G165" s="1">
        <v>3.23705E7</v>
      </c>
      <c r="I165" s="1">
        <f t="shared" si="1"/>
        <v>0.001659034452</v>
      </c>
      <c r="J165" s="1">
        <v>0.0</v>
      </c>
      <c r="K165" s="1">
        <f t="shared" si="2"/>
        <v>0.001659034452</v>
      </c>
      <c r="L165" s="1">
        <f t="shared" si="3"/>
        <v>0.1659034452</v>
      </c>
      <c r="M165" s="1">
        <v>-0.36</v>
      </c>
    </row>
    <row r="166" ht="15.75" customHeight="1">
      <c r="A166" s="7">
        <v>44126.0</v>
      </c>
      <c r="B166" s="1">
        <v>441.920013</v>
      </c>
      <c r="C166" s="1">
        <v>445.230011</v>
      </c>
      <c r="D166" s="1">
        <v>424.51001</v>
      </c>
      <c r="E166" s="1">
        <v>425.790009</v>
      </c>
      <c r="F166" s="1">
        <v>425.790009</v>
      </c>
      <c r="G166" s="1">
        <v>3.99932E7</v>
      </c>
      <c r="I166" s="1">
        <f t="shared" si="1"/>
        <v>0.007453137157</v>
      </c>
      <c r="J166" s="1">
        <v>0.0</v>
      </c>
      <c r="K166" s="1">
        <f t="shared" si="2"/>
        <v>0.007453137157</v>
      </c>
      <c r="L166" s="1">
        <f t="shared" si="3"/>
        <v>0.7453137157</v>
      </c>
      <c r="M166" s="1">
        <v>0.67</v>
      </c>
    </row>
    <row r="167" ht="15.75" customHeight="1">
      <c r="A167" s="7">
        <v>44127.0</v>
      </c>
      <c r="B167" s="1">
        <v>421.839996</v>
      </c>
      <c r="C167" s="1">
        <v>422.890015</v>
      </c>
      <c r="D167" s="1">
        <v>407.380005</v>
      </c>
      <c r="E167" s="1">
        <v>420.630005</v>
      </c>
      <c r="F167" s="1">
        <v>420.630005</v>
      </c>
      <c r="G167" s="1">
        <v>3.3717E7</v>
      </c>
      <c r="I167" s="1">
        <f t="shared" si="1"/>
        <v>-0.01211865918</v>
      </c>
      <c r="J167" s="1">
        <v>0.0</v>
      </c>
      <c r="K167" s="1">
        <f t="shared" si="2"/>
        <v>-0.01211865918</v>
      </c>
      <c r="L167" s="1">
        <f t="shared" si="3"/>
        <v>-1.211865918</v>
      </c>
      <c r="M167" s="1">
        <v>0.38</v>
      </c>
    </row>
    <row r="168" ht="15.75" customHeight="1">
      <c r="A168" s="7">
        <v>44130.0</v>
      </c>
      <c r="B168" s="1">
        <v>411.630005</v>
      </c>
      <c r="C168" s="1">
        <v>425.76001</v>
      </c>
      <c r="D168" s="1">
        <v>410.0</v>
      </c>
      <c r="E168" s="1">
        <v>420.279999</v>
      </c>
      <c r="F168" s="1">
        <v>420.279999</v>
      </c>
      <c r="G168" s="1">
        <v>2.82392E7</v>
      </c>
      <c r="I168" s="1">
        <f t="shared" si="1"/>
        <v>-0.00083209946</v>
      </c>
      <c r="J168" s="1">
        <v>0.0</v>
      </c>
      <c r="K168" s="1">
        <f t="shared" si="2"/>
        <v>-0.00083209946</v>
      </c>
      <c r="L168" s="1">
        <f t="shared" si="3"/>
        <v>-0.083209946</v>
      </c>
      <c r="M168" s="1">
        <v>-1.85</v>
      </c>
    </row>
    <row r="169" ht="15.75" customHeight="1">
      <c r="A169" s="7">
        <v>44131.0</v>
      </c>
      <c r="B169" s="1">
        <v>423.76001</v>
      </c>
      <c r="C169" s="1">
        <v>430.5</v>
      </c>
      <c r="D169" s="1">
        <v>420.100006</v>
      </c>
      <c r="E169" s="1">
        <v>424.679993</v>
      </c>
      <c r="F169" s="1">
        <v>424.679993</v>
      </c>
      <c r="G169" s="1">
        <v>2.26865E7</v>
      </c>
      <c r="I169" s="1">
        <f t="shared" si="1"/>
        <v>0.01046919675</v>
      </c>
      <c r="J169" s="1">
        <v>0.0</v>
      </c>
      <c r="K169" s="1">
        <f t="shared" si="2"/>
        <v>0.01046919675</v>
      </c>
      <c r="L169" s="1">
        <f t="shared" si="3"/>
        <v>1.046919675</v>
      </c>
      <c r="M169" s="1">
        <v>-0.23</v>
      </c>
    </row>
    <row r="170" ht="15.75" customHeight="1">
      <c r="A170" s="7">
        <v>44132.0</v>
      </c>
      <c r="B170" s="1">
        <v>416.480011</v>
      </c>
      <c r="C170" s="1">
        <v>418.600006</v>
      </c>
      <c r="D170" s="1">
        <v>406.0</v>
      </c>
      <c r="E170" s="1">
        <v>406.019989</v>
      </c>
      <c r="F170" s="1">
        <v>406.019989</v>
      </c>
      <c r="G170" s="1">
        <v>2.54514E7</v>
      </c>
      <c r="I170" s="1">
        <f t="shared" si="1"/>
        <v>-0.04393897595</v>
      </c>
      <c r="J170" s="1">
        <v>0.0</v>
      </c>
      <c r="K170" s="1">
        <f t="shared" si="2"/>
        <v>-0.04393897595</v>
      </c>
      <c r="L170" s="1">
        <f t="shared" si="3"/>
        <v>-4.393897595</v>
      </c>
      <c r="M170" s="1">
        <v>-3.41</v>
      </c>
    </row>
    <row r="171" ht="15.75" customHeight="1">
      <c r="A171" s="7">
        <v>44133.0</v>
      </c>
      <c r="B171" s="1">
        <v>409.959991</v>
      </c>
      <c r="C171" s="1">
        <v>418.059998</v>
      </c>
      <c r="D171" s="1">
        <v>406.459991</v>
      </c>
      <c r="E171" s="1">
        <v>410.829987</v>
      </c>
      <c r="F171" s="1">
        <v>410.829987</v>
      </c>
      <c r="G171" s="1">
        <v>2.26553E7</v>
      </c>
      <c r="I171" s="1">
        <f t="shared" si="1"/>
        <v>0.01184670245</v>
      </c>
      <c r="J171" s="1">
        <v>0.0</v>
      </c>
      <c r="K171" s="1">
        <f t="shared" si="2"/>
        <v>0.01184670245</v>
      </c>
      <c r="L171" s="1">
        <f t="shared" si="3"/>
        <v>1.184670245</v>
      </c>
      <c r="M171" s="1">
        <v>1.13</v>
      </c>
    </row>
    <row r="172" ht="15.75" customHeight="1">
      <c r="A172" s="7">
        <v>44134.0</v>
      </c>
      <c r="B172" s="1">
        <v>406.899994</v>
      </c>
      <c r="C172" s="1">
        <v>407.589996</v>
      </c>
      <c r="D172" s="1">
        <v>379.109985</v>
      </c>
      <c r="E172" s="1">
        <v>388.040009</v>
      </c>
      <c r="F172" s="1">
        <v>388.040009</v>
      </c>
      <c r="G172" s="1">
        <v>4.25113E7</v>
      </c>
      <c r="I172" s="1">
        <f t="shared" si="1"/>
        <v>-0.05547301492</v>
      </c>
      <c r="J172" s="1">
        <v>0.0</v>
      </c>
      <c r="K172" s="1">
        <f t="shared" si="2"/>
        <v>-0.05547301492</v>
      </c>
      <c r="L172" s="1">
        <f t="shared" si="3"/>
        <v>-5.547301492</v>
      </c>
      <c r="M172" s="1">
        <v>-1.45</v>
      </c>
    </row>
    <row r="173" ht="15.75" customHeight="1">
      <c r="A173" s="7">
        <v>44137.0</v>
      </c>
      <c r="B173" s="1">
        <v>394.0</v>
      </c>
      <c r="C173" s="1">
        <v>406.980011</v>
      </c>
      <c r="D173" s="1">
        <v>392.299988</v>
      </c>
      <c r="E173" s="1">
        <v>400.51001</v>
      </c>
      <c r="F173" s="1">
        <v>400.51001</v>
      </c>
      <c r="G173" s="1">
        <v>2.90211E7</v>
      </c>
      <c r="I173" s="1">
        <f t="shared" si="1"/>
        <v>0.03213586411</v>
      </c>
      <c r="J173" s="1">
        <v>0.0</v>
      </c>
      <c r="K173" s="1">
        <f t="shared" si="2"/>
        <v>0.03213586411</v>
      </c>
      <c r="L173" s="1">
        <f t="shared" si="3"/>
        <v>3.213586411</v>
      </c>
      <c r="M173" s="1">
        <v>1.17</v>
      </c>
    </row>
    <row r="174" ht="15.75" customHeight="1">
      <c r="A174" s="7">
        <v>44138.0</v>
      </c>
      <c r="B174" s="1">
        <v>409.730011</v>
      </c>
      <c r="C174" s="1">
        <v>427.769989</v>
      </c>
      <c r="D174" s="1">
        <v>406.690002</v>
      </c>
      <c r="E174" s="1">
        <v>423.899994</v>
      </c>
      <c r="F174" s="1">
        <v>423.899994</v>
      </c>
      <c r="G174" s="1">
        <v>3.43517E7</v>
      </c>
      <c r="I174" s="1">
        <f t="shared" si="1"/>
        <v>0.05840049791</v>
      </c>
      <c r="J174" s="1">
        <v>0.0</v>
      </c>
      <c r="K174" s="1">
        <f t="shared" si="2"/>
        <v>0.05840049791</v>
      </c>
      <c r="L174" s="1">
        <f t="shared" si="3"/>
        <v>5.840049791</v>
      </c>
      <c r="M174" s="1">
        <v>1.93</v>
      </c>
    </row>
    <row r="175" ht="15.75" customHeight="1">
      <c r="A175" s="7">
        <v>44139.0</v>
      </c>
      <c r="B175" s="1">
        <v>430.619995</v>
      </c>
      <c r="C175" s="1">
        <v>435.399994</v>
      </c>
      <c r="D175" s="1">
        <v>417.100006</v>
      </c>
      <c r="E175" s="1">
        <v>420.980011</v>
      </c>
      <c r="F175" s="1">
        <v>420.980011</v>
      </c>
      <c r="G175" s="1">
        <v>3.21431E7</v>
      </c>
      <c r="I175" s="1">
        <f t="shared" si="1"/>
        <v>-0.006888377073</v>
      </c>
      <c r="J175" s="1">
        <v>0.0</v>
      </c>
      <c r="K175" s="1">
        <f t="shared" si="2"/>
        <v>-0.006888377073</v>
      </c>
      <c r="L175" s="1">
        <f t="shared" si="3"/>
        <v>-0.6888377073</v>
      </c>
      <c r="M175" s="1">
        <v>2.25</v>
      </c>
    </row>
    <row r="176" ht="15.75" customHeight="1">
      <c r="A176" s="7">
        <v>44140.0</v>
      </c>
      <c r="B176" s="1">
        <v>428.299988</v>
      </c>
      <c r="C176" s="1">
        <v>440.0</v>
      </c>
      <c r="D176" s="1">
        <v>424.0</v>
      </c>
      <c r="E176" s="1">
        <v>438.089996</v>
      </c>
      <c r="F176" s="1">
        <v>438.089996</v>
      </c>
      <c r="G176" s="1">
        <v>2.84145E7</v>
      </c>
      <c r="I176" s="1">
        <f t="shared" si="1"/>
        <v>0.04064322427</v>
      </c>
      <c r="J176" s="1">
        <v>0.0</v>
      </c>
      <c r="K176" s="1">
        <f t="shared" si="2"/>
        <v>0.04064322427</v>
      </c>
      <c r="L176" s="1">
        <f t="shared" si="3"/>
        <v>4.064322427</v>
      </c>
      <c r="M176" s="1">
        <v>2.13</v>
      </c>
    </row>
    <row r="177" ht="15.75" customHeight="1">
      <c r="A177" s="7">
        <v>44141.0</v>
      </c>
      <c r="B177" s="1">
        <v>436.100006</v>
      </c>
      <c r="C177" s="1">
        <v>436.570007</v>
      </c>
      <c r="D177" s="1">
        <v>424.279999</v>
      </c>
      <c r="E177" s="1">
        <v>429.950012</v>
      </c>
      <c r="F177" s="1">
        <v>429.950012</v>
      </c>
      <c r="G177" s="1">
        <v>2.1706E7</v>
      </c>
      <c r="I177" s="1">
        <f t="shared" si="1"/>
        <v>-0.01858062059</v>
      </c>
      <c r="J177" s="1">
        <v>0.0</v>
      </c>
      <c r="K177" s="1">
        <f t="shared" si="2"/>
        <v>-0.01858062059</v>
      </c>
      <c r="L177" s="1">
        <f t="shared" si="3"/>
        <v>-1.858062059</v>
      </c>
      <c r="M177" s="1">
        <v>0.01</v>
      </c>
    </row>
    <row r="178" ht="15.75" customHeight="1">
      <c r="A178" s="7">
        <v>44144.0</v>
      </c>
      <c r="B178" s="1">
        <v>439.5</v>
      </c>
      <c r="C178" s="1">
        <v>452.5</v>
      </c>
      <c r="D178" s="1">
        <v>421.0</v>
      </c>
      <c r="E178" s="1">
        <v>421.26001</v>
      </c>
      <c r="F178" s="1">
        <v>421.26001</v>
      </c>
      <c r="G178" s="1">
        <v>3.4833E7</v>
      </c>
      <c r="I178" s="1">
        <f t="shared" si="1"/>
        <v>-0.02021165661</v>
      </c>
      <c r="J178" s="1">
        <v>0.0</v>
      </c>
      <c r="K178" s="1">
        <f t="shared" si="2"/>
        <v>-0.02021165661</v>
      </c>
      <c r="L178" s="1">
        <f t="shared" si="3"/>
        <v>-2.021165661</v>
      </c>
      <c r="M178" s="1">
        <v>0.82</v>
      </c>
    </row>
    <row r="179" ht="15.75" customHeight="1">
      <c r="A179" s="7">
        <v>44145.0</v>
      </c>
      <c r="B179" s="1">
        <v>420.089996</v>
      </c>
      <c r="C179" s="1">
        <v>420.089996</v>
      </c>
      <c r="D179" s="1">
        <v>396.029999</v>
      </c>
      <c r="E179" s="1">
        <v>410.359985</v>
      </c>
      <c r="F179" s="1">
        <v>410.359985</v>
      </c>
      <c r="G179" s="1">
        <v>3.02842E7</v>
      </c>
      <c r="I179" s="1">
        <f t="shared" si="1"/>
        <v>-0.02587481541</v>
      </c>
      <c r="J179" s="1">
        <v>0.0</v>
      </c>
      <c r="K179" s="1">
        <f t="shared" si="2"/>
        <v>-0.02587481541</v>
      </c>
      <c r="L179" s="1">
        <f t="shared" si="3"/>
        <v>-2.587481541</v>
      </c>
      <c r="M179" s="1">
        <v>-0.17</v>
      </c>
    </row>
    <row r="180" ht="15.75" customHeight="1">
      <c r="A180" s="7">
        <v>44146.0</v>
      </c>
      <c r="B180" s="1">
        <v>416.450012</v>
      </c>
      <c r="C180" s="1">
        <v>418.700012</v>
      </c>
      <c r="D180" s="1">
        <v>410.579987</v>
      </c>
      <c r="E180" s="1">
        <v>417.130005</v>
      </c>
      <c r="F180" s="1">
        <v>417.130005</v>
      </c>
      <c r="G180" s="1">
        <v>1.73577E7</v>
      </c>
      <c r="I180" s="1">
        <f t="shared" si="1"/>
        <v>0.01649775867</v>
      </c>
      <c r="J180" s="1">
        <v>0.0</v>
      </c>
      <c r="K180" s="1">
        <f t="shared" si="2"/>
        <v>0.01649775867</v>
      </c>
      <c r="L180" s="1">
        <f t="shared" si="3"/>
        <v>1.649775867</v>
      </c>
      <c r="M180" s="1">
        <v>0.88</v>
      </c>
    </row>
    <row r="181" ht="15.75" customHeight="1">
      <c r="A181" s="7">
        <v>44147.0</v>
      </c>
      <c r="B181" s="1">
        <v>415.049988</v>
      </c>
      <c r="C181" s="1">
        <v>423.0</v>
      </c>
      <c r="D181" s="1">
        <v>409.519989</v>
      </c>
      <c r="E181" s="1">
        <v>411.76001</v>
      </c>
      <c r="F181" s="1">
        <v>411.76001</v>
      </c>
      <c r="G181" s="1">
        <v>1.98551E7</v>
      </c>
      <c r="I181" s="1">
        <f t="shared" si="1"/>
        <v>-0.01287367232</v>
      </c>
      <c r="J181" s="1">
        <v>0.0</v>
      </c>
      <c r="K181" s="1">
        <f t="shared" si="2"/>
        <v>-0.01287367232</v>
      </c>
      <c r="L181" s="1">
        <f t="shared" si="3"/>
        <v>-1.287367232</v>
      </c>
      <c r="M181" s="1">
        <v>-0.94</v>
      </c>
    </row>
    <row r="182" ht="15.75" customHeight="1">
      <c r="A182" s="7">
        <v>44148.0</v>
      </c>
      <c r="B182" s="1">
        <v>410.850006</v>
      </c>
      <c r="C182" s="1">
        <v>412.529999</v>
      </c>
      <c r="D182" s="1">
        <v>401.660004</v>
      </c>
      <c r="E182" s="1">
        <v>408.5</v>
      </c>
      <c r="F182" s="1">
        <v>408.5</v>
      </c>
      <c r="G182" s="1">
        <v>1.97711E7</v>
      </c>
      <c r="I182" s="1">
        <f t="shared" si="1"/>
        <v>-0.007917257434</v>
      </c>
      <c r="J182" s="1">
        <v>0.0</v>
      </c>
      <c r="K182" s="1">
        <f t="shared" si="2"/>
        <v>-0.007917257434</v>
      </c>
      <c r="L182" s="1">
        <f t="shared" si="3"/>
        <v>-0.7917257434</v>
      </c>
      <c r="M182" s="1">
        <v>1.31</v>
      </c>
    </row>
    <row r="183" ht="15.75" customHeight="1">
      <c r="A183" s="7">
        <v>44151.0</v>
      </c>
      <c r="B183" s="1">
        <v>408.929993</v>
      </c>
      <c r="C183" s="1">
        <v>412.450012</v>
      </c>
      <c r="D183" s="1">
        <v>404.089996</v>
      </c>
      <c r="E183" s="1">
        <v>408.089996</v>
      </c>
      <c r="F183" s="1">
        <v>408.089996</v>
      </c>
      <c r="G183" s="1">
        <v>2.68386E7</v>
      </c>
      <c r="I183" s="1">
        <f t="shared" si="1"/>
        <v>-0.001003681763</v>
      </c>
      <c r="J183" s="1">
        <v>0.0</v>
      </c>
      <c r="K183" s="1">
        <f t="shared" si="2"/>
        <v>-0.001003681763</v>
      </c>
      <c r="L183" s="1">
        <f t="shared" si="3"/>
        <v>-0.1003681763</v>
      </c>
      <c r="M183" s="1">
        <v>1.22</v>
      </c>
    </row>
    <row r="184" ht="15.75" customHeight="1">
      <c r="A184" s="7">
        <v>44152.0</v>
      </c>
      <c r="B184" s="1">
        <v>460.170013</v>
      </c>
      <c r="C184" s="1">
        <v>462.0</v>
      </c>
      <c r="D184" s="1">
        <v>433.01001</v>
      </c>
      <c r="E184" s="1">
        <v>441.609985</v>
      </c>
      <c r="F184" s="1">
        <v>441.609985</v>
      </c>
      <c r="G184" s="1">
        <v>6.11883E7</v>
      </c>
      <c r="I184" s="1">
        <f t="shared" si="1"/>
        <v>0.08213871775</v>
      </c>
      <c r="J184" s="1">
        <v>0.0</v>
      </c>
      <c r="K184" s="1">
        <f t="shared" si="2"/>
        <v>0.08213871775</v>
      </c>
      <c r="L184" s="1">
        <f t="shared" si="3"/>
        <v>8.213871775</v>
      </c>
      <c r="M184" s="1">
        <v>-0.19</v>
      </c>
    </row>
    <row r="185" ht="15.75" customHeight="1">
      <c r="A185" s="7">
        <v>44153.0</v>
      </c>
      <c r="B185" s="1">
        <v>448.350006</v>
      </c>
      <c r="C185" s="1">
        <v>496.0</v>
      </c>
      <c r="D185" s="1">
        <v>443.5</v>
      </c>
      <c r="E185" s="1">
        <v>486.640015</v>
      </c>
      <c r="F185" s="1">
        <v>486.640015</v>
      </c>
      <c r="G185" s="1">
        <v>7.8044E7</v>
      </c>
      <c r="I185" s="1">
        <f t="shared" si="1"/>
        <v>0.101967871</v>
      </c>
      <c r="J185" s="1">
        <v>0.0</v>
      </c>
      <c r="K185" s="1">
        <f t="shared" si="2"/>
        <v>0.101967871</v>
      </c>
      <c r="L185" s="1">
        <f t="shared" si="3"/>
        <v>10.1967871</v>
      </c>
      <c r="M185" s="1">
        <v>-0.93</v>
      </c>
    </row>
    <row r="186" ht="15.75" customHeight="1">
      <c r="A186" s="7">
        <v>44154.0</v>
      </c>
      <c r="B186" s="1">
        <v>492.0</v>
      </c>
      <c r="C186" s="1">
        <v>508.609985</v>
      </c>
      <c r="D186" s="1">
        <v>487.570007</v>
      </c>
      <c r="E186" s="1">
        <v>499.269989</v>
      </c>
      <c r="F186" s="1">
        <v>499.269989</v>
      </c>
      <c r="G186" s="1">
        <v>6.24753E7</v>
      </c>
      <c r="I186" s="1">
        <f t="shared" si="1"/>
        <v>0.02595342268</v>
      </c>
      <c r="J186" s="1">
        <v>0.0</v>
      </c>
      <c r="K186" s="1">
        <f t="shared" si="2"/>
        <v>0.02595342268</v>
      </c>
      <c r="L186" s="1">
        <f t="shared" si="3"/>
        <v>2.595342268</v>
      </c>
      <c r="M186" s="1">
        <v>0.59</v>
      </c>
    </row>
    <row r="187" ht="15.75" customHeight="1">
      <c r="A187" s="7">
        <v>44155.0</v>
      </c>
      <c r="B187" s="1">
        <v>497.98999</v>
      </c>
      <c r="C187" s="1">
        <v>502.5</v>
      </c>
      <c r="D187" s="1">
        <v>489.059998</v>
      </c>
      <c r="E187" s="1">
        <v>489.609985</v>
      </c>
      <c r="F187" s="1">
        <v>489.609985</v>
      </c>
      <c r="G187" s="1">
        <v>3.29119E7</v>
      </c>
      <c r="I187" s="1">
        <f t="shared" si="1"/>
        <v>-0.01934825688</v>
      </c>
      <c r="J187" s="1">
        <v>0.0</v>
      </c>
      <c r="K187" s="1">
        <f t="shared" si="2"/>
        <v>-0.01934825688</v>
      </c>
      <c r="L187" s="1">
        <f t="shared" si="3"/>
        <v>-1.934825688</v>
      </c>
      <c r="M187" s="1">
        <v>-0.51</v>
      </c>
    </row>
    <row r="188" ht="15.75" customHeight="1">
      <c r="A188" s="7">
        <v>44158.0</v>
      </c>
      <c r="B188" s="1">
        <v>503.5</v>
      </c>
      <c r="C188" s="1">
        <v>526.0</v>
      </c>
      <c r="D188" s="1">
        <v>501.790009</v>
      </c>
      <c r="E188" s="1">
        <v>521.849976</v>
      </c>
      <c r="F188" s="1">
        <v>521.849976</v>
      </c>
      <c r="G188" s="1">
        <v>5.02603E7</v>
      </c>
      <c r="I188" s="1">
        <f t="shared" si="1"/>
        <v>0.0658483119</v>
      </c>
      <c r="J188" s="1">
        <v>0.0</v>
      </c>
      <c r="K188" s="1">
        <f t="shared" si="2"/>
        <v>0.0658483119</v>
      </c>
      <c r="L188" s="1">
        <f t="shared" si="3"/>
        <v>6.58483119</v>
      </c>
      <c r="M188" s="1">
        <v>0.83</v>
      </c>
    </row>
    <row r="189" ht="15.75" customHeight="1">
      <c r="A189" s="7">
        <v>44159.0</v>
      </c>
      <c r="B189" s="1">
        <v>540.400024</v>
      </c>
      <c r="C189" s="1">
        <v>559.98999</v>
      </c>
      <c r="D189" s="1">
        <v>526.200012</v>
      </c>
      <c r="E189" s="1">
        <v>555.380005</v>
      </c>
      <c r="F189" s="1">
        <v>555.380005</v>
      </c>
      <c r="G189" s="1">
        <v>5.36485E7</v>
      </c>
      <c r="I189" s="1">
        <f t="shared" si="1"/>
        <v>0.06425223827</v>
      </c>
      <c r="J189" s="1">
        <v>0.0</v>
      </c>
      <c r="K189" s="1">
        <f t="shared" si="2"/>
        <v>0.06425223827</v>
      </c>
      <c r="L189" s="1">
        <f t="shared" si="3"/>
        <v>6.425223827</v>
      </c>
      <c r="M189" s="1">
        <v>1.56</v>
      </c>
    </row>
    <row r="190" ht="15.75" customHeight="1">
      <c r="A190" s="7">
        <v>44160.0</v>
      </c>
      <c r="B190" s="1">
        <v>550.059998</v>
      </c>
      <c r="C190" s="1">
        <v>574.0</v>
      </c>
      <c r="D190" s="1">
        <v>545.369995</v>
      </c>
      <c r="E190" s="1">
        <v>574.0</v>
      </c>
      <c r="F190" s="1">
        <v>574.0</v>
      </c>
      <c r="G190" s="1">
        <v>4.89302E7</v>
      </c>
      <c r="I190" s="1">
        <f t="shared" si="1"/>
        <v>0.0335265851</v>
      </c>
      <c r="J190" s="1">
        <v>0.0</v>
      </c>
      <c r="K190" s="1">
        <f t="shared" si="2"/>
        <v>0.0335265851</v>
      </c>
      <c r="L190" s="1">
        <f t="shared" si="3"/>
        <v>3.35265851</v>
      </c>
      <c r="M190" s="1">
        <v>0.03</v>
      </c>
    </row>
    <row r="191" ht="15.75" customHeight="1">
      <c r="A191" s="7">
        <v>44162.0</v>
      </c>
      <c r="B191" s="1">
        <v>581.159973</v>
      </c>
      <c r="C191" s="1">
        <v>598.780029</v>
      </c>
      <c r="D191" s="1">
        <v>578.450012</v>
      </c>
      <c r="E191" s="1">
        <v>585.76001</v>
      </c>
      <c r="F191" s="1">
        <v>585.76001</v>
      </c>
      <c r="G191" s="1">
        <v>3.75611E7</v>
      </c>
      <c r="I191" s="1">
        <f t="shared" si="1"/>
        <v>0.0204878223</v>
      </c>
      <c r="J191" s="1">
        <v>0.0</v>
      </c>
      <c r="K191" s="1">
        <f t="shared" si="2"/>
        <v>0.0204878223</v>
      </c>
      <c r="L191" s="1">
        <f t="shared" si="3"/>
        <v>2.04878223</v>
      </c>
      <c r="M191" s="1">
        <v>0.43</v>
      </c>
    </row>
    <row r="192" ht="15.75" customHeight="1">
      <c r="A192" s="7">
        <v>44165.0</v>
      </c>
      <c r="B192" s="1">
        <v>602.210022</v>
      </c>
      <c r="C192" s="1">
        <v>607.799988</v>
      </c>
      <c r="D192" s="1">
        <v>554.51001</v>
      </c>
      <c r="E192" s="1">
        <v>567.599976</v>
      </c>
      <c r="F192" s="1">
        <v>567.599976</v>
      </c>
      <c r="G192" s="1">
        <v>6.30031E7</v>
      </c>
      <c r="I192" s="1">
        <f t="shared" si="1"/>
        <v>-0.03100251586</v>
      </c>
      <c r="J192" s="1">
        <v>0.0</v>
      </c>
      <c r="K192" s="1">
        <f t="shared" si="2"/>
        <v>-0.03100251586</v>
      </c>
      <c r="L192" s="1">
        <f t="shared" si="3"/>
        <v>-3.100251586</v>
      </c>
      <c r="M192" s="1">
        <v>-0.53</v>
      </c>
    </row>
    <row r="193" ht="15.75" customHeight="1">
      <c r="A193" s="7">
        <v>44166.0</v>
      </c>
      <c r="B193" s="1">
        <v>597.590027</v>
      </c>
      <c r="C193" s="1">
        <v>597.849976</v>
      </c>
      <c r="D193" s="1">
        <v>572.049988</v>
      </c>
      <c r="E193" s="1">
        <v>584.76001</v>
      </c>
      <c r="F193" s="1">
        <v>584.76001</v>
      </c>
      <c r="G193" s="1">
        <v>4.01035E7</v>
      </c>
      <c r="I193" s="1">
        <f t="shared" si="1"/>
        <v>0.03023261932</v>
      </c>
      <c r="J193" s="1">
        <v>0.0</v>
      </c>
      <c r="K193" s="1">
        <f t="shared" si="2"/>
        <v>0.03023261932</v>
      </c>
      <c r="L193" s="1">
        <f t="shared" si="3"/>
        <v>3.023261932</v>
      </c>
      <c r="M193" s="1">
        <v>0.98</v>
      </c>
    </row>
    <row r="194" ht="15.75" customHeight="1">
      <c r="A194" s="7">
        <v>44167.0</v>
      </c>
      <c r="B194" s="1">
        <v>556.440002</v>
      </c>
      <c r="C194" s="1">
        <v>571.539978</v>
      </c>
      <c r="D194" s="1">
        <v>541.210022</v>
      </c>
      <c r="E194" s="1">
        <v>568.820007</v>
      </c>
      <c r="F194" s="1">
        <v>568.820007</v>
      </c>
      <c r="G194" s="1">
        <v>4.77757E7</v>
      </c>
      <c r="I194" s="1">
        <f t="shared" si="1"/>
        <v>-0.02725905111</v>
      </c>
      <c r="J194" s="1">
        <v>0.0</v>
      </c>
      <c r="K194" s="1">
        <f t="shared" si="2"/>
        <v>-0.02725905111</v>
      </c>
      <c r="L194" s="1">
        <f t="shared" si="3"/>
        <v>-2.725905111</v>
      </c>
      <c r="M194" s="1">
        <v>0.11</v>
      </c>
    </row>
    <row r="195" ht="15.75" customHeight="1">
      <c r="A195" s="7">
        <v>44168.0</v>
      </c>
      <c r="B195" s="1">
        <v>590.02002</v>
      </c>
      <c r="C195" s="1">
        <v>598.969971</v>
      </c>
      <c r="D195" s="1">
        <v>582.429993</v>
      </c>
      <c r="E195" s="1">
        <v>593.380005</v>
      </c>
      <c r="F195" s="1">
        <v>593.380005</v>
      </c>
      <c r="G195" s="1">
        <v>4.2552E7</v>
      </c>
      <c r="I195" s="1">
        <f t="shared" si="1"/>
        <v>0.04317709943</v>
      </c>
      <c r="J195" s="1">
        <v>0.0</v>
      </c>
      <c r="K195" s="1">
        <f t="shared" si="2"/>
        <v>0.04317709943</v>
      </c>
      <c r="L195" s="1">
        <f t="shared" si="3"/>
        <v>4.317709943</v>
      </c>
      <c r="M195" s="1">
        <v>0.18</v>
      </c>
    </row>
    <row r="196" ht="15.75" customHeight="1">
      <c r="A196" s="7">
        <v>44169.0</v>
      </c>
      <c r="B196" s="1">
        <v>591.01001</v>
      </c>
      <c r="C196" s="1">
        <v>599.039978</v>
      </c>
      <c r="D196" s="1">
        <v>585.5</v>
      </c>
      <c r="E196" s="1">
        <v>599.039978</v>
      </c>
      <c r="F196" s="1">
        <v>599.039978</v>
      </c>
      <c r="G196" s="1">
        <v>2.94013E7</v>
      </c>
      <c r="I196" s="1">
        <f t="shared" si="1"/>
        <v>0.009538530035</v>
      </c>
      <c r="J196" s="1">
        <v>0.0</v>
      </c>
      <c r="K196" s="1">
        <f t="shared" si="2"/>
        <v>0.009538530035</v>
      </c>
      <c r="L196" s="1">
        <f t="shared" si="3"/>
        <v>0.9538530035</v>
      </c>
      <c r="M196" s="1">
        <v>1.02</v>
      </c>
    </row>
    <row r="197" ht="15.75" customHeight="1">
      <c r="A197" s="7">
        <v>44172.0</v>
      </c>
      <c r="B197" s="1">
        <v>604.919983</v>
      </c>
      <c r="C197" s="1">
        <v>648.789978</v>
      </c>
      <c r="D197" s="1">
        <v>603.049988</v>
      </c>
      <c r="E197" s="1">
        <v>641.76001</v>
      </c>
      <c r="F197" s="1">
        <v>641.76001</v>
      </c>
      <c r="G197" s="1">
        <v>5.63097E7</v>
      </c>
      <c r="I197" s="1">
        <f t="shared" si="1"/>
        <v>0.0713141586</v>
      </c>
      <c r="J197" s="1">
        <v>0.0</v>
      </c>
      <c r="K197" s="1">
        <f t="shared" si="2"/>
        <v>0.0713141586</v>
      </c>
      <c r="L197" s="1">
        <f t="shared" si="3"/>
        <v>7.13141586</v>
      </c>
      <c r="M197" s="1">
        <v>0.03</v>
      </c>
    </row>
    <row r="198" ht="15.75" customHeight="1">
      <c r="A198" s="7">
        <v>44173.0</v>
      </c>
      <c r="B198" s="1">
        <v>625.51001</v>
      </c>
      <c r="C198" s="1">
        <v>651.280029</v>
      </c>
      <c r="D198" s="1">
        <v>618.5</v>
      </c>
      <c r="E198" s="1">
        <v>649.880005</v>
      </c>
      <c r="F198" s="1">
        <v>649.880005</v>
      </c>
      <c r="G198" s="1">
        <v>6.4265E7</v>
      </c>
      <c r="I198" s="1">
        <f t="shared" si="1"/>
        <v>0.01265269707</v>
      </c>
      <c r="J198" s="1">
        <v>0.0</v>
      </c>
      <c r="K198" s="1">
        <f t="shared" si="2"/>
        <v>0.01265269707</v>
      </c>
      <c r="L198" s="1">
        <f t="shared" si="3"/>
        <v>1.265269707</v>
      </c>
      <c r="M198" s="1">
        <v>0.47</v>
      </c>
    </row>
    <row r="199" ht="15.75" customHeight="1">
      <c r="A199" s="7">
        <v>44174.0</v>
      </c>
      <c r="B199" s="1">
        <v>653.690002</v>
      </c>
      <c r="C199" s="1">
        <v>654.320007</v>
      </c>
      <c r="D199" s="1">
        <v>588.0</v>
      </c>
      <c r="E199" s="1">
        <v>604.47998</v>
      </c>
      <c r="F199" s="1">
        <v>604.47998</v>
      </c>
      <c r="G199" s="1">
        <v>7.12912E7</v>
      </c>
      <c r="I199" s="1">
        <f t="shared" si="1"/>
        <v>-0.06985908883</v>
      </c>
      <c r="J199" s="1">
        <v>0.0</v>
      </c>
      <c r="K199" s="1">
        <f t="shared" si="2"/>
        <v>-0.06985908883</v>
      </c>
      <c r="L199" s="1">
        <f t="shared" si="3"/>
        <v>-6.985908883</v>
      </c>
      <c r="M199" s="1">
        <v>-1.03</v>
      </c>
    </row>
    <row r="200" ht="15.75" customHeight="1">
      <c r="A200" s="7">
        <v>44175.0</v>
      </c>
      <c r="B200" s="1">
        <v>574.369995</v>
      </c>
      <c r="C200" s="1">
        <v>627.75</v>
      </c>
      <c r="D200" s="1">
        <v>566.340027</v>
      </c>
      <c r="E200" s="1">
        <v>627.070007</v>
      </c>
      <c r="F200" s="1">
        <v>627.070007</v>
      </c>
      <c r="G200" s="1">
        <v>6.70832E7</v>
      </c>
      <c r="I200" s="1">
        <f t="shared" si="1"/>
        <v>0.03737100938</v>
      </c>
      <c r="J200" s="1">
        <v>0.0</v>
      </c>
      <c r="K200" s="1">
        <f t="shared" si="2"/>
        <v>0.03737100938</v>
      </c>
      <c r="L200" s="1">
        <f t="shared" si="3"/>
        <v>3.737100938</v>
      </c>
      <c r="M200" s="1">
        <v>0.24</v>
      </c>
    </row>
    <row r="201" ht="15.75" customHeight="1">
      <c r="A201" s="7">
        <v>44176.0</v>
      </c>
      <c r="B201" s="1">
        <v>615.01001</v>
      </c>
      <c r="C201" s="1">
        <v>624.0</v>
      </c>
      <c r="D201" s="1">
        <v>596.799988</v>
      </c>
      <c r="E201" s="1">
        <v>609.98999</v>
      </c>
      <c r="F201" s="1">
        <v>609.98999</v>
      </c>
      <c r="G201" s="1">
        <v>4.6475E7</v>
      </c>
      <c r="I201" s="1">
        <f t="shared" si="1"/>
        <v>-0.02723781525</v>
      </c>
      <c r="J201" s="1">
        <v>0.0</v>
      </c>
      <c r="K201" s="1">
        <f t="shared" si="2"/>
        <v>-0.02723781525</v>
      </c>
      <c r="L201" s="1">
        <f t="shared" si="3"/>
        <v>-2.723781525</v>
      </c>
      <c r="M201" s="1">
        <v>-0.2</v>
      </c>
    </row>
    <row r="202" ht="15.75" customHeight="1">
      <c r="A202" s="7">
        <v>44179.0</v>
      </c>
      <c r="B202" s="1">
        <v>619.0</v>
      </c>
      <c r="C202" s="1">
        <v>642.75</v>
      </c>
      <c r="D202" s="1">
        <v>610.200012</v>
      </c>
      <c r="E202" s="1">
        <v>639.830017</v>
      </c>
      <c r="F202" s="1">
        <v>639.830017</v>
      </c>
      <c r="G202" s="1">
        <v>5.20406E7</v>
      </c>
      <c r="I202" s="1">
        <f t="shared" si="1"/>
        <v>0.0489188798</v>
      </c>
      <c r="J202" s="1">
        <v>0.0</v>
      </c>
      <c r="K202" s="1">
        <f t="shared" si="2"/>
        <v>0.0489188798</v>
      </c>
      <c r="L202" s="1">
        <f t="shared" si="3"/>
        <v>4.89188798</v>
      </c>
      <c r="M202" s="1">
        <v>-0.28</v>
      </c>
    </row>
    <row r="203" ht="15.75" customHeight="1">
      <c r="A203" s="7">
        <v>44180.0</v>
      </c>
      <c r="B203" s="1">
        <v>643.280029</v>
      </c>
      <c r="C203" s="1">
        <v>646.900024</v>
      </c>
      <c r="D203" s="1">
        <v>623.799988</v>
      </c>
      <c r="E203" s="1">
        <v>633.25</v>
      </c>
      <c r="F203" s="1">
        <v>633.25</v>
      </c>
      <c r="G203" s="1">
        <v>4.50715E7</v>
      </c>
      <c r="I203" s="1">
        <f t="shared" si="1"/>
        <v>-0.01028400798</v>
      </c>
      <c r="J203" s="1">
        <v>0.0</v>
      </c>
      <c r="K203" s="1">
        <f t="shared" si="2"/>
        <v>-0.01028400798</v>
      </c>
      <c r="L203" s="1">
        <f t="shared" si="3"/>
        <v>-1.028400798</v>
      </c>
      <c r="M203" s="1">
        <v>1.28</v>
      </c>
    </row>
    <row r="204" ht="15.75" customHeight="1">
      <c r="A204" s="7">
        <v>44181.0</v>
      </c>
      <c r="B204" s="1">
        <v>628.22998</v>
      </c>
      <c r="C204" s="1">
        <v>632.5</v>
      </c>
      <c r="D204" s="1">
        <v>605.0</v>
      </c>
      <c r="E204" s="1">
        <v>622.77002</v>
      </c>
      <c r="F204" s="1">
        <v>622.77002</v>
      </c>
      <c r="G204" s="1">
        <v>4.20958E7</v>
      </c>
      <c r="I204" s="1">
        <f t="shared" si="1"/>
        <v>-0.01654951441</v>
      </c>
      <c r="J204" s="1">
        <v>0.0</v>
      </c>
      <c r="K204" s="1">
        <f t="shared" si="2"/>
        <v>-0.01654951441</v>
      </c>
      <c r="L204" s="1">
        <f t="shared" si="3"/>
        <v>-1.654951441</v>
      </c>
      <c r="M204" s="1">
        <v>0.17</v>
      </c>
    </row>
    <row r="205" ht="15.75" customHeight="1">
      <c r="A205" s="7">
        <v>44182.0</v>
      </c>
      <c r="B205" s="1">
        <v>628.190002</v>
      </c>
      <c r="C205" s="1">
        <v>658.820007</v>
      </c>
      <c r="D205" s="1">
        <v>619.5</v>
      </c>
      <c r="E205" s="1">
        <v>655.900024</v>
      </c>
      <c r="F205" s="1">
        <v>655.900024</v>
      </c>
      <c r="G205" s="1">
        <v>5.62701E7</v>
      </c>
      <c r="I205" s="1">
        <f t="shared" si="1"/>
        <v>0.0531978145</v>
      </c>
      <c r="J205" s="1">
        <v>0.0</v>
      </c>
      <c r="K205" s="1">
        <f t="shared" si="2"/>
        <v>0.0531978145</v>
      </c>
      <c r="L205" s="1">
        <f t="shared" si="3"/>
        <v>5.31978145</v>
      </c>
      <c r="M205" s="1">
        <v>0.79</v>
      </c>
    </row>
    <row r="206" ht="15.75" customHeight="1">
      <c r="A206" s="7">
        <v>44183.0</v>
      </c>
      <c r="B206" s="1">
        <v>668.900024</v>
      </c>
      <c r="C206" s="1">
        <v>695.0</v>
      </c>
      <c r="D206" s="1">
        <v>628.539978</v>
      </c>
      <c r="E206" s="1">
        <v>695.0</v>
      </c>
      <c r="F206" s="1">
        <v>695.0</v>
      </c>
      <c r="G206" s="1">
        <v>2.221262E8</v>
      </c>
      <c r="I206" s="1">
        <f t="shared" si="1"/>
        <v>0.05961270707</v>
      </c>
      <c r="J206" s="1">
        <v>0.0</v>
      </c>
      <c r="K206" s="1">
        <f t="shared" si="2"/>
        <v>0.05961270707</v>
      </c>
      <c r="L206" s="1">
        <f t="shared" si="3"/>
        <v>5.961270707</v>
      </c>
      <c r="M206" s="1">
        <v>-0.12</v>
      </c>
    </row>
    <row r="207" ht="15.75" customHeight="1">
      <c r="A207" s="7">
        <v>44186.0</v>
      </c>
      <c r="B207" s="1">
        <v>666.23999</v>
      </c>
      <c r="C207" s="1">
        <v>668.5</v>
      </c>
      <c r="D207" s="1">
        <v>646.070007</v>
      </c>
      <c r="E207" s="1">
        <v>649.859985</v>
      </c>
      <c r="F207" s="1">
        <v>649.859985</v>
      </c>
      <c r="G207" s="1">
        <v>5.80453E7</v>
      </c>
      <c r="I207" s="1">
        <f t="shared" si="1"/>
        <v>-0.06494966187</v>
      </c>
      <c r="J207" s="1">
        <v>0.0</v>
      </c>
      <c r="K207" s="1">
        <f t="shared" si="2"/>
        <v>-0.06494966187</v>
      </c>
      <c r="L207" s="1">
        <f t="shared" si="3"/>
        <v>-6.494966187</v>
      </c>
      <c r="M207" s="1">
        <v>-0.23</v>
      </c>
    </row>
    <row r="208" ht="15.75" customHeight="1">
      <c r="A208" s="7">
        <v>44187.0</v>
      </c>
      <c r="B208" s="1">
        <v>648.0</v>
      </c>
      <c r="C208" s="1">
        <v>649.880005</v>
      </c>
      <c r="D208" s="1">
        <v>614.22998</v>
      </c>
      <c r="E208" s="1">
        <v>640.340027</v>
      </c>
      <c r="F208" s="1">
        <v>640.340027</v>
      </c>
      <c r="G208" s="1">
        <v>5.1716E7</v>
      </c>
      <c r="I208" s="1">
        <f t="shared" si="1"/>
        <v>-0.01464924479</v>
      </c>
      <c r="J208" s="1">
        <v>0.0</v>
      </c>
      <c r="K208" s="1">
        <f t="shared" si="2"/>
        <v>-0.01464924479</v>
      </c>
      <c r="L208" s="1">
        <f t="shared" si="3"/>
        <v>-1.464924479</v>
      </c>
      <c r="M208" s="1">
        <v>0.06</v>
      </c>
    </row>
    <row r="209" ht="15.75" customHeight="1">
      <c r="A209" s="7">
        <v>44188.0</v>
      </c>
      <c r="B209" s="1">
        <v>632.200012</v>
      </c>
      <c r="C209" s="1">
        <v>651.5</v>
      </c>
      <c r="D209" s="1">
        <v>622.570007</v>
      </c>
      <c r="E209" s="1">
        <v>645.97998</v>
      </c>
      <c r="F209" s="1">
        <v>645.97998</v>
      </c>
      <c r="G209" s="1">
        <v>3.3173E7</v>
      </c>
      <c r="I209" s="1">
        <f t="shared" si="1"/>
        <v>0.008807747075</v>
      </c>
      <c r="J209" s="1">
        <v>0.0</v>
      </c>
      <c r="K209" s="1">
        <f t="shared" si="2"/>
        <v>0.008807747075</v>
      </c>
      <c r="L209" s="1">
        <f t="shared" si="3"/>
        <v>0.8807747075</v>
      </c>
      <c r="M209" s="1">
        <v>0.1</v>
      </c>
    </row>
    <row r="210" ht="15.75" customHeight="1">
      <c r="A210" s="7">
        <v>44189.0</v>
      </c>
      <c r="B210" s="1">
        <v>642.98999</v>
      </c>
      <c r="C210" s="1">
        <v>666.090027</v>
      </c>
      <c r="D210" s="1">
        <v>641.0</v>
      </c>
      <c r="E210" s="1">
        <v>661.77002</v>
      </c>
      <c r="F210" s="1">
        <v>661.77002</v>
      </c>
      <c r="G210" s="1">
        <v>2.28656E7</v>
      </c>
      <c r="I210" s="1">
        <f t="shared" si="1"/>
        <v>0.0244435439</v>
      </c>
      <c r="J210" s="1">
        <v>0.0</v>
      </c>
      <c r="K210" s="1">
        <f t="shared" si="2"/>
        <v>0.0244435439</v>
      </c>
      <c r="L210" s="1">
        <f t="shared" si="3"/>
        <v>2.44435439</v>
      </c>
      <c r="M210" s="1">
        <v>0.21</v>
      </c>
    </row>
    <row r="211" ht="15.75" customHeight="1">
      <c r="A211" s="7">
        <v>44193.0</v>
      </c>
      <c r="B211" s="1">
        <v>674.51001</v>
      </c>
      <c r="C211" s="1">
        <v>681.400024</v>
      </c>
      <c r="D211" s="1">
        <v>660.799988</v>
      </c>
      <c r="E211" s="1">
        <v>663.690002</v>
      </c>
      <c r="F211" s="1">
        <v>663.690002</v>
      </c>
      <c r="G211" s="1">
        <v>3.22786E7</v>
      </c>
      <c r="I211" s="1">
        <f t="shared" si="1"/>
        <v>0.002901282835</v>
      </c>
      <c r="J211" s="1">
        <v>0.0</v>
      </c>
      <c r="K211" s="1">
        <f t="shared" si="2"/>
        <v>0.002901282835</v>
      </c>
      <c r="L211" s="1">
        <f t="shared" si="3"/>
        <v>0.2901282835</v>
      </c>
      <c r="M211" s="1">
        <v>0.46</v>
      </c>
    </row>
    <row r="212" ht="15.75" customHeight="1">
      <c r="A212" s="7">
        <v>44194.0</v>
      </c>
      <c r="B212" s="1">
        <v>661.0</v>
      </c>
      <c r="C212" s="1">
        <v>669.900024</v>
      </c>
      <c r="D212" s="1">
        <v>655.0</v>
      </c>
      <c r="E212" s="1">
        <v>665.98999</v>
      </c>
      <c r="F212" s="1">
        <v>665.98999</v>
      </c>
      <c r="G212" s="1">
        <v>2.29108E7</v>
      </c>
      <c r="I212" s="1">
        <f t="shared" si="1"/>
        <v>0.003465455247</v>
      </c>
      <c r="J212" s="1">
        <v>0.0</v>
      </c>
      <c r="K212" s="1">
        <f t="shared" si="2"/>
        <v>0.003465455247</v>
      </c>
      <c r="L212" s="1">
        <f t="shared" si="3"/>
        <v>0.3465455247</v>
      </c>
      <c r="M212" s="1">
        <v>-0.4</v>
      </c>
    </row>
    <row r="213" ht="15.75" customHeight="1">
      <c r="A213" s="7">
        <v>44195.0</v>
      </c>
      <c r="B213" s="1">
        <v>672.0</v>
      </c>
      <c r="C213" s="1">
        <v>696.599976</v>
      </c>
      <c r="D213" s="1">
        <v>668.359985</v>
      </c>
      <c r="E213" s="1">
        <v>694.780029</v>
      </c>
      <c r="F213" s="1">
        <v>694.780029</v>
      </c>
      <c r="G213" s="1">
        <v>4.2846E7</v>
      </c>
      <c r="I213" s="1">
        <f t="shared" si="1"/>
        <v>0.04322893652</v>
      </c>
      <c r="J213" s="1">
        <v>0.0</v>
      </c>
      <c r="K213" s="1">
        <f t="shared" si="2"/>
        <v>0.04322893652</v>
      </c>
      <c r="L213" s="1">
        <f t="shared" si="3"/>
        <v>4.322893652</v>
      </c>
      <c r="M213" s="1">
        <v>0.27</v>
      </c>
    </row>
    <row r="214" ht="15.75" customHeight="1">
      <c r="A214" s="7">
        <v>44196.0</v>
      </c>
      <c r="B214" s="1">
        <v>699.98999</v>
      </c>
      <c r="C214" s="1">
        <v>718.719971</v>
      </c>
      <c r="D214" s="1">
        <v>691.119995</v>
      </c>
      <c r="E214" s="1">
        <v>705.669983</v>
      </c>
      <c r="F214" s="1">
        <v>705.669983</v>
      </c>
      <c r="G214" s="1">
        <v>4.96499E7</v>
      </c>
      <c r="I214" s="1">
        <f t="shared" si="1"/>
        <v>0.01567395945</v>
      </c>
      <c r="J214" s="1">
        <v>0.0</v>
      </c>
      <c r="K214" s="1">
        <f t="shared" si="2"/>
        <v>0.01567395945</v>
      </c>
      <c r="L214" s="1">
        <f t="shared" si="3"/>
        <v>1.567395945</v>
      </c>
      <c r="M214" s="1">
        <v>0.39</v>
      </c>
    </row>
    <row r="215" ht="15.75" customHeight="1">
      <c r="A215" s="7">
        <v>44200.0</v>
      </c>
      <c r="B215" s="1">
        <v>719.460022</v>
      </c>
      <c r="C215" s="1">
        <v>744.48999</v>
      </c>
      <c r="D215" s="1">
        <v>717.190002</v>
      </c>
      <c r="E215" s="1">
        <v>729.77002</v>
      </c>
      <c r="F215" s="1">
        <v>729.77002</v>
      </c>
      <c r="G215" s="1">
        <v>4.86382E7</v>
      </c>
      <c r="I215" s="1">
        <f t="shared" si="1"/>
        <v>0.03415199396</v>
      </c>
      <c r="J215" s="1">
        <v>0.0</v>
      </c>
      <c r="K215" s="1">
        <f t="shared" si="2"/>
        <v>0.03415199396</v>
      </c>
      <c r="L215" s="1">
        <f t="shared" si="3"/>
        <v>3.415199396</v>
      </c>
      <c r="M215" s="1">
        <v>-1.41</v>
      </c>
    </row>
    <row r="216" ht="15.75" customHeight="1">
      <c r="A216" s="7">
        <v>44201.0</v>
      </c>
      <c r="B216" s="1">
        <v>723.659973</v>
      </c>
      <c r="C216" s="1">
        <v>740.840027</v>
      </c>
      <c r="D216" s="1">
        <v>719.200012</v>
      </c>
      <c r="E216" s="1">
        <v>735.109985</v>
      </c>
      <c r="F216" s="1">
        <v>735.109985</v>
      </c>
      <c r="G216" s="1">
        <v>3.22452E7</v>
      </c>
      <c r="I216" s="1">
        <f t="shared" si="1"/>
        <v>0.007317325806</v>
      </c>
      <c r="J216" s="1">
        <v>0.0</v>
      </c>
      <c r="K216" s="1">
        <f t="shared" si="2"/>
        <v>0.007317325806</v>
      </c>
      <c r="L216" s="1">
        <f t="shared" si="3"/>
        <v>0.7317325806</v>
      </c>
      <c r="M216" s="1">
        <v>0.86</v>
      </c>
    </row>
    <row r="217" ht="15.75" customHeight="1">
      <c r="A217" s="7">
        <v>44202.0</v>
      </c>
      <c r="B217" s="1">
        <v>758.48999</v>
      </c>
      <c r="C217" s="1">
        <v>774.0</v>
      </c>
      <c r="D217" s="1">
        <v>749.099976</v>
      </c>
      <c r="E217" s="1">
        <v>755.97998</v>
      </c>
      <c r="F217" s="1">
        <v>755.97998</v>
      </c>
      <c r="G217" s="1">
        <v>4.47E7</v>
      </c>
      <c r="I217" s="1">
        <f t="shared" si="1"/>
        <v>0.02839030271</v>
      </c>
      <c r="J217" s="1">
        <v>0.0</v>
      </c>
      <c r="K217" s="1">
        <f t="shared" si="2"/>
        <v>0.02839030271</v>
      </c>
      <c r="L217" s="1">
        <f t="shared" si="3"/>
        <v>2.839030271</v>
      </c>
      <c r="M217" s="1">
        <v>0.79</v>
      </c>
    </row>
    <row r="218" ht="15.75" customHeight="1">
      <c r="A218" s="7">
        <v>44203.0</v>
      </c>
      <c r="B218" s="1">
        <v>777.630005</v>
      </c>
      <c r="C218" s="1">
        <v>816.98999</v>
      </c>
      <c r="D218" s="1">
        <v>775.200012</v>
      </c>
      <c r="E218" s="1">
        <v>816.039978</v>
      </c>
      <c r="F218" s="1">
        <v>816.039978</v>
      </c>
      <c r="G218" s="1">
        <v>5.14989E7</v>
      </c>
      <c r="I218" s="1">
        <f t="shared" si="1"/>
        <v>0.07944654566</v>
      </c>
      <c r="J218" s="1">
        <v>0.0</v>
      </c>
      <c r="K218" s="1">
        <f t="shared" si="2"/>
        <v>0.07944654566</v>
      </c>
      <c r="L218" s="1">
        <f t="shared" si="3"/>
        <v>7.944654566</v>
      </c>
      <c r="M218" s="1">
        <v>1.76</v>
      </c>
    </row>
    <row r="219" ht="15.75" customHeight="1">
      <c r="A219" s="7">
        <v>44204.0</v>
      </c>
      <c r="B219" s="1">
        <v>856.0</v>
      </c>
      <c r="C219" s="1">
        <v>884.48999</v>
      </c>
      <c r="D219" s="1">
        <v>838.390015</v>
      </c>
      <c r="E219" s="1">
        <v>880.02002</v>
      </c>
      <c r="F219" s="1">
        <v>880.02002</v>
      </c>
      <c r="G219" s="1">
        <v>7.50555E7</v>
      </c>
      <c r="I219" s="1">
        <f t="shared" si="1"/>
        <v>0.07840307304</v>
      </c>
      <c r="J219" s="1">
        <v>0.0</v>
      </c>
      <c r="K219" s="1">
        <f t="shared" si="2"/>
        <v>0.07840307304</v>
      </c>
      <c r="L219" s="1">
        <f t="shared" si="3"/>
        <v>7.840307304</v>
      </c>
      <c r="M219" s="1">
        <v>0.51</v>
      </c>
    </row>
    <row r="220" ht="15.75" customHeight="1">
      <c r="A220" s="7">
        <v>44207.0</v>
      </c>
      <c r="B220" s="1">
        <v>849.400024</v>
      </c>
      <c r="C220" s="1">
        <v>854.429993</v>
      </c>
      <c r="D220" s="1">
        <v>803.619995</v>
      </c>
      <c r="E220" s="1">
        <v>811.190002</v>
      </c>
      <c r="F220" s="1">
        <v>811.190002</v>
      </c>
      <c r="G220" s="1">
        <v>5.93016E7</v>
      </c>
      <c r="I220" s="1">
        <f t="shared" si="1"/>
        <v>-0.07821415017</v>
      </c>
      <c r="J220" s="1">
        <v>0.0</v>
      </c>
      <c r="K220" s="1">
        <f t="shared" si="2"/>
        <v>-0.07821415017</v>
      </c>
      <c r="L220" s="1">
        <f t="shared" si="3"/>
        <v>-7.821415017</v>
      </c>
      <c r="M220" s="1">
        <v>-0.51</v>
      </c>
    </row>
    <row r="221" ht="15.75" customHeight="1">
      <c r="A221" s="7">
        <v>44208.0</v>
      </c>
      <c r="B221" s="1">
        <v>831.0</v>
      </c>
      <c r="C221" s="1">
        <v>868.0</v>
      </c>
      <c r="D221" s="1">
        <v>827.340027</v>
      </c>
      <c r="E221" s="1">
        <v>849.440002</v>
      </c>
      <c r="F221" s="1">
        <v>849.440002</v>
      </c>
      <c r="G221" s="1">
        <v>4.62707E7</v>
      </c>
      <c r="I221" s="1">
        <f t="shared" si="1"/>
        <v>0.04715294802</v>
      </c>
      <c r="J221" s="1">
        <v>0.0</v>
      </c>
      <c r="K221" s="1">
        <f t="shared" si="2"/>
        <v>0.04715294802</v>
      </c>
      <c r="L221" s="1">
        <f t="shared" si="3"/>
        <v>4.715294802</v>
      </c>
      <c r="M221" s="1">
        <v>0.38</v>
      </c>
    </row>
    <row r="222" ht="15.75" customHeight="1">
      <c r="A222" s="7">
        <v>44209.0</v>
      </c>
      <c r="B222" s="1">
        <v>852.76001</v>
      </c>
      <c r="C222" s="1">
        <v>860.469971</v>
      </c>
      <c r="D222" s="1">
        <v>832.0</v>
      </c>
      <c r="E222" s="1">
        <v>854.409973</v>
      </c>
      <c r="F222" s="1">
        <v>854.409973</v>
      </c>
      <c r="G222" s="1">
        <v>3.33125E7</v>
      </c>
      <c r="I222" s="1">
        <f t="shared" si="1"/>
        <v>0.005850879389</v>
      </c>
      <c r="J222" s="1">
        <v>0.0</v>
      </c>
      <c r="K222" s="1">
        <f t="shared" si="2"/>
        <v>0.005850879389</v>
      </c>
      <c r="L222" s="1">
        <f t="shared" si="3"/>
        <v>0.5850879389</v>
      </c>
      <c r="M222" s="1">
        <v>0.07</v>
      </c>
    </row>
    <row r="223" ht="15.75" customHeight="1">
      <c r="A223" s="7">
        <v>44210.0</v>
      </c>
      <c r="B223" s="1">
        <v>843.390015</v>
      </c>
      <c r="C223" s="1">
        <v>863.0</v>
      </c>
      <c r="D223" s="1">
        <v>838.75</v>
      </c>
      <c r="E223" s="1">
        <v>845.0</v>
      </c>
      <c r="F223" s="1">
        <v>845.0</v>
      </c>
      <c r="G223" s="1">
        <v>3.12663E7</v>
      </c>
      <c r="I223" s="1">
        <f t="shared" si="1"/>
        <v>-0.01101341662</v>
      </c>
      <c r="J223" s="1">
        <v>0.0</v>
      </c>
      <c r="K223" s="1">
        <f t="shared" si="2"/>
        <v>-0.01101341662</v>
      </c>
      <c r="L223" s="1">
        <f t="shared" si="3"/>
        <v>-1.101341662</v>
      </c>
      <c r="M223" s="1">
        <v>-0.11</v>
      </c>
    </row>
    <row r="224" ht="15.75" customHeight="1">
      <c r="A224" s="7">
        <v>44211.0</v>
      </c>
      <c r="B224" s="1">
        <v>852.0</v>
      </c>
      <c r="C224" s="1">
        <v>859.900024</v>
      </c>
      <c r="D224" s="1">
        <v>819.099976</v>
      </c>
      <c r="E224" s="1">
        <v>826.159973</v>
      </c>
      <c r="F224" s="1">
        <v>826.159973</v>
      </c>
      <c r="G224" s="1">
        <v>3.87776E7</v>
      </c>
      <c r="I224" s="1">
        <f t="shared" si="1"/>
        <v>-0.02229588994</v>
      </c>
      <c r="J224" s="1">
        <v>0.0</v>
      </c>
      <c r="K224" s="1">
        <f t="shared" si="2"/>
        <v>-0.02229588994</v>
      </c>
      <c r="L224" s="1">
        <f t="shared" si="3"/>
        <v>-2.229588994</v>
      </c>
      <c r="M224" s="1">
        <v>-0.86</v>
      </c>
    </row>
    <row r="225" ht="15.75" customHeight="1">
      <c r="A225" s="7">
        <v>44215.0</v>
      </c>
      <c r="B225" s="1">
        <v>837.799988</v>
      </c>
      <c r="C225" s="1">
        <v>850.0</v>
      </c>
      <c r="D225" s="1">
        <v>833.0</v>
      </c>
      <c r="E225" s="1">
        <v>844.549988</v>
      </c>
      <c r="F225" s="1">
        <v>844.549988</v>
      </c>
      <c r="G225" s="1">
        <v>2.5367E7</v>
      </c>
      <c r="I225" s="1">
        <f t="shared" si="1"/>
        <v>0.02225962961</v>
      </c>
      <c r="J225" s="1">
        <v>0.0</v>
      </c>
      <c r="K225" s="1">
        <f t="shared" si="2"/>
        <v>0.02225962961</v>
      </c>
      <c r="L225" s="1">
        <f t="shared" si="3"/>
        <v>2.225962961</v>
      </c>
      <c r="M225" s="1">
        <v>0.91</v>
      </c>
    </row>
    <row r="226" ht="15.75" customHeight="1">
      <c r="A226" s="7">
        <v>44216.0</v>
      </c>
      <c r="B226" s="1">
        <v>858.73999</v>
      </c>
      <c r="C226" s="1">
        <v>859.5</v>
      </c>
      <c r="D226" s="1">
        <v>837.280029</v>
      </c>
      <c r="E226" s="1">
        <v>850.450012</v>
      </c>
      <c r="F226" s="1">
        <v>850.450012</v>
      </c>
      <c r="G226" s="1">
        <v>2.56659E7</v>
      </c>
      <c r="I226" s="1">
        <f t="shared" si="1"/>
        <v>0.006985997376</v>
      </c>
      <c r="J226" s="1">
        <v>0.0</v>
      </c>
      <c r="K226" s="1">
        <f t="shared" si="2"/>
        <v>0.006985997376</v>
      </c>
      <c r="L226" s="1">
        <f t="shared" si="3"/>
        <v>0.6985997376</v>
      </c>
      <c r="M226" s="1">
        <v>1.26</v>
      </c>
    </row>
    <row r="227" ht="15.75" customHeight="1">
      <c r="A227" s="7">
        <v>44217.0</v>
      </c>
      <c r="B227" s="1">
        <v>855.0</v>
      </c>
      <c r="C227" s="1">
        <v>855.719971</v>
      </c>
      <c r="D227" s="1">
        <v>841.419983</v>
      </c>
      <c r="E227" s="1">
        <v>844.98999</v>
      </c>
      <c r="F227" s="1">
        <v>844.98999</v>
      </c>
      <c r="G227" s="1">
        <v>2.05211E7</v>
      </c>
      <c r="I227" s="1">
        <f t="shared" si="1"/>
        <v>-0.006420156297</v>
      </c>
      <c r="J227" s="1">
        <v>0.0</v>
      </c>
      <c r="K227" s="1">
        <f t="shared" si="2"/>
        <v>-0.006420156297</v>
      </c>
      <c r="L227" s="1">
        <f t="shared" si="3"/>
        <v>-0.6420156297</v>
      </c>
      <c r="M227" s="1">
        <v>-0.04</v>
      </c>
    </row>
    <row r="228" ht="15.75" customHeight="1">
      <c r="A228" s="7">
        <v>44218.0</v>
      </c>
      <c r="B228" s="1">
        <v>834.309998</v>
      </c>
      <c r="C228" s="1">
        <v>848.0</v>
      </c>
      <c r="D228" s="1">
        <v>828.619995</v>
      </c>
      <c r="E228" s="1">
        <v>846.640015</v>
      </c>
      <c r="F228" s="1">
        <v>846.640015</v>
      </c>
      <c r="G228" s="1">
        <v>2.00665E7</v>
      </c>
      <c r="I228" s="1">
        <f t="shared" si="1"/>
        <v>0.00195271544</v>
      </c>
      <c r="J228" s="1">
        <v>0.0</v>
      </c>
      <c r="K228" s="1">
        <f t="shared" si="2"/>
        <v>0.00195271544</v>
      </c>
      <c r="L228" s="1">
        <f t="shared" si="3"/>
        <v>0.195271544</v>
      </c>
      <c r="M228" s="1">
        <v>-0.07</v>
      </c>
    </row>
    <row r="229" ht="15.75" customHeight="1">
      <c r="A229" s="7">
        <v>44221.0</v>
      </c>
      <c r="B229" s="1">
        <v>855.0</v>
      </c>
      <c r="C229" s="1">
        <v>900.400024</v>
      </c>
      <c r="D229" s="1">
        <v>838.820007</v>
      </c>
      <c r="E229" s="1">
        <v>880.799988</v>
      </c>
      <c r="F229" s="1">
        <v>880.799988</v>
      </c>
      <c r="G229" s="1">
        <v>4.11734E7</v>
      </c>
      <c r="I229" s="1">
        <f t="shared" si="1"/>
        <v>0.04034769488</v>
      </c>
      <c r="J229" s="1">
        <v>0.0</v>
      </c>
      <c r="K229" s="1">
        <f t="shared" si="2"/>
        <v>0.04034769488</v>
      </c>
      <c r="L229" s="1">
        <f t="shared" si="3"/>
        <v>4.034769488</v>
      </c>
      <c r="M229" s="1">
        <v>0.28</v>
      </c>
    </row>
    <row r="230" ht="15.75" customHeight="1">
      <c r="A230" s="7">
        <v>44222.0</v>
      </c>
      <c r="B230" s="1">
        <v>891.380005</v>
      </c>
      <c r="C230" s="1">
        <v>895.900024</v>
      </c>
      <c r="D230" s="1">
        <v>871.599976</v>
      </c>
      <c r="E230" s="1">
        <v>883.090027</v>
      </c>
      <c r="F230" s="1">
        <v>883.090027</v>
      </c>
      <c r="G230" s="1">
        <v>2.31316E7</v>
      </c>
      <c r="I230" s="1">
        <f t="shared" si="1"/>
        <v>0.002599953487</v>
      </c>
      <c r="J230" s="1">
        <v>0.0</v>
      </c>
      <c r="K230" s="1">
        <f t="shared" si="2"/>
        <v>0.002599953487</v>
      </c>
      <c r="L230" s="1">
        <f t="shared" si="3"/>
        <v>0.2599953487</v>
      </c>
      <c r="M230" s="1">
        <v>-0.32</v>
      </c>
    </row>
    <row r="231" ht="15.75" customHeight="1">
      <c r="A231" s="7">
        <v>44223.0</v>
      </c>
      <c r="B231" s="1">
        <v>870.349976</v>
      </c>
      <c r="C231" s="1">
        <v>891.5</v>
      </c>
      <c r="D231" s="1">
        <v>858.659973</v>
      </c>
      <c r="E231" s="1">
        <v>864.159973</v>
      </c>
      <c r="F231" s="1">
        <v>864.159973</v>
      </c>
      <c r="G231" s="1">
        <v>2.7334E7</v>
      </c>
      <c r="I231" s="1">
        <f t="shared" si="1"/>
        <v>-0.02143615421</v>
      </c>
      <c r="J231" s="1">
        <v>0.0</v>
      </c>
      <c r="K231" s="1">
        <f t="shared" si="2"/>
        <v>-0.02143615421</v>
      </c>
      <c r="L231" s="1">
        <f t="shared" si="3"/>
        <v>-2.143615421</v>
      </c>
      <c r="M231" s="1">
        <v>-2.53</v>
      </c>
    </row>
    <row r="232" ht="15.75" customHeight="1">
      <c r="A232" s="7">
        <v>44224.0</v>
      </c>
      <c r="B232" s="1">
        <v>820.0</v>
      </c>
      <c r="C232" s="1">
        <v>848.0</v>
      </c>
      <c r="D232" s="1">
        <v>801.0</v>
      </c>
      <c r="E232" s="1">
        <v>835.429993</v>
      </c>
      <c r="F232" s="1">
        <v>835.429993</v>
      </c>
      <c r="G232" s="1">
        <v>2.6378E7</v>
      </c>
      <c r="I232" s="1">
        <f t="shared" si="1"/>
        <v>-0.03324613601</v>
      </c>
      <c r="J232" s="1">
        <v>0.0</v>
      </c>
      <c r="K232" s="1">
        <f t="shared" si="2"/>
        <v>-0.03324613601</v>
      </c>
      <c r="L232" s="1">
        <f t="shared" si="3"/>
        <v>-3.324613601</v>
      </c>
      <c r="M232" s="1">
        <v>0.92</v>
      </c>
    </row>
    <row r="233" ht="15.75" customHeight="1">
      <c r="A233" s="7">
        <v>44225.0</v>
      </c>
      <c r="B233" s="1">
        <v>830.0</v>
      </c>
      <c r="C233" s="1">
        <v>842.409973</v>
      </c>
      <c r="D233" s="1">
        <v>780.099976</v>
      </c>
      <c r="E233" s="1">
        <v>793.530029</v>
      </c>
      <c r="F233" s="1">
        <v>793.530029</v>
      </c>
      <c r="G233" s="1">
        <v>3.49908E7</v>
      </c>
      <c r="I233" s="1">
        <f t="shared" si="1"/>
        <v>-0.05015377034</v>
      </c>
      <c r="J233" s="1">
        <v>0.0</v>
      </c>
      <c r="K233" s="1">
        <f t="shared" si="2"/>
        <v>-0.05015377034</v>
      </c>
      <c r="L233" s="1">
        <f t="shared" si="3"/>
        <v>-5.015377034</v>
      </c>
      <c r="M233" s="1">
        <v>-1.84</v>
      </c>
    </row>
    <row r="234" ht="15.75" customHeight="1">
      <c r="A234" s="7">
        <v>44228.0</v>
      </c>
      <c r="B234" s="1">
        <v>814.289978</v>
      </c>
      <c r="C234" s="1">
        <v>842.0</v>
      </c>
      <c r="D234" s="1">
        <v>795.559998</v>
      </c>
      <c r="E234" s="1">
        <v>839.809998</v>
      </c>
      <c r="F234" s="1">
        <v>839.809998</v>
      </c>
      <c r="G234" s="1">
        <v>2.53914E7</v>
      </c>
      <c r="I234" s="1">
        <f t="shared" si="1"/>
        <v>0.05832163536</v>
      </c>
      <c r="J234" s="1">
        <v>0.0</v>
      </c>
      <c r="K234" s="1">
        <f t="shared" si="2"/>
        <v>0.05832163536</v>
      </c>
      <c r="L234" s="1">
        <f t="shared" si="3"/>
        <v>5.832163536</v>
      </c>
      <c r="M234" s="1">
        <v>1.73</v>
      </c>
    </row>
    <row r="235" ht="15.75" customHeight="1">
      <c r="A235" s="7">
        <v>44229.0</v>
      </c>
      <c r="B235" s="1">
        <v>844.679993</v>
      </c>
      <c r="C235" s="1">
        <v>880.5</v>
      </c>
      <c r="D235" s="1">
        <v>842.200012</v>
      </c>
      <c r="E235" s="1">
        <v>872.789978</v>
      </c>
      <c r="F235" s="1">
        <v>872.789978</v>
      </c>
      <c r="G235" s="1">
        <v>2.43462E7</v>
      </c>
      <c r="I235" s="1">
        <f t="shared" si="1"/>
        <v>0.03927076372</v>
      </c>
      <c r="J235" s="1">
        <v>0.0</v>
      </c>
      <c r="K235" s="1">
        <f t="shared" si="2"/>
        <v>0.03927076372</v>
      </c>
      <c r="L235" s="1">
        <f t="shared" si="3"/>
        <v>3.927076372</v>
      </c>
      <c r="M235" s="1">
        <v>1.48</v>
      </c>
    </row>
    <row r="236" ht="15.75" customHeight="1">
      <c r="A236" s="7">
        <v>44230.0</v>
      </c>
      <c r="B236" s="1">
        <v>877.02002</v>
      </c>
      <c r="C236" s="1">
        <v>878.080017</v>
      </c>
      <c r="D236" s="1">
        <v>853.059998</v>
      </c>
      <c r="E236" s="1">
        <v>854.690002</v>
      </c>
      <c r="F236" s="1">
        <v>854.690002</v>
      </c>
      <c r="G236" s="1">
        <v>1.83435E7</v>
      </c>
      <c r="I236" s="1">
        <f t="shared" si="1"/>
        <v>-0.02073806581</v>
      </c>
      <c r="J236" s="1">
        <v>0.0</v>
      </c>
      <c r="K236" s="1">
        <f t="shared" si="2"/>
        <v>-0.02073806581</v>
      </c>
      <c r="L236" s="1">
        <f t="shared" si="3"/>
        <v>-2.073806581</v>
      </c>
      <c r="M236" s="1">
        <v>0.16</v>
      </c>
    </row>
    <row r="237" ht="15.75" customHeight="1">
      <c r="A237" s="7">
        <v>44231.0</v>
      </c>
      <c r="B237" s="1">
        <v>855.0</v>
      </c>
      <c r="C237" s="1">
        <v>856.5</v>
      </c>
      <c r="D237" s="1">
        <v>833.419983</v>
      </c>
      <c r="E237" s="1">
        <v>849.98999</v>
      </c>
      <c r="F237" s="1">
        <v>849.98999</v>
      </c>
      <c r="G237" s="1">
        <v>1.58127E7</v>
      </c>
      <c r="I237" s="1">
        <f t="shared" si="1"/>
        <v>-0.005499083865</v>
      </c>
      <c r="J237" s="1">
        <v>0.0</v>
      </c>
      <c r="K237" s="1">
        <f t="shared" si="2"/>
        <v>-0.005499083865</v>
      </c>
      <c r="L237" s="1">
        <f t="shared" si="3"/>
        <v>-0.5499083865</v>
      </c>
      <c r="M237" s="1">
        <v>1.23</v>
      </c>
    </row>
    <row r="238" ht="15.75" customHeight="1">
      <c r="A238" s="7">
        <v>44232.0</v>
      </c>
      <c r="B238" s="1">
        <v>845.0</v>
      </c>
      <c r="C238" s="1">
        <v>864.77002</v>
      </c>
      <c r="D238" s="1">
        <v>838.969971</v>
      </c>
      <c r="E238" s="1">
        <v>852.22998</v>
      </c>
      <c r="F238" s="1">
        <v>852.22998</v>
      </c>
      <c r="G238" s="1">
        <v>1.85666E7</v>
      </c>
      <c r="I238" s="1">
        <f t="shared" si="1"/>
        <v>0.002635313388</v>
      </c>
      <c r="J238" s="1">
        <v>0.0</v>
      </c>
      <c r="K238" s="1">
        <f t="shared" si="2"/>
        <v>0.002635313388</v>
      </c>
      <c r="L238" s="1">
        <f t="shared" si="3"/>
        <v>0.2635313388</v>
      </c>
      <c r="M238" s="1">
        <v>0.58</v>
      </c>
    </row>
    <row r="239" ht="15.75" customHeight="1">
      <c r="A239" s="7">
        <v>44235.0</v>
      </c>
      <c r="B239" s="1">
        <v>869.669983</v>
      </c>
      <c r="C239" s="1">
        <v>877.77002</v>
      </c>
      <c r="D239" s="1">
        <v>854.75</v>
      </c>
      <c r="E239" s="1">
        <v>863.419983</v>
      </c>
      <c r="F239" s="1">
        <v>863.419983</v>
      </c>
      <c r="G239" s="1">
        <v>2.01617E7</v>
      </c>
      <c r="I239" s="1">
        <f t="shared" si="1"/>
        <v>0.01313026209</v>
      </c>
      <c r="J239" s="1">
        <v>0.0</v>
      </c>
      <c r="K239" s="1">
        <f t="shared" si="2"/>
        <v>0.01313026209</v>
      </c>
      <c r="L239" s="1">
        <f t="shared" si="3"/>
        <v>1.313026209</v>
      </c>
      <c r="M239" s="1">
        <v>0.96</v>
      </c>
    </row>
    <row r="240" ht="15.75" customHeight="1">
      <c r="A240" s="7">
        <v>44236.0</v>
      </c>
      <c r="B240" s="1">
        <v>855.119995</v>
      </c>
      <c r="C240" s="1">
        <v>859.799988</v>
      </c>
      <c r="D240" s="1">
        <v>841.75</v>
      </c>
      <c r="E240" s="1">
        <v>849.460022</v>
      </c>
      <c r="F240" s="1">
        <v>849.460022</v>
      </c>
      <c r="G240" s="1">
        <v>1.51577E7</v>
      </c>
      <c r="I240" s="1">
        <f t="shared" si="1"/>
        <v>-0.01616821625</v>
      </c>
      <c r="J240" s="1">
        <v>0.0</v>
      </c>
      <c r="K240" s="1">
        <f t="shared" si="2"/>
        <v>-0.01616821625</v>
      </c>
      <c r="L240" s="1">
        <f t="shared" si="3"/>
        <v>-1.616821625</v>
      </c>
      <c r="M240" s="1">
        <v>0.05</v>
      </c>
    </row>
    <row r="241" ht="15.75" customHeight="1">
      <c r="A241" s="7">
        <v>44237.0</v>
      </c>
      <c r="B241" s="1">
        <v>843.640015</v>
      </c>
      <c r="C241" s="1">
        <v>844.820007</v>
      </c>
      <c r="D241" s="1">
        <v>800.02002</v>
      </c>
      <c r="E241" s="1">
        <v>804.820007</v>
      </c>
      <c r="F241" s="1">
        <v>804.820007</v>
      </c>
      <c r="G241" s="1">
        <v>3.62161E7</v>
      </c>
      <c r="I241" s="1">
        <f t="shared" si="1"/>
        <v>-0.05255104872</v>
      </c>
      <c r="J241" s="1">
        <v>0.0</v>
      </c>
      <c r="K241" s="1">
        <f t="shared" si="2"/>
        <v>-0.05255104872</v>
      </c>
      <c r="L241" s="1">
        <f t="shared" si="3"/>
        <v>-5.255104872</v>
      </c>
      <c r="M241" s="1">
        <v>-0.07</v>
      </c>
    </row>
    <row r="242" ht="15.75" customHeight="1">
      <c r="A242" s="7">
        <v>44238.0</v>
      </c>
      <c r="B242" s="1">
        <v>812.440002</v>
      </c>
      <c r="C242" s="1">
        <v>829.880005</v>
      </c>
      <c r="D242" s="1">
        <v>801.72998</v>
      </c>
      <c r="E242" s="1">
        <v>811.659973</v>
      </c>
      <c r="F242" s="1">
        <v>811.659973</v>
      </c>
      <c r="G242" s="1">
        <v>2.16228E7</v>
      </c>
      <c r="I242" s="1">
        <f t="shared" si="1"/>
        <v>0.008498752442</v>
      </c>
      <c r="J242" s="1">
        <v>0.0</v>
      </c>
      <c r="K242" s="1">
        <f t="shared" si="2"/>
        <v>0.008498752442</v>
      </c>
      <c r="L242" s="1">
        <f t="shared" si="3"/>
        <v>0.8498752442</v>
      </c>
      <c r="M242" s="1">
        <v>0.19</v>
      </c>
    </row>
    <row r="243" ht="15.75" customHeight="1">
      <c r="A243" s="7">
        <v>44239.0</v>
      </c>
      <c r="B243" s="1">
        <v>801.26001</v>
      </c>
      <c r="C243" s="1">
        <v>817.330017</v>
      </c>
      <c r="D243" s="1">
        <v>785.330017</v>
      </c>
      <c r="E243" s="1">
        <v>816.119995</v>
      </c>
      <c r="F243" s="1">
        <v>816.119995</v>
      </c>
      <c r="G243" s="1">
        <v>2.37683E7</v>
      </c>
      <c r="I243" s="1">
        <f t="shared" si="1"/>
        <v>0.00549493895</v>
      </c>
      <c r="J243" s="1">
        <v>0.0</v>
      </c>
      <c r="K243" s="1">
        <f t="shared" si="2"/>
        <v>0.00549493895</v>
      </c>
      <c r="L243" s="1">
        <f t="shared" si="3"/>
        <v>0.549493895</v>
      </c>
      <c r="M243" s="1">
        <v>0.49</v>
      </c>
    </row>
    <row r="244" ht="15.75" customHeight="1">
      <c r="A244" s="7">
        <v>44243.0</v>
      </c>
      <c r="B244" s="1">
        <v>818.0</v>
      </c>
      <c r="C244" s="1">
        <v>821.0</v>
      </c>
      <c r="D244" s="1">
        <v>792.440002</v>
      </c>
      <c r="E244" s="1">
        <v>796.219971</v>
      </c>
      <c r="F244" s="1">
        <v>796.219971</v>
      </c>
      <c r="G244" s="1">
        <v>1.98023E7</v>
      </c>
      <c r="I244" s="1">
        <f t="shared" si="1"/>
        <v>-0.02438369863</v>
      </c>
      <c r="J244" s="1">
        <v>0.0</v>
      </c>
      <c r="K244" s="1">
        <f t="shared" si="2"/>
        <v>-0.02438369863</v>
      </c>
      <c r="L244" s="1">
        <f t="shared" si="3"/>
        <v>-2.438369863</v>
      </c>
      <c r="M244" s="1">
        <v>-0.14</v>
      </c>
    </row>
    <row r="245" ht="15.75" customHeight="1">
      <c r="A245" s="7">
        <v>44244.0</v>
      </c>
      <c r="B245" s="1">
        <v>779.090027</v>
      </c>
      <c r="C245" s="1">
        <v>799.840027</v>
      </c>
      <c r="D245" s="1">
        <v>762.01001</v>
      </c>
      <c r="E245" s="1">
        <v>798.150024</v>
      </c>
      <c r="F245" s="1">
        <v>798.150024</v>
      </c>
      <c r="G245" s="1">
        <v>2.59965E7</v>
      </c>
      <c r="I245" s="1">
        <f t="shared" si="1"/>
        <v>0.002424019832</v>
      </c>
      <c r="J245" s="1">
        <v>0.0</v>
      </c>
      <c r="K245" s="1">
        <f t="shared" si="2"/>
        <v>0.002424019832</v>
      </c>
      <c r="L245" s="1">
        <f t="shared" si="3"/>
        <v>0.2424019832</v>
      </c>
      <c r="M245" s="1">
        <v>-0.2</v>
      </c>
    </row>
    <row r="246" ht="15.75" customHeight="1">
      <c r="A246" s="7">
        <v>44245.0</v>
      </c>
      <c r="B246" s="1">
        <v>780.900024</v>
      </c>
      <c r="C246" s="1">
        <v>794.690002</v>
      </c>
      <c r="D246" s="1">
        <v>776.27002</v>
      </c>
      <c r="E246" s="1">
        <v>787.380005</v>
      </c>
      <c r="F246" s="1">
        <v>787.380005</v>
      </c>
      <c r="G246" s="1">
        <v>1.79571E7</v>
      </c>
      <c r="I246" s="1">
        <f t="shared" si="1"/>
        <v>-0.01349372759</v>
      </c>
      <c r="J246" s="1">
        <v>0.0</v>
      </c>
      <c r="K246" s="1">
        <f t="shared" si="2"/>
        <v>-0.01349372759</v>
      </c>
      <c r="L246" s="1">
        <f t="shared" si="3"/>
        <v>-1.349372759</v>
      </c>
      <c r="M246" s="1">
        <v>-0.63</v>
      </c>
    </row>
    <row r="247" ht="15.75" customHeight="1">
      <c r="A247" s="7">
        <v>44246.0</v>
      </c>
      <c r="B247" s="1">
        <v>795.0</v>
      </c>
      <c r="C247" s="1">
        <v>796.789978</v>
      </c>
      <c r="D247" s="1">
        <v>777.369995</v>
      </c>
      <c r="E247" s="1">
        <v>781.299988</v>
      </c>
      <c r="F247" s="1">
        <v>781.299988</v>
      </c>
      <c r="G247" s="1">
        <v>1.89583E7</v>
      </c>
      <c r="I247" s="1">
        <f t="shared" si="1"/>
        <v>-0.007721833119</v>
      </c>
      <c r="J247" s="1">
        <v>0.0</v>
      </c>
      <c r="K247" s="1">
        <f t="shared" si="2"/>
        <v>-0.007721833119</v>
      </c>
      <c r="L247" s="1">
        <f t="shared" si="3"/>
        <v>-0.7721833119</v>
      </c>
      <c r="M247" s="1">
        <v>0.16</v>
      </c>
    </row>
    <row r="248" ht="15.75" customHeight="1">
      <c r="A248" s="7">
        <v>44249.0</v>
      </c>
      <c r="B248" s="1">
        <v>762.640015</v>
      </c>
      <c r="C248" s="1">
        <v>768.5</v>
      </c>
      <c r="D248" s="1">
        <v>710.200012</v>
      </c>
      <c r="E248" s="1">
        <v>714.5</v>
      </c>
      <c r="F248" s="1">
        <v>714.5</v>
      </c>
      <c r="G248" s="1">
        <v>3.72697E7</v>
      </c>
      <c r="I248" s="1">
        <f t="shared" si="1"/>
        <v>-0.08549851405</v>
      </c>
      <c r="J248" s="1">
        <v>0.0</v>
      </c>
      <c r="K248" s="1">
        <f t="shared" si="2"/>
        <v>-0.08549851405</v>
      </c>
      <c r="L248" s="1">
        <f t="shared" si="3"/>
        <v>-8.549851405</v>
      </c>
      <c r="M248" s="1">
        <v>-1.12</v>
      </c>
    </row>
    <row r="249" ht="15.75" customHeight="1">
      <c r="A249" s="7">
        <v>44250.0</v>
      </c>
      <c r="B249" s="1">
        <v>662.130005</v>
      </c>
      <c r="C249" s="1">
        <v>713.609985</v>
      </c>
      <c r="D249" s="1">
        <v>619.0</v>
      </c>
      <c r="E249" s="1">
        <v>698.840027</v>
      </c>
      <c r="F249" s="1">
        <v>698.840027</v>
      </c>
      <c r="G249" s="1">
        <v>6.66069E7</v>
      </c>
      <c r="I249" s="1">
        <f t="shared" si="1"/>
        <v>-0.02191738698</v>
      </c>
      <c r="J249" s="1">
        <v>0.0</v>
      </c>
      <c r="K249" s="1">
        <f t="shared" si="2"/>
        <v>-0.02191738698</v>
      </c>
      <c r="L249" s="1">
        <f t="shared" si="3"/>
        <v>-2.191738698</v>
      </c>
      <c r="M249" s="1">
        <v>-0.15</v>
      </c>
    </row>
    <row r="250" ht="15.75" customHeight="1">
      <c r="A250" s="7">
        <v>44251.0</v>
      </c>
      <c r="B250" s="1">
        <v>711.849976</v>
      </c>
      <c r="C250" s="1">
        <v>745.0</v>
      </c>
      <c r="D250" s="1">
        <v>694.169983</v>
      </c>
      <c r="E250" s="1">
        <v>742.02002</v>
      </c>
      <c r="F250" s="1">
        <v>742.02002</v>
      </c>
      <c r="G250" s="1">
        <v>3.6767E7</v>
      </c>
      <c r="I250" s="1">
        <f t="shared" si="1"/>
        <v>0.0617880936</v>
      </c>
      <c r="J250" s="1">
        <v>0.0</v>
      </c>
      <c r="K250" s="1">
        <f t="shared" si="2"/>
        <v>0.0617880936</v>
      </c>
      <c r="L250" s="1">
        <f t="shared" si="3"/>
        <v>6.17880936</v>
      </c>
      <c r="M250" s="1">
        <v>1.15</v>
      </c>
    </row>
    <row r="251" ht="15.75" customHeight="1">
      <c r="A251" s="7">
        <v>44252.0</v>
      </c>
      <c r="B251" s="1">
        <v>726.150024</v>
      </c>
      <c r="C251" s="1">
        <v>737.210022</v>
      </c>
      <c r="D251" s="1">
        <v>670.580017</v>
      </c>
      <c r="E251" s="1">
        <v>682.219971</v>
      </c>
      <c r="F251" s="1">
        <v>682.219971</v>
      </c>
      <c r="G251" s="1">
        <v>3.90239E7</v>
      </c>
      <c r="I251" s="1">
        <f t="shared" si="1"/>
        <v>-0.08059088352</v>
      </c>
      <c r="J251" s="1">
        <v>0.0</v>
      </c>
      <c r="K251" s="1">
        <f t="shared" si="2"/>
        <v>-0.08059088352</v>
      </c>
      <c r="L251" s="1">
        <f t="shared" si="3"/>
        <v>-8.059088352</v>
      </c>
      <c r="M251" s="1">
        <v>-2.73</v>
      </c>
    </row>
    <row r="252" ht="15.75" customHeight="1">
      <c r="A252" s="7">
        <v>44253.0</v>
      </c>
      <c r="B252" s="1">
        <v>700.0</v>
      </c>
      <c r="C252" s="1">
        <v>706.700012</v>
      </c>
      <c r="D252" s="1">
        <v>659.51001</v>
      </c>
      <c r="E252" s="1">
        <v>675.5</v>
      </c>
      <c r="F252" s="1">
        <v>675.5</v>
      </c>
      <c r="G252" s="1">
        <v>4.10892E7</v>
      </c>
      <c r="I252" s="1">
        <f t="shared" si="1"/>
        <v>-0.009850152862</v>
      </c>
      <c r="J252" s="1">
        <v>0.0</v>
      </c>
      <c r="K252" s="1">
        <f t="shared" si="2"/>
        <v>-0.009850152862</v>
      </c>
      <c r="L252" s="1">
        <f t="shared" si="3"/>
        <v>-0.9850152862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2021-04-29T13:09:53Z</dcterms:created>
</cp:coreProperties>
</file>