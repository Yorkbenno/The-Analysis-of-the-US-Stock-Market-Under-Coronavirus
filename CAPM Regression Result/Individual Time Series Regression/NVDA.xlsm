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heet2" sheetId="1" r:id="rId4"/>
    <sheet state="visible" name="Sheet1" sheetId="2" r:id="rId5"/>
    <sheet state="visible" name="NVDA" sheetId="3" r:id="rId6"/>
  </sheets>
  <definedNames/>
  <calcPr/>
  <extLst>
    <ext uri="GoogleSheetsCustomDataVersion1">
      <go:sheetsCustomData xmlns:go="http://customooxmlschemas.google.com/" r:id="rId7" roundtripDataSignature="AMtx7mgxP3V/O6j31FDZYrcI7Vv7xrh1zQ=="/>
    </ext>
  </extLst>
</workbook>
</file>

<file path=xl/sharedStrings.xml><?xml version="1.0" encoding="utf-8"?>
<sst xmlns="http://schemas.openxmlformats.org/spreadsheetml/2006/main" count="64" uniqueCount="37">
  <si>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</si>
  <si>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</si>
  <si>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</si>
  <si>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</si>
  <si>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</si>
  <si>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</si>
  <si>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</si>
  <si>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</si>
  <si>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df</t>
  </si>
  <si>
    <t>SS</t>
  </si>
  <si>
    <t>MS</t>
  </si>
  <si>
    <t>F</t>
  </si>
  <si>
    <t>Significance F</t>
  </si>
  <si>
    <t>Regression</t>
  </si>
  <si>
    <t>Residual</t>
  </si>
  <si>
    <t>Total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</si>
  <si>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</si>
  <si>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</si>
  <si>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</si>
  <si>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</si>
  <si>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</si>
  <si>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</si>
  <si>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</si>
  <si>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Intercept</t>
  </si>
  <si>
    <t>X Variable 1</t>
  </si>
  <si>
    <t>Date</t>
  </si>
  <si>
    <t>Open</t>
  </si>
  <si>
    <t>High</t>
  </si>
  <si>
    <t>Low</t>
  </si>
  <si>
    <t>Close</t>
  </si>
  <si>
    <t>Adj Close</t>
  </si>
  <si>
    <t>Volume</t>
  </si>
  <si>
    <t>Daily Return</t>
  </si>
  <si>
    <t>RF rate</t>
  </si>
  <si>
    <t>Excess Return for NVDA</t>
  </si>
  <si>
    <t>NVDA</t>
  </si>
  <si>
    <t>Mkt-RF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</si>
</sst>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6">
    <font>
      <sz val="12.0"/>
      <color theme="1"/>
      <name val="Arial"/>
    </font>
    <font>
      <color theme="1"/>
      <name val="Calibri"/>
    </font>
    <font>
      <i/>
      <sz val="12.0"/>
      <color theme="1"/>
      <name val="Calibri"/>
    </font>
    <font/>
    <font>
      <sz val="12.0"/>
      <color theme="1"/>
      <name val="Calibri"/>
    </font>
    <font>
      <sz val="12.0"/>
      <color rgb="FF000000"/>
      <name val="Calibri"/>
    </font>
  </fonts>
  <fills count="2">
    <fill>
      <patternFill patternType="none"/>
    </fill>
    <fill>
      <patternFill patternType="lightGray"/>
    </fill>
  </fills>
  <borders count="3">
    <border/>
    <border>
      <top style="medium">
        <color rgb="FF000000"/>
      </top>
      <bottom style="thin">
        <color rgb="FF000000"/>
      </bottom>
    </border>
    <border>
      <bottom style="medium">
        <color rgb="FF000000"/>
      </bottom>
    </border>
  </borders>
  <cellStyleXfs count="1">
    <xf borderId="0" fillId="0" fontId="0" numFmtId="0" applyAlignment="1" applyFont="1"/>
  </cellStyleXfs>
  <cellXfs count="9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1" fillId="0" fontId="2" numFmtId="0" xfId="0" applyAlignment="1" applyBorder="1" applyFont="1">
      <alignment horizontal="center"/>
    </xf>
    <xf borderId="1" fillId="0" fontId="3" numFmtId="0" xfId="0" applyBorder="1" applyFont="1"/>
    <xf borderId="0" fillId="0" fontId="4" numFmtId="0" xfId="0" applyFont="1"/>
    <xf borderId="2" fillId="0" fontId="4" numFmtId="0" xfId="0" applyBorder="1" applyFont="1"/>
    <xf borderId="0" fillId="0" fontId="5" numFmtId="0" xfId="0" applyFont="1"/>
    <xf borderId="0" fillId="0" fontId="4" numFmtId="14" xfId="0" applyFont="1" applyNumberFormat="1"/>
    <xf borderId="0" fillId="0" fontId="1" numFmtId="0" xfId="0" applyAlignment="1" applyFont="1">
      <alignment readingOrder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26" width="10.56"/>
  </cols>
  <sheetData>
    <row r="1" ht="15.75" customHeight="1">
      <c r="A1" s="1" t="s">
        <v>0</v>
      </c>
    </row>
    <row r="2" ht="15.75" customHeight="1"/>
    <row r="3" ht="15.75" customHeight="1">
      <c r="A3" s="2" t="s">
        <v>1</v>
      </c>
      <c r="B3" s="3"/>
    </row>
    <row r="4" ht="15.75" customHeight="1">
      <c r="A4" s="4" t="s">
        <v>2</v>
      </c>
      <c r="B4" s="4">
        <v>0.8000537287929864</v>
      </c>
    </row>
    <row r="5" ht="15.75" customHeight="1">
      <c r="A5" s="4" t="s">
        <v>3</v>
      </c>
      <c r="B5" s="4">
        <v>0.6400859689555615</v>
      </c>
    </row>
    <row r="6" ht="15.75" customHeight="1">
      <c r="A6" s="4" t="s">
        <v>4</v>
      </c>
      <c r="B6" s="4">
        <v>0.63863470270135</v>
      </c>
    </row>
    <row r="7" ht="15.75" customHeight="1">
      <c r="A7" s="4" t="s">
        <v>5</v>
      </c>
      <c r="B7" s="4">
        <v>2.189898189678002</v>
      </c>
    </row>
    <row r="8" ht="15.75" customHeight="1">
      <c r="A8" s="5" t="s">
        <v>6</v>
      </c>
      <c r="B8" s="5">
        <v>250.0</v>
      </c>
    </row>
    <row r="9" ht="15.75" customHeight="1"/>
    <row r="10" ht="15.75" customHeight="1">
      <c r="A10" s="1" t="s">
        <v>7</v>
      </c>
    </row>
    <row r="11" ht="15.75" customHeight="1">
      <c r="A11" s="2"/>
      <c r="B11" s="2" t="s">
        <v>8</v>
      </c>
      <c r="C11" s="2" t="s">
        <v>9</v>
      </c>
      <c r="D11" s="2" t="s">
        <v>10</v>
      </c>
      <c r="E11" s="2" t="s">
        <v>11</v>
      </c>
      <c r="F11" s="2" t="s">
        <v>12</v>
      </c>
    </row>
    <row r="12" ht="15.75" customHeight="1">
      <c r="A12" s="4" t="s">
        <v>13</v>
      </c>
      <c r="B12" s="4">
        <v>1.0</v>
      </c>
      <c r="C12" s="4">
        <v>2115.1397136149126</v>
      </c>
      <c r="D12" s="4">
        <v>2115.1397136149126</v>
      </c>
      <c r="E12" s="4">
        <v>441.05343667854794</v>
      </c>
      <c r="F12" s="4">
        <v>5.872652335615255E-57</v>
      </c>
    </row>
    <row r="13" ht="15.75" customHeight="1">
      <c r="A13" s="4" t="s">
        <v>14</v>
      </c>
      <c r="B13" s="4">
        <v>248.0</v>
      </c>
      <c r="C13" s="4">
        <v>1189.3222121264375</v>
      </c>
      <c r="D13" s="4">
        <v>4.79565408115499</v>
      </c>
      <c r="E13" s="4"/>
      <c r="F13" s="4"/>
    </row>
    <row r="14" ht="15.75" customHeight="1">
      <c r="A14" s="5" t="s">
        <v>15</v>
      </c>
      <c r="B14" s="5">
        <v>249.0</v>
      </c>
      <c r="C14" s="5">
        <v>3304.46192574135</v>
      </c>
      <c r="D14" s="5"/>
      <c r="E14" s="5"/>
      <c r="F14" s="5"/>
    </row>
    <row r="15" ht="15.75" customHeight="1"/>
    <row r="16" ht="15.75" customHeight="1">
      <c r="A16" s="2"/>
      <c r="B16" s="2" t="s">
        <v>16</v>
      </c>
      <c r="C16" s="2" t="s">
        <v>5</v>
      </c>
      <c r="D16" s="2" t="s">
        <v>17</v>
      </c>
      <c r="E16" s="2" t="s">
        <v>18</v>
      </c>
      <c r="F16" s="2" t="s">
        <v>19</v>
      </c>
      <c r="G16" s="2" t="s">
        <v>20</v>
      </c>
      <c r="H16" s="2" t="s">
        <v>21</v>
      </c>
      <c r="I16" s="2" t="s">
        <v>22</v>
      </c>
    </row>
    <row r="17" ht="15.75" customHeight="1">
      <c r="A17" s="4" t="s">
        <v>23</v>
      </c>
      <c r="B17" s="4">
        <v>0.10631247018558143</v>
      </c>
      <c r="C17" s="4">
        <v>0.13877988487328177</v>
      </c>
      <c r="D17" s="4">
        <v>0.766051004312722</v>
      </c>
      <c r="E17" s="4">
        <v>0.4443744579128004</v>
      </c>
      <c r="F17" s="4">
        <v>-0.16702501227386773</v>
      </c>
      <c r="G17" s="4">
        <v>0.3796499526450306</v>
      </c>
      <c r="H17" s="4">
        <v>-0.16702501227386773</v>
      </c>
      <c r="I17" s="4">
        <v>0.3796499526450306</v>
      </c>
    </row>
    <row r="18" ht="15.75" customHeight="1">
      <c r="A18" s="5" t="s">
        <v>24</v>
      </c>
      <c r="B18" s="5">
        <v>1.3563531390826347</v>
      </c>
      <c r="C18" s="5">
        <v>0.06458433194311218</v>
      </c>
      <c r="D18" s="5">
        <v>21.001272263330854</v>
      </c>
      <c r="E18" s="5">
        <v>5.872652335612996E-57</v>
      </c>
      <c r="F18" s="5">
        <v>1.2291494112817745</v>
      </c>
      <c r="G18" s="5">
        <v>1.4835568668834949</v>
      </c>
      <c r="H18" s="5">
        <v>1.2291494112817745</v>
      </c>
      <c r="I18" s="5">
        <v>1.4835568668834949</v>
      </c>
    </row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3:B3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26" width="10.56"/>
  </cols>
  <sheetData>
    <row r="1" ht="15.75" customHeight="1">
      <c r="A1" s="1" t="s">
        <v>0</v>
      </c>
    </row>
    <row r="2" ht="15.75" customHeight="1"/>
    <row r="3" ht="15.75" customHeight="1">
      <c r="A3" s="2" t="s">
        <v>1</v>
      </c>
      <c r="B3" s="3"/>
    </row>
    <row r="4" ht="15.75" customHeight="1">
      <c r="A4" s="4" t="s">
        <v>2</v>
      </c>
      <c r="B4" s="4">
        <v>0.66107014005101</v>
      </c>
    </row>
    <row r="5" ht="15.75" customHeight="1">
      <c r="A5" s="4" t="s">
        <v>3</v>
      </c>
      <c r="B5" s="4">
        <v>0.43701373006706185</v>
      </c>
    </row>
    <row r="6" ht="15.75" customHeight="1">
      <c r="A6" s="4" t="s">
        <v>4</v>
      </c>
      <c r="B6" s="4">
        <v>0.43453361434048504</v>
      </c>
    </row>
    <row r="7" ht="15.75" customHeight="1">
      <c r="A7" s="4" t="s">
        <v>5</v>
      </c>
      <c r="B7" s="4">
        <v>2.171031271001019</v>
      </c>
    </row>
    <row r="8" ht="15.75" customHeight="1">
      <c r="A8" s="5" t="s">
        <v>6</v>
      </c>
      <c r="B8" s="5">
        <v>229.0</v>
      </c>
    </row>
    <row r="9" ht="15.75" customHeight="1"/>
    <row r="10" ht="15.75" customHeight="1">
      <c r="A10" s="1" t="s">
        <v>7</v>
      </c>
    </row>
    <row r="11" ht="15.75" customHeight="1">
      <c r="A11" s="2"/>
      <c r="B11" s="2" t="s">
        <v>8</v>
      </c>
      <c r="C11" s="2" t="s">
        <v>9</v>
      </c>
      <c r="D11" s="2" t="s">
        <v>10</v>
      </c>
      <c r="E11" s="2" t="s">
        <v>11</v>
      </c>
      <c r="F11" s="2" t="s">
        <v>12</v>
      </c>
    </row>
    <row r="12" ht="15.75" customHeight="1">
      <c r="A12" s="4" t="s">
        <v>13</v>
      </c>
      <c r="B12" s="4">
        <v>1.0</v>
      </c>
      <c r="C12" s="4">
        <v>830.5299408490205</v>
      </c>
      <c r="D12" s="4">
        <v>830.5299408490205</v>
      </c>
      <c r="E12" s="4">
        <v>176.20699122385312</v>
      </c>
      <c r="F12" s="4">
        <v>3.822011066218496E-30</v>
      </c>
    </row>
    <row r="13" ht="15.75" customHeight="1">
      <c r="A13" s="4" t="s">
        <v>14</v>
      </c>
      <c r="B13" s="4">
        <v>227.0</v>
      </c>
      <c r="C13" s="4">
        <v>1069.9365289837963</v>
      </c>
      <c r="D13" s="4">
        <v>4.7133767796643005</v>
      </c>
      <c r="E13" s="4"/>
      <c r="F13" s="4"/>
    </row>
    <row r="14" ht="15.75" customHeight="1">
      <c r="A14" s="5" t="s">
        <v>15</v>
      </c>
      <c r="B14" s="5">
        <v>228.0</v>
      </c>
      <c r="C14" s="5">
        <v>1900.4664698328168</v>
      </c>
      <c r="D14" s="5"/>
      <c r="E14" s="5"/>
      <c r="F14" s="5"/>
    </row>
    <row r="15" ht="15.75" customHeight="1"/>
    <row r="16" ht="15.75" customHeight="1">
      <c r="A16" s="2"/>
      <c r="B16" s="2" t="s">
        <v>16</v>
      </c>
      <c r="C16" s="2" t="s">
        <v>5</v>
      </c>
      <c r="D16" s="2" t="s">
        <v>17</v>
      </c>
      <c r="E16" s="2" t="s">
        <v>18</v>
      </c>
      <c r="F16" s="2" t="s">
        <v>19</v>
      </c>
      <c r="G16" s="2" t="s">
        <v>20</v>
      </c>
      <c r="H16" s="2" t="s">
        <v>21</v>
      </c>
      <c r="I16" s="2" t="s">
        <v>22</v>
      </c>
    </row>
    <row r="17" ht="15.75" customHeight="1">
      <c r="A17" s="4" t="s">
        <v>23</v>
      </c>
      <c r="B17" s="4">
        <v>0.06847396515266885</v>
      </c>
      <c r="C17" s="4">
        <v>0.1451667872404913</v>
      </c>
      <c r="D17" s="4">
        <v>0.4716916758599272</v>
      </c>
      <c r="E17" s="4">
        <v>0.6375999391078366</v>
      </c>
      <c r="F17" s="4">
        <v>-0.21757276335428266</v>
      </c>
      <c r="G17" s="4">
        <v>0.35452069365962036</v>
      </c>
      <c r="H17" s="4">
        <v>-0.21757276335428266</v>
      </c>
      <c r="I17" s="4">
        <v>0.35452069365962036</v>
      </c>
    </row>
    <row r="18" ht="15.75" customHeight="1">
      <c r="A18" s="5" t="s">
        <v>24</v>
      </c>
      <c r="B18" s="5">
        <v>1.374318872786896</v>
      </c>
      <c r="C18" s="5">
        <v>0.10353231921167104</v>
      </c>
      <c r="D18" s="5">
        <v>13.274298144303245</v>
      </c>
      <c r="E18" s="5">
        <v>3.822011066218988E-30</v>
      </c>
      <c r="F18" s="5">
        <v>1.1703115942061975</v>
      </c>
      <c r="G18" s="5">
        <v>1.5783261513675946</v>
      </c>
      <c r="H18" s="5">
        <v>1.1703115942061975</v>
      </c>
      <c r="I18" s="5">
        <v>1.5783261513675946</v>
      </c>
    </row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3:B3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8" width="10.56"/>
    <col customWidth="1" min="9" max="9" width="12.78"/>
    <col customWidth="1" min="10" max="10" width="10.56"/>
    <col customWidth="1" min="11" max="11" width="20.11"/>
    <col customWidth="1" min="12" max="26" width="10.56"/>
  </cols>
  <sheetData>
    <row r="1" ht="15.75" customHeight="1">
      <c r="A1" s="1" t="s">
        <v>25</v>
      </c>
      <c r="B1" s="1" t="s">
        <v>26</v>
      </c>
      <c r="C1" s="1" t="s">
        <v>27</v>
      </c>
      <c r="D1" s="1" t="s">
        <v>28</v>
      </c>
      <c r="E1" s="1" t="s">
        <v>29</v>
      </c>
      <c r="F1" s="1" t="s">
        <v>30</v>
      </c>
      <c r="G1" s="1" t="s">
        <v>31</v>
      </c>
      <c r="I1" s="6" t="s">
        <v>32</v>
      </c>
      <c r="J1" s="6" t="s">
        <v>33</v>
      </c>
      <c r="K1" s="6" t="s">
        <v>34</v>
      </c>
      <c r="L1" s="6" t="s">
        <v>35</v>
      </c>
      <c r="M1" s="6" t="s">
        <v>36</v>
      </c>
    </row>
    <row r="2" ht="15.75" customHeight="1">
      <c r="A2" s="7">
        <v>43892.0</v>
      </c>
      <c r="B2" s="1">
        <v>276.899994</v>
      </c>
      <c r="C2" s="1">
        <v>277.589996</v>
      </c>
      <c r="D2" s="1">
        <v>261.0</v>
      </c>
      <c r="E2" s="1">
        <v>276.429993</v>
      </c>
      <c r="F2" s="1">
        <v>276.139679</v>
      </c>
      <c r="G2" s="1">
        <v>2.22686E7</v>
      </c>
      <c r="J2" s="1">
        <v>0.006</v>
      </c>
      <c r="M2" s="1">
        <v>4.31</v>
      </c>
    </row>
    <row r="3" ht="15.75" customHeight="1">
      <c r="A3" s="7">
        <v>43893.0</v>
      </c>
      <c r="B3" s="1">
        <v>278.670013</v>
      </c>
      <c r="C3" s="1">
        <v>281.070007</v>
      </c>
      <c r="D3" s="1">
        <v>262.459991</v>
      </c>
      <c r="E3" s="1">
        <v>265.890015</v>
      </c>
      <c r="F3" s="1">
        <v>265.610779</v>
      </c>
      <c r="G3" s="1">
        <v>1.63198E7</v>
      </c>
      <c r="I3" s="1">
        <f t="shared" ref="I3:I252" si="1">(F3-F2)/F2</f>
        <v>-0.03812889201</v>
      </c>
      <c r="J3" s="1">
        <v>0.006</v>
      </c>
      <c r="K3" s="1">
        <f t="shared" ref="K3:K252" si="2">I3-J3</f>
        <v>-0.04412889201</v>
      </c>
      <c r="L3" s="1">
        <f t="shared" ref="L3:L252" si="3">100*K3</f>
        <v>-4.412889201</v>
      </c>
      <c r="M3" s="1">
        <v>-2.79</v>
      </c>
      <c r="N3" s="8">
        <v>3.0</v>
      </c>
      <c r="O3" s="8">
        <v>4.0</v>
      </c>
    </row>
    <row r="4" ht="15.75" customHeight="1">
      <c r="A4" s="7">
        <v>43894.0</v>
      </c>
      <c r="B4" s="1">
        <v>270.200012</v>
      </c>
      <c r="C4" s="1">
        <v>284.890015</v>
      </c>
      <c r="D4" s="1">
        <v>267.200012</v>
      </c>
      <c r="E4" s="1">
        <v>284.51001</v>
      </c>
      <c r="F4" s="1">
        <v>284.211243</v>
      </c>
      <c r="G4" s="1">
        <v>1.49352E7</v>
      </c>
      <c r="I4" s="1">
        <f t="shared" si="1"/>
        <v>0.07002902544</v>
      </c>
      <c r="J4" s="1">
        <v>0.006</v>
      </c>
      <c r="K4" s="1">
        <f t="shared" si="2"/>
        <v>0.06402902544</v>
      </c>
      <c r="L4" s="1">
        <f t="shared" si="3"/>
        <v>6.402902544</v>
      </c>
      <c r="M4" s="1">
        <v>4.03</v>
      </c>
      <c r="N4" s="1">
        <f>AVERAGE(L3:L252)</f>
        <v>0.2908850054</v>
      </c>
      <c r="O4" s="1">
        <f>AVERAGE(L24:L252)</f>
        <v>0.3626022095</v>
      </c>
    </row>
    <row r="5" ht="15.75" customHeight="1">
      <c r="A5" s="7">
        <v>43895.0</v>
      </c>
      <c r="B5" s="1">
        <v>276.5</v>
      </c>
      <c r="C5" s="1">
        <v>283.200012</v>
      </c>
      <c r="D5" s="1">
        <v>271.5</v>
      </c>
      <c r="E5" s="1">
        <v>273.290009</v>
      </c>
      <c r="F5" s="1">
        <v>273.002991</v>
      </c>
      <c r="G5" s="1">
        <v>1.35082E7</v>
      </c>
      <c r="I5" s="1">
        <f t="shared" si="1"/>
        <v>-0.03943634278</v>
      </c>
      <c r="J5" s="1">
        <v>0.006</v>
      </c>
      <c r="K5" s="1">
        <f t="shared" si="2"/>
        <v>-0.04543634278</v>
      </c>
      <c r="L5" s="1">
        <f t="shared" si="3"/>
        <v>-4.543634278</v>
      </c>
      <c r="M5" s="1">
        <v>-3.38</v>
      </c>
    </row>
    <row r="6" ht="15.75" customHeight="1">
      <c r="A6" s="7">
        <v>43896.0</v>
      </c>
      <c r="B6" s="1">
        <v>266.079987</v>
      </c>
      <c r="C6" s="1">
        <v>268.390015</v>
      </c>
      <c r="D6" s="1">
        <v>258.0</v>
      </c>
      <c r="E6" s="1">
        <v>266.040009</v>
      </c>
      <c r="F6" s="1">
        <v>265.76062</v>
      </c>
      <c r="G6" s="1">
        <v>1.28853E7</v>
      </c>
      <c r="I6" s="1">
        <f t="shared" si="1"/>
        <v>-0.02652854085</v>
      </c>
      <c r="J6" s="1">
        <v>0.006</v>
      </c>
      <c r="K6" s="1">
        <f t="shared" si="2"/>
        <v>-0.03252854085</v>
      </c>
      <c r="L6" s="1">
        <f t="shared" si="3"/>
        <v>-3.252854085</v>
      </c>
      <c r="M6" s="1">
        <v>-1.78</v>
      </c>
    </row>
    <row r="7" ht="15.75" customHeight="1">
      <c r="A7" s="7">
        <v>43899.0</v>
      </c>
      <c r="B7" s="1">
        <v>239.899994</v>
      </c>
      <c r="C7" s="1">
        <v>259.399994</v>
      </c>
      <c r="D7" s="1">
        <v>238.179993</v>
      </c>
      <c r="E7" s="1">
        <v>245.440002</v>
      </c>
      <c r="F7" s="1">
        <v>245.182236</v>
      </c>
      <c r="G7" s="1">
        <v>1.5354E7</v>
      </c>
      <c r="I7" s="1">
        <f t="shared" si="1"/>
        <v>-0.07743202887</v>
      </c>
      <c r="J7" s="1">
        <v>0.006</v>
      </c>
      <c r="K7" s="1">
        <f t="shared" si="2"/>
        <v>-0.08343202887</v>
      </c>
      <c r="L7" s="1">
        <f t="shared" si="3"/>
        <v>-8.343202887</v>
      </c>
      <c r="M7" s="1">
        <v>-7.79</v>
      </c>
    </row>
    <row r="8" ht="15.75" customHeight="1">
      <c r="A8" s="7">
        <v>43900.0</v>
      </c>
      <c r="B8" s="1">
        <v>256.540009</v>
      </c>
      <c r="C8" s="1">
        <v>261.079987</v>
      </c>
      <c r="D8" s="1">
        <v>245.990005</v>
      </c>
      <c r="E8" s="1">
        <v>261.079987</v>
      </c>
      <c r="F8" s="1">
        <v>260.805786</v>
      </c>
      <c r="G8" s="1">
        <v>1.45162E7</v>
      </c>
      <c r="I8" s="1">
        <f t="shared" si="1"/>
        <v>0.06372219397</v>
      </c>
      <c r="J8" s="1">
        <v>0.006</v>
      </c>
      <c r="K8" s="1">
        <f t="shared" si="2"/>
        <v>0.05772219397</v>
      </c>
      <c r="L8" s="1">
        <f t="shared" si="3"/>
        <v>5.772219397</v>
      </c>
      <c r="M8" s="1">
        <v>4.74</v>
      </c>
    </row>
    <row r="9" ht="15.75" customHeight="1">
      <c r="A9" s="7">
        <v>43901.0</v>
      </c>
      <c r="B9" s="1">
        <v>255.460007</v>
      </c>
      <c r="C9" s="1">
        <v>256.600006</v>
      </c>
      <c r="D9" s="1">
        <v>242.570007</v>
      </c>
      <c r="E9" s="1">
        <v>246.470001</v>
      </c>
      <c r="F9" s="1">
        <v>246.211151</v>
      </c>
      <c r="G9" s="1">
        <v>1.24991E7</v>
      </c>
      <c r="I9" s="1">
        <f t="shared" si="1"/>
        <v>-0.05595978227</v>
      </c>
      <c r="J9" s="1">
        <v>0.006</v>
      </c>
      <c r="K9" s="1">
        <f t="shared" si="2"/>
        <v>-0.06195978227</v>
      </c>
      <c r="L9" s="1">
        <f t="shared" si="3"/>
        <v>-6.195978227</v>
      </c>
      <c r="M9" s="1">
        <v>-5.05</v>
      </c>
    </row>
    <row r="10" ht="15.75" customHeight="1">
      <c r="A10" s="7">
        <v>43902.0</v>
      </c>
      <c r="B10" s="1">
        <v>225.460007</v>
      </c>
      <c r="C10" s="1">
        <v>236.119995</v>
      </c>
      <c r="D10" s="1">
        <v>215.800003</v>
      </c>
      <c r="E10" s="1">
        <v>216.309998</v>
      </c>
      <c r="F10" s="1">
        <v>216.082809</v>
      </c>
      <c r="G10" s="1">
        <v>2.04135E7</v>
      </c>
      <c r="I10" s="1">
        <f t="shared" si="1"/>
        <v>-0.122367902</v>
      </c>
      <c r="J10" s="1">
        <v>0.006</v>
      </c>
      <c r="K10" s="1">
        <f t="shared" si="2"/>
        <v>-0.128367902</v>
      </c>
      <c r="L10" s="1">
        <f t="shared" si="3"/>
        <v>-12.8367902</v>
      </c>
      <c r="M10" s="1">
        <v>-9.63</v>
      </c>
    </row>
    <row r="11" ht="15.75" customHeight="1">
      <c r="A11" s="7">
        <v>43903.0</v>
      </c>
      <c r="B11" s="1">
        <v>230.5</v>
      </c>
      <c r="C11" s="1">
        <v>241.020004</v>
      </c>
      <c r="D11" s="1">
        <v>219.610001</v>
      </c>
      <c r="E11" s="1">
        <v>240.839996</v>
      </c>
      <c r="F11" s="1">
        <v>240.587051</v>
      </c>
      <c r="G11" s="1">
        <v>1.58709E7</v>
      </c>
      <c r="I11" s="1">
        <f t="shared" si="1"/>
        <v>0.1134020893</v>
      </c>
      <c r="J11" s="1">
        <v>0.006</v>
      </c>
      <c r="K11" s="1">
        <f t="shared" si="2"/>
        <v>0.1074020893</v>
      </c>
      <c r="L11" s="1">
        <f t="shared" si="3"/>
        <v>10.74020893</v>
      </c>
      <c r="M11" s="1">
        <v>8.96</v>
      </c>
    </row>
    <row r="12" ht="15.75" customHeight="1">
      <c r="A12" s="7">
        <v>43906.0</v>
      </c>
      <c r="B12" s="1">
        <v>212.410004</v>
      </c>
      <c r="C12" s="1">
        <v>226.100006</v>
      </c>
      <c r="D12" s="1">
        <v>194.0</v>
      </c>
      <c r="E12" s="1">
        <v>196.399994</v>
      </c>
      <c r="F12" s="1">
        <v>196.19371</v>
      </c>
      <c r="G12" s="1">
        <v>1.81743E7</v>
      </c>
      <c r="I12" s="1">
        <f t="shared" si="1"/>
        <v>-0.1845209076</v>
      </c>
      <c r="J12" s="1">
        <v>0.006</v>
      </c>
      <c r="K12" s="1">
        <f t="shared" si="2"/>
        <v>-0.1905209076</v>
      </c>
      <c r="L12" s="1">
        <f t="shared" si="3"/>
        <v>-19.05209076</v>
      </c>
      <c r="M12" s="1">
        <v>-12.0</v>
      </c>
    </row>
    <row r="13" ht="15.75" customHeight="1">
      <c r="A13" s="7">
        <v>43907.0</v>
      </c>
      <c r="B13" s="1">
        <v>200.910004</v>
      </c>
      <c r="C13" s="1">
        <v>220.860001</v>
      </c>
      <c r="D13" s="1">
        <v>191.0</v>
      </c>
      <c r="E13" s="1">
        <v>217.270004</v>
      </c>
      <c r="F13" s="1">
        <v>217.041824</v>
      </c>
      <c r="G13" s="1">
        <v>2.08408E7</v>
      </c>
      <c r="I13" s="1">
        <f t="shared" si="1"/>
        <v>0.1062629072</v>
      </c>
      <c r="J13" s="1">
        <v>0.006</v>
      </c>
      <c r="K13" s="1">
        <f t="shared" si="2"/>
        <v>0.1002629072</v>
      </c>
      <c r="L13" s="1">
        <f t="shared" si="3"/>
        <v>10.02629072</v>
      </c>
      <c r="M13" s="1">
        <v>5.87</v>
      </c>
    </row>
    <row r="14" ht="15.75" customHeight="1">
      <c r="A14" s="7">
        <v>43908.0</v>
      </c>
      <c r="B14" s="1">
        <v>200.100006</v>
      </c>
      <c r="C14" s="1">
        <v>209.940002</v>
      </c>
      <c r="D14" s="1">
        <v>180.679993</v>
      </c>
      <c r="E14" s="1">
        <v>202.820007</v>
      </c>
      <c r="F14" s="1">
        <v>202.606995</v>
      </c>
      <c r="G14" s="1">
        <v>2.18567E7</v>
      </c>
      <c r="I14" s="1">
        <f t="shared" si="1"/>
        <v>-0.0665071309</v>
      </c>
      <c r="J14" s="1">
        <v>0.006</v>
      </c>
      <c r="K14" s="1">
        <f t="shared" si="2"/>
        <v>-0.0725071309</v>
      </c>
      <c r="L14" s="1">
        <f t="shared" si="3"/>
        <v>-7.25071309</v>
      </c>
      <c r="M14" s="1">
        <v>-5.56</v>
      </c>
    </row>
    <row r="15" ht="15.75" customHeight="1">
      <c r="A15" s="7">
        <v>43909.0</v>
      </c>
      <c r="B15" s="1">
        <v>201.960007</v>
      </c>
      <c r="C15" s="1">
        <v>216.729996</v>
      </c>
      <c r="D15" s="1">
        <v>193.389999</v>
      </c>
      <c r="E15" s="1">
        <v>212.970001</v>
      </c>
      <c r="F15" s="1">
        <v>212.746323</v>
      </c>
      <c r="G15" s="1">
        <v>1.91378E7</v>
      </c>
      <c r="I15" s="1">
        <f t="shared" si="1"/>
        <v>0.05004431362</v>
      </c>
      <c r="J15" s="1">
        <v>0.006</v>
      </c>
      <c r="K15" s="1">
        <f t="shared" si="2"/>
        <v>0.04404431362</v>
      </c>
      <c r="L15" s="1">
        <f t="shared" si="3"/>
        <v>4.404431362</v>
      </c>
      <c r="M15" s="1">
        <v>1.31</v>
      </c>
    </row>
    <row r="16" ht="15.75" customHeight="1">
      <c r="A16" s="7">
        <v>43910.0</v>
      </c>
      <c r="B16" s="1">
        <v>219.0</v>
      </c>
      <c r="C16" s="1">
        <v>230.320007</v>
      </c>
      <c r="D16" s="1">
        <v>205.130005</v>
      </c>
      <c r="E16" s="1">
        <v>205.75</v>
      </c>
      <c r="F16" s="1">
        <v>205.53392</v>
      </c>
      <c r="G16" s="1">
        <v>2.01159E7</v>
      </c>
      <c r="I16" s="1">
        <f t="shared" si="1"/>
        <v>-0.03390142259</v>
      </c>
      <c r="J16" s="1">
        <v>0.006</v>
      </c>
      <c r="K16" s="1">
        <f t="shared" si="2"/>
        <v>-0.03990142259</v>
      </c>
      <c r="L16" s="1">
        <f t="shared" si="3"/>
        <v>-3.990142259</v>
      </c>
      <c r="M16" s="1">
        <v>-4.15</v>
      </c>
    </row>
    <row r="17" ht="15.75" customHeight="1">
      <c r="A17" s="7">
        <v>43913.0</v>
      </c>
      <c r="B17" s="1">
        <v>205.710007</v>
      </c>
      <c r="C17" s="1">
        <v>216.479996</v>
      </c>
      <c r="D17" s="1">
        <v>198.520004</v>
      </c>
      <c r="E17" s="1">
        <v>212.690002</v>
      </c>
      <c r="F17" s="1">
        <v>212.466629</v>
      </c>
      <c r="G17" s="1">
        <v>1.60969E7</v>
      </c>
      <c r="I17" s="1">
        <f t="shared" si="1"/>
        <v>0.03373024268</v>
      </c>
      <c r="J17" s="1">
        <v>0.006</v>
      </c>
      <c r="K17" s="1">
        <f t="shared" si="2"/>
        <v>0.02773024268</v>
      </c>
      <c r="L17" s="1">
        <f t="shared" si="3"/>
        <v>2.773024268</v>
      </c>
      <c r="M17" s="1">
        <v>-2.55</v>
      </c>
    </row>
    <row r="18" ht="15.75" customHeight="1">
      <c r="A18" s="7">
        <v>43914.0</v>
      </c>
      <c r="B18" s="1">
        <v>229.0</v>
      </c>
      <c r="C18" s="1">
        <v>252.660004</v>
      </c>
      <c r="D18" s="1">
        <v>228.050003</v>
      </c>
      <c r="E18" s="1">
        <v>249.179993</v>
      </c>
      <c r="F18" s="1">
        <v>248.918304</v>
      </c>
      <c r="G18" s="1">
        <v>2.75411E7</v>
      </c>
      <c r="I18" s="1">
        <f t="shared" si="1"/>
        <v>0.1715642366</v>
      </c>
      <c r="J18" s="1">
        <v>0.006</v>
      </c>
      <c r="K18" s="1">
        <f t="shared" si="2"/>
        <v>0.1655642366</v>
      </c>
      <c r="L18" s="1">
        <f t="shared" si="3"/>
        <v>16.55642366</v>
      </c>
      <c r="M18" s="1">
        <v>9.34</v>
      </c>
    </row>
    <row r="19" ht="15.75" customHeight="1">
      <c r="A19" s="7">
        <v>43915.0</v>
      </c>
      <c r="B19" s="1">
        <v>253.800003</v>
      </c>
      <c r="C19" s="1">
        <v>261.820007</v>
      </c>
      <c r="D19" s="1">
        <v>243.660004</v>
      </c>
      <c r="E19" s="1">
        <v>245.619995</v>
      </c>
      <c r="F19" s="1">
        <v>245.36203</v>
      </c>
      <c r="G19" s="1">
        <v>1.98358E7</v>
      </c>
      <c r="I19" s="1">
        <f t="shared" si="1"/>
        <v>-0.01428691238</v>
      </c>
      <c r="J19" s="1">
        <v>0.006</v>
      </c>
      <c r="K19" s="1">
        <f t="shared" si="2"/>
        <v>-0.02028691238</v>
      </c>
      <c r="L19" s="1">
        <f t="shared" si="3"/>
        <v>-2.028691238</v>
      </c>
      <c r="M19" s="1">
        <v>1.18</v>
      </c>
    </row>
    <row r="20" ht="15.75" customHeight="1">
      <c r="A20" s="7">
        <v>43916.0</v>
      </c>
      <c r="B20" s="1">
        <v>253.940002</v>
      </c>
      <c r="C20" s="1">
        <v>262.220001</v>
      </c>
      <c r="D20" s="1">
        <v>250.0</v>
      </c>
      <c r="E20" s="1">
        <v>257.23999</v>
      </c>
      <c r="F20" s="1">
        <v>256.969818</v>
      </c>
      <c r="G20" s="1">
        <v>1.74027E7</v>
      </c>
      <c r="I20" s="1">
        <f t="shared" si="1"/>
        <v>0.04730881954</v>
      </c>
      <c r="J20" s="1">
        <v>0.006</v>
      </c>
      <c r="K20" s="1">
        <f t="shared" si="2"/>
        <v>0.04130881954</v>
      </c>
      <c r="L20" s="1">
        <f t="shared" si="3"/>
        <v>4.130881954</v>
      </c>
      <c r="M20" s="1">
        <v>6.02</v>
      </c>
    </row>
    <row r="21" ht="15.75" customHeight="1">
      <c r="A21" s="7">
        <v>43917.0</v>
      </c>
      <c r="B21" s="1">
        <v>250.0</v>
      </c>
      <c r="C21" s="1">
        <v>263.119995</v>
      </c>
      <c r="D21" s="1">
        <v>248.679993</v>
      </c>
      <c r="E21" s="1">
        <v>252.729996</v>
      </c>
      <c r="F21" s="1">
        <v>252.464569</v>
      </c>
      <c r="G21" s="1">
        <v>1.59707E7</v>
      </c>
      <c r="I21" s="1">
        <f t="shared" si="1"/>
        <v>-0.01753221073</v>
      </c>
      <c r="J21" s="1">
        <v>0.006</v>
      </c>
      <c r="K21" s="1">
        <f t="shared" si="2"/>
        <v>-0.02353221073</v>
      </c>
      <c r="L21" s="1">
        <f t="shared" si="3"/>
        <v>-2.353221073</v>
      </c>
      <c r="M21" s="1">
        <v>-3.48</v>
      </c>
    </row>
    <row r="22" ht="15.75" customHeight="1">
      <c r="A22" s="7">
        <v>43920.0</v>
      </c>
      <c r="B22" s="1">
        <v>255.360001</v>
      </c>
      <c r="C22" s="1">
        <v>265.959991</v>
      </c>
      <c r="D22" s="1">
        <v>253.589996</v>
      </c>
      <c r="E22" s="1">
        <v>265.589996</v>
      </c>
      <c r="F22" s="1">
        <v>265.311066</v>
      </c>
      <c r="G22" s="1">
        <v>1.50563E7</v>
      </c>
      <c r="I22" s="1">
        <f t="shared" si="1"/>
        <v>0.05088435597</v>
      </c>
      <c r="J22" s="1">
        <v>0.006</v>
      </c>
      <c r="K22" s="1">
        <f t="shared" si="2"/>
        <v>0.04488435597</v>
      </c>
      <c r="L22" s="1">
        <f t="shared" si="3"/>
        <v>4.488435597</v>
      </c>
      <c r="M22" s="1">
        <v>3.16</v>
      </c>
    </row>
    <row r="23" ht="15.75" customHeight="1">
      <c r="A23" s="7">
        <v>43921.0</v>
      </c>
      <c r="B23" s="1">
        <v>267.200012</v>
      </c>
      <c r="C23" s="1">
        <v>275.399994</v>
      </c>
      <c r="D23" s="1">
        <v>257.75</v>
      </c>
      <c r="E23" s="1">
        <v>263.600006</v>
      </c>
      <c r="F23" s="1">
        <v>263.323181</v>
      </c>
      <c r="G23" s="1">
        <v>2.3749E7</v>
      </c>
      <c r="I23" s="1">
        <f t="shared" si="1"/>
        <v>-0.007492657694</v>
      </c>
      <c r="J23" s="1">
        <v>0.006</v>
      </c>
      <c r="K23" s="1">
        <f t="shared" si="2"/>
        <v>-0.01349265769</v>
      </c>
      <c r="L23" s="1">
        <f t="shared" si="3"/>
        <v>-1.349265769</v>
      </c>
      <c r="M23" s="1">
        <v>-1.44</v>
      </c>
    </row>
    <row r="24" ht="15.75" customHeight="1">
      <c r="A24" s="7">
        <v>43922.0</v>
      </c>
      <c r="B24" s="1">
        <v>255.649994</v>
      </c>
      <c r="C24" s="1">
        <v>261.529999</v>
      </c>
      <c r="D24" s="1">
        <v>241.279999</v>
      </c>
      <c r="E24" s="1">
        <v>243.070007</v>
      </c>
      <c r="F24" s="1">
        <v>242.814728</v>
      </c>
      <c r="G24" s="1">
        <v>1.64228E7</v>
      </c>
      <c r="I24" s="1">
        <f t="shared" si="1"/>
        <v>-0.07788320391</v>
      </c>
      <c r="J24" s="1">
        <v>0.0</v>
      </c>
      <c r="K24" s="1">
        <f t="shared" si="2"/>
        <v>-0.07788320391</v>
      </c>
      <c r="L24" s="1">
        <f t="shared" si="3"/>
        <v>-7.788320391</v>
      </c>
      <c r="M24" s="1">
        <v>-4.51</v>
      </c>
    </row>
    <row r="25" ht="15.75" customHeight="1">
      <c r="A25" s="7">
        <v>43923.0</v>
      </c>
      <c r="B25" s="1">
        <v>244.240005</v>
      </c>
      <c r="C25" s="1">
        <v>256.0</v>
      </c>
      <c r="D25" s="1">
        <v>242.309998</v>
      </c>
      <c r="E25" s="1">
        <v>255.470001</v>
      </c>
      <c r="F25" s="1">
        <v>255.201691</v>
      </c>
      <c r="G25" s="1">
        <v>1.68941E7</v>
      </c>
      <c r="I25" s="1">
        <f t="shared" si="1"/>
        <v>0.05101405134</v>
      </c>
      <c r="J25" s="1">
        <v>0.0</v>
      </c>
      <c r="K25" s="1">
        <f t="shared" si="2"/>
        <v>0.05101405134</v>
      </c>
      <c r="L25" s="1">
        <f t="shared" si="3"/>
        <v>5.101405134</v>
      </c>
      <c r="M25" s="1">
        <v>2.1</v>
      </c>
    </row>
    <row r="26" ht="15.75" customHeight="1">
      <c r="A26" s="7">
        <v>43924.0</v>
      </c>
      <c r="B26" s="1">
        <v>253.960007</v>
      </c>
      <c r="C26" s="1">
        <v>255.630005</v>
      </c>
      <c r="D26" s="1">
        <v>238.389999</v>
      </c>
      <c r="E26" s="1">
        <v>243.910004</v>
      </c>
      <c r="F26" s="1">
        <v>243.653854</v>
      </c>
      <c r="G26" s="1">
        <v>1.65803E7</v>
      </c>
      <c r="I26" s="1">
        <f t="shared" si="1"/>
        <v>-0.04524984515</v>
      </c>
      <c r="J26" s="1">
        <v>0.0</v>
      </c>
      <c r="K26" s="1">
        <f t="shared" si="2"/>
        <v>-0.04524984515</v>
      </c>
      <c r="L26" s="1">
        <f t="shared" si="3"/>
        <v>-4.524984515</v>
      </c>
      <c r="M26" s="1">
        <v>-1.64</v>
      </c>
    </row>
    <row r="27" ht="15.75" customHeight="1">
      <c r="A27" s="7">
        <v>43927.0</v>
      </c>
      <c r="B27" s="1">
        <v>255.240005</v>
      </c>
      <c r="C27" s="1">
        <v>269.880005</v>
      </c>
      <c r="D27" s="1">
        <v>252.929993</v>
      </c>
      <c r="E27" s="1">
        <v>268.399994</v>
      </c>
      <c r="F27" s="1">
        <v>268.118073</v>
      </c>
      <c r="G27" s="1">
        <v>1.81971E7</v>
      </c>
      <c r="I27" s="1">
        <f t="shared" si="1"/>
        <v>0.1004056312</v>
      </c>
      <c r="J27" s="1">
        <v>0.0</v>
      </c>
      <c r="K27" s="1">
        <f t="shared" si="2"/>
        <v>0.1004056312</v>
      </c>
      <c r="L27" s="1">
        <f t="shared" si="3"/>
        <v>10.04056312</v>
      </c>
      <c r="M27" s="1">
        <v>7.06</v>
      </c>
    </row>
    <row r="28" ht="15.75" customHeight="1">
      <c r="A28" s="7">
        <v>43928.0</v>
      </c>
      <c r="B28" s="1">
        <v>277.299988</v>
      </c>
      <c r="C28" s="1">
        <v>278.25</v>
      </c>
      <c r="D28" s="1">
        <v>257.299988</v>
      </c>
      <c r="E28" s="1">
        <v>259.029999</v>
      </c>
      <c r="F28" s="1">
        <v>258.757935</v>
      </c>
      <c r="G28" s="1">
        <v>1.9613E7</v>
      </c>
      <c r="I28" s="1">
        <f t="shared" si="1"/>
        <v>-0.03491050751</v>
      </c>
      <c r="J28" s="1">
        <v>0.0</v>
      </c>
      <c r="K28" s="1">
        <f t="shared" si="2"/>
        <v>-0.03491050751</v>
      </c>
      <c r="L28" s="1">
        <f t="shared" si="3"/>
        <v>-3.491050751</v>
      </c>
      <c r="M28" s="1">
        <v>-0.11</v>
      </c>
    </row>
    <row r="29" ht="15.75" customHeight="1">
      <c r="A29" s="7">
        <v>43929.0</v>
      </c>
      <c r="B29" s="1">
        <v>263.410004</v>
      </c>
      <c r="C29" s="1">
        <v>267.950012</v>
      </c>
      <c r="D29" s="1">
        <v>260.600006</v>
      </c>
      <c r="E29" s="1">
        <v>266.950012</v>
      </c>
      <c r="F29" s="1">
        <v>266.669647</v>
      </c>
      <c r="G29" s="1">
        <v>1.35611E7</v>
      </c>
      <c r="I29" s="1">
        <f t="shared" si="1"/>
        <v>0.03057572708</v>
      </c>
      <c r="J29" s="1">
        <v>0.0</v>
      </c>
      <c r="K29" s="1">
        <f t="shared" si="2"/>
        <v>0.03057572708</v>
      </c>
      <c r="L29" s="1">
        <f t="shared" si="3"/>
        <v>3.057572708</v>
      </c>
      <c r="M29" s="1">
        <v>3.4</v>
      </c>
    </row>
    <row r="30" ht="15.75" customHeight="1">
      <c r="A30" s="7">
        <v>43930.0</v>
      </c>
      <c r="B30" s="1">
        <v>272.0</v>
      </c>
      <c r="C30" s="1">
        <v>272.920013</v>
      </c>
      <c r="D30" s="1">
        <v>260.420013</v>
      </c>
      <c r="E30" s="1">
        <v>262.950012</v>
      </c>
      <c r="F30" s="1">
        <v>262.673859</v>
      </c>
      <c r="G30" s="1">
        <v>1.31562E7</v>
      </c>
      <c r="I30" s="1">
        <f t="shared" si="1"/>
        <v>-0.01498403753</v>
      </c>
      <c r="J30" s="1">
        <v>0.0</v>
      </c>
      <c r="K30" s="1">
        <f t="shared" si="2"/>
        <v>-0.01498403753</v>
      </c>
      <c r="L30" s="1">
        <f t="shared" si="3"/>
        <v>-1.498403753</v>
      </c>
      <c r="M30" s="1">
        <v>1.59</v>
      </c>
    </row>
    <row r="31" ht="15.75" customHeight="1">
      <c r="A31" s="7">
        <v>43934.0</v>
      </c>
      <c r="B31" s="1">
        <v>260.549988</v>
      </c>
      <c r="C31" s="1">
        <v>270.200012</v>
      </c>
      <c r="D31" s="1">
        <v>257.0</v>
      </c>
      <c r="E31" s="1">
        <v>269.850006</v>
      </c>
      <c r="F31" s="1">
        <v>269.566589</v>
      </c>
      <c r="G31" s="1">
        <v>9960200.0</v>
      </c>
      <c r="I31" s="1">
        <f t="shared" si="1"/>
        <v>0.02624063935</v>
      </c>
      <c r="J31" s="1">
        <v>0.0</v>
      </c>
      <c r="K31" s="1">
        <f t="shared" si="2"/>
        <v>0.02624063935</v>
      </c>
      <c r="L31" s="1">
        <f t="shared" si="3"/>
        <v>2.624063935</v>
      </c>
      <c r="M31" s="1">
        <v>-0.92</v>
      </c>
    </row>
    <row r="32" ht="15.75" customHeight="1">
      <c r="A32" s="7">
        <v>43935.0</v>
      </c>
      <c r="B32" s="1">
        <v>275.0</v>
      </c>
      <c r="C32" s="1">
        <v>285.320007</v>
      </c>
      <c r="D32" s="1">
        <v>273.890015</v>
      </c>
      <c r="E32" s="1">
        <v>283.950012</v>
      </c>
      <c r="F32" s="1">
        <v>283.651794</v>
      </c>
      <c r="G32" s="1">
        <v>1.32737E7</v>
      </c>
      <c r="I32" s="1">
        <f t="shared" si="1"/>
        <v>0.05225130107</v>
      </c>
      <c r="J32" s="1">
        <v>0.0</v>
      </c>
      <c r="K32" s="1">
        <f t="shared" si="2"/>
        <v>0.05225130107</v>
      </c>
      <c r="L32" s="1">
        <f t="shared" si="3"/>
        <v>5.225130107</v>
      </c>
      <c r="M32" s="1">
        <v>3.02</v>
      </c>
    </row>
    <row r="33" ht="15.75" customHeight="1">
      <c r="A33" s="7">
        <v>43936.0</v>
      </c>
      <c r="B33" s="1">
        <v>277.200012</v>
      </c>
      <c r="C33" s="1">
        <v>284.170013</v>
      </c>
      <c r="D33" s="1">
        <v>275.380005</v>
      </c>
      <c r="E33" s="1">
        <v>280.839996</v>
      </c>
      <c r="F33" s="1">
        <v>280.545044</v>
      </c>
      <c r="G33" s="1">
        <v>9153700.0</v>
      </c>
      <c r="I33" s="1">
        <f t="shared" si="1"/>
        <v>-0.01095268941</v>
      </c>
      <c r="J33" s="1">
        <v>0.0</v>
      </c>
      <c r="K33" s="1">
        <f t="shared" si="2"/>
        <v>-0.01095268941</v>
      </c>
      <c r="L33" s="1">
        <f t="shared" si="3"/>
        <v>-1.095268941</v>
      </c>
      <c r="M33" s="1">
        <v>-2.15</v>
      </c>
    </row>
    <row r="34" ht="15.75" customHeight="1">
      <c r="A34" s="7">
        <v>43937.0</v>
      </c>
      <c r="B34" s="1">
        <v>287.079987</v>
      </c>
      <c r="C34" s="1">
        <v>299.0</v>
      </c>
      <c r="D34" s="1">
        <v>286.549988</v>
      </c>
      <c r="E34" s="1">
        <v>294.700012</v>
      </c>
      <c r="F34" s="1">
        <v>294.390503</v>
      </c>
      <c r="G34" s="1">
        <v>1.86405E7</v>
      </c>
      <c r="I34" s="1">
        <f t="shared" si="1"/>
        <v>0.04935199996</v>
      </c>
      <c r="J34" s="1">
        <v>0.0</v>
      </c>
      <c r="K34" s="1">
        <f t="shared" si="2"/>
        <v>0.04935199996</v>
      </c>
      <c r="L34" s="1">
        <f t="shared" si="3"/>
        <v>4.935199996</v>
      </c>
      <c r="M34" s="1">
        <v>0.62</v>
      </c>
    </row>
    <row r="35" ht="15.75" customHeight="1">
      <c r="A35" s="7">
        <v>43938.0</v>
      </c>
      <c r="B35" s="1">
        <v>298.0</v>
      </c>
      <c r="C35" s="1">
        <v>298.859985</v>
      </c>
      <c r="D35" s="1">
        <v>286.940002</v>
      </c>
      <c r="E35" s="1">
        <v>292.320007</v>
      </c>
      <c r="F35" s="1">
        <v>292.013</v>
      </c>
      <c r="G35" s="1">
        <v>1.3478E7</v>
      </c>
      <c r="I35" s="1">
        <f t="shared" si="1"/>
        <v>-0.008076017996</v>
      </c>
      <c r="J35" s="1">
        <v>0.0</v>
      </c>
      <c r="K35" s="1">
        <f t="shared" si="2"/>
        <v>-0.008076017996</v>
      </c>
      <c r="L35" s="1">
        <f t="shared" si="3"/>
        <v>-0.8076017996</v>
      </c>
      <c r="M35" s="1">
        <v>2.72</v>
      </c>
    </row>
    <row r="36" ht="15.75" customHeight="1">
      <c r="A36" s="7">
        <v>43941.0</v>
      </c>
      <c r="B36" s="1">
        <v>287.23999</v>
      </c>
      <c r="C36" s="1">
        <v>293.5</v>
      </c>
      <c r="D36" s="1">
        <v>285.269989</v>
      </c>
      <c r="E36" s="1">
        <v>287.049988</v>
      </c>
      <c r="F36" s="1">
        <v>286.748535</v>
      </c>
      <c r="G36" s="1">
        <v>1.12347E7</v>
      </c>
      <c r="I36" s="1">
        <f t="shared" si="1"/>
        <v>-0.0180281871</v>
      </c>
      <c r="J36" s="1">
        <v>0.0</v>
      </c>
      <c r="K36" s="1">
        <f t="shared" si="2"/>
        <v>-0.0180281871</v>
      </c>
      <c r="L36" s="1">
        <f t="shared" si="3"/>
        <v>-1.80281871</v>
      </c>
      <c r="M36" s="1">
        <v>-1.56</v>
      </c>
    </row>
    <row r="37" ht="15.75" customHeight="1">
      <c r="A37" s="7">
        <v>43942.0</v>
      </c>
      <c r="B37" s="1">
        <v>282.309998</v>
      </c>
      <c r="C37" s="1">
        <v>284.769989</v>
      </c>
      <c r="D37" s="1">
        <v>267.109985</v>
      </c>
      <c r="E37" s="1">
        <v>269.51001</v>
      </c>
      <c r="F37" s="1">
        <v>269.22699</v>
      </c>
      <c r="G37" s="1">
        <v>1.8379E7</v>
      </c>
      <c r="I37" s="1">
        <f t="shared" si="1"/>
        <v>-0.06110421802</v>
      </c>
      <c r="J37" s="1">
        <v>0.0</v>
      </c>
      <c r="K37" s="1">
        <f t="shared" si="2"/>
        <v>-0.06110421802</v>
      </c>
      <c r="L37" s="1">
        <f t="shared" si="3"/>
        <v>-6.110421802</v>
      </c>
      <c r="M37" s="1">
        <v>-3.08</v>
      </c>
    </row>
    <row r="38" ht="15.75" customHeight="1">
      <c r="A38" s="7">
        <v>43943.0</v>
      </c>
      <c r="B38" s="1">
        <v>277.230011</v>
      </c>
      <c r="C38" s="1">
        <v>287.869995</v>
      </c>
      <c r="D38" s="1">
        <v>275.399994</v>
      </c>
      <c r="E38" s="1">
        <v>286.149994</v>
      </c>
      <c r="F38" s="1">
        <v>285.849487</v>
      </c>
      <c r="G38" s="1">
        <v>1.21182E7</v>
      </c>
      <c r="I38" s="1">
        <f t="shared" si="1"/>
        <v>0.06174156982</v>
      </c>
      <c r="J38" s="1">
        <v>0.0</v>
      </c>
      <c r="K38" s="1">
        <f t="shared" si="2"/>
        <v>0.06174156982</v>
      </c>
      <c r="L38" s="1">
        <f t="shared" si="3"/>
        <v>6.174156982</v>
      </c>
      <c r="M38" s="1">
        <v>2.31</v>
      </c>
    </row>
    <row r="39" ht="15.75" customHeight="1">
      <c r="A39" s="7">
        <v>43944.0</v>
      </c>
      <c r="B39" s="1">
        <v>287.839996</v>
      </c>
      <c r="C39" s="1">
        <v>293.140015</v>
      </c>
      <c r="D39" s="1">
        <v>283.0</v>
      </c>
      <c r="E39" s="1">
        <v>284.01001</v>
      </c>
      <c r="F39" s="1">
        <v>283.711731</v>
      </c>
      <c r="G39" s="1">
        <v>1.0604E7</v>
      </c>
      <c r="I39" s="1">
        <f t="shared" si="1"/>
        <v>-0.007478607089</v>
      </c>
      <c r="J39" s="1">
        <v>0.0</v>
      </c>
      <c r="K39" s="1">
        <f t="shared" si="2"/>
        <v>-0.007478607089</v>
      </c>
      <c r="L39" s="1">
        <f t="shared" si="3"/>
        <v>-0.7478607089</v>
      </c>
      <c r="M39" s="1">
        <v>0.13</v>
      </c>
    </row>
    <row r="40" ht="15.75" customHeight="1">
      <c r="A40" s="7">
        <v>43945.0</v>
      </c>
      <c r="B40" s="1">
        <v>283.600006</v>
      </c>
      <c r="C40" s="1">
        <v>289.670013</v>
      </c>
      <c r="D40" s="1">
        <v>280.600006</v>
      </c>
      <c r="E40" s="1">
        <v>289.589996</v>
      </c>
      <c r="F40" s="1">
        <v>289.285889</v>
      </c>
      <c r="G40" s="1">
        <v>8816100.0</v>
      </c>
      <c r="I40" s="1">
        <f t="shared" si="1"/>
        <v>0.01964725949</v>
      </c>
      <c r="J40" s="1">
        <v>0.0</v>
      </c>
      <c r="K40" s="1">
        <f t="shared" si="2"/>
        <v>0.01964725949</v>
      </c>
      <c r="L40" s="1">
        <f t="shared" si="3"/>
        <v>1.964725949</v>
      </c>
      <c r="M40" s="1">
        <v>1.44</v>
      </c>
    </row>
    <row r="41" ht="15.75" customHeight="1">
      <c r="A41" s="7">
        <v>43948.0</v>
      </c>
      <c r="B41" s="1">
        <v>294.98999</v>
      </c>
      <c r="C41" s="1">
        <v>303.5</v>
      </c>
      <c r="D41" s="1">
        <v>294.0</v>
      </c>
      <c r="E41" s="1">
        <v>297.079987</v>
      </c>
      <c r="F41" s="1">
        <v>296.767975</v>
      </c>
      <c r="G41" s="1">
        <v>1.19847E7</v>
      </c>
      <c r="I41" s="1">
        <f t="shared" si="1"/>
        <v>0.02586398537</v>
      </c>
      <c r="J41" s="1">
        <v>0.0</v>
      </c>
      <c r="K41" s="1">
        <f t="shared" si="2"/>
        <v>0.02586398537</v>
      </c>
      <c r="L41" s="1">
        <f t="shared" si="3"/>
        <v>2.586398537</v>
      </c>
      <c r="M41" s="1">
        <v>1.73</v>
      </c>
    </row>
    <row r="42" ht="15.75" customHeight="1">
      <c r="A42" s="7">
        <v>43949.0</v>
      </c>
      <c r="B42" s="1">
        <v>303.0</v>
      </c>
      <c r="C42" s="1">
        <v>304.200012</v>
      </c>
      <c r="D42" s="1">
        <v>291.140015</v>
      </c>
      <c r="E42" s="1">
        <v>291.359985</v>
      </c>
      <c r="F42" s="1">
        <v>291.053955</v>
      </c>
      <c r="G42" s="1">
        <v>1.10726E7</v>
      </c>
      <c r="I42" s="1">
        <f t="shared" si="1"/>
        <v>-0.01925416649</v>
      </c>
      <c r="J42" s="1">
        <v>0.0</v>
      </c>
      <c r="K42" s="1">
        <f t="shared" si="2"/>
        <v>-0.01925416649</v>
      </c>
      <c r="L42" s="1">
        <f t="shared" si="3"/>
        <v>-1.925416649</v>
      </c>
      <c r="M42" s="1">
        <v>-0.45</v>
      </c>
    </row>
    <row r="43" ht="15.75" customHeight="1">
      <c r="A43" s="7">
        <v>43950.0</v>
      </c>
      <c r="B43" s="1">
        <v>296.769989</v>
      </c>
      <c r="C43" s="1">
        <v>300.579987</v>
      </c>
      <c r="D43" s="1">
        <v>293.75</v>
      </c>
      <c r="E43" s="1">
        <v>298.459991</v>
      </c>
      <c r="F43" s="1">
        <v>298.146545</v>
      </c>
      <c r="G43" s="1">
        <v>9479000.0</v>
      </c>
      <c r="I43" s="1">
        <f t="shared" si="1"/>
        <v>0.02436864326</v>
      </c>
      <c r="J43" s="1">
        <v>0.0</v>
      </c>
      <c r="K43" s="1">
        <f t="shared" si="2"/>
        <v>0.02436864326</v>
      </c>
      <c r="L43" s="1">
        <f t="shared" si="3"/>
        <v>2.436864326</v>
      </c>
      <c r="M43" s="1">
        <v>2.92</v>
      </c>
    </row>
    <row r="44" ht="15.75" customHeight="1">
      <c r="A44" s="7">
        <v>43951.0</v>
      </c>
      <c r="B44" s="1">
        <v>296.290009</v>
      </c>
      <c r="C44" s="1">
        <v>298.459991</v>
      </c>
      <c r="D44" s="1">
        <v>291.720001</v>
      </c>
      <c r="E44" s="1">
        <v>292.279999</v>
      </c>
      <c r="F44" s="1">
        <v>291.973053</v>
      </c>
      <c r="G44" s="1">
        <v>9397900.0</v>
      </c>
      <c r="I44" s="1">
        <f t="shared" si="1"/>
        <v>-0.02070623357</v>
      </c>
      <c r="J44" s="1">
        <v>0.0</v>
      </c>
      <c r="K44" s="1">
        <f t="shared" si="2"/>
        <v>-0.02070623357</v>
      </c>
      <c r="L44" s="1">
        <f t="shared" si="3"/>
        <v>-2.070623357</v>
      </c>
      <c r="M44" s="1">
        <v>-1.18</v>
      </c>
    </row>
    <row r="45" ht="15.75" customHeight="1">
      <c r="A45" s="7">
        <v>43952.0</v>
      </c>
      <c r="B45" s="1">
        <v>284.350006</v>
      </c>
      <c r="C45" s="1">
        <v>288.899994</v>
      </c>
      <c r="D45" s="1">
        <v>280.839996</v>
      </c>
      <c r="E45" s="1">
        <v>282.779999</v>
      </c>
      <c r="F45" s="1">
        <v>282.483002</v>
      </c>
      <c r="G45" s="1">
        <v>8552400.0</v>
      </c>
      <c r="I45" s="1">
        <f t="shared" si="1"/>
        <v>-0.03250317419</v>
      </c>
      <c r="J45" s="1">
        <v>0.0</v>
      </c>
      <c r="K45" s="1">
        <f t="shared" si="2"/>
        <v>-0.03250317419</v>
      </c>
      <c r="L45" s="1">
        <f t="shared" si="3"/>
        <v>-3.250317419</v>
      </c>
      <c r="M45" s="1">
        <v>-2.91</v>
      </c>
    </row>
    <row r="46" ht="15.75" customHeight="1">
      <c r="A46" s="7">
        <v>43955.0</v>
      </c>
      <c r="B46" s="1">
        <v>280.880005</v>
      </c>
      <c r="C46" s="1">
        <v>291.839996</v>
      </c>
      <c r="D46" s="1">
        <v>280.880005</v>
      </c>
      <c r="E46" s="1">
        <v>291.290009</v>
      </c>
      <c r="F46" s="1">
        <v>290.98407</v>
      </c>
      <c r="G46" s="1">
        <v>7938900.0</v>
      </c>
      <c r="I46" s="1">
        <f t="shared" si="1"/>
        <v>0.03009408686</v>
      </c>
      <c r="J46" s="1">
        <v>0.0</v>
      </c>
      <c r="K46" s="1">
        <f t="shared" si="2"/>
        <v>0.03009408686</v>
      </c>
      <c r="L46" s="1">
        <f t="shared" si="3"/>
        <v>3.009408686</v>
      </c>
      <c r="M46" s="1">
        <v>0.53</v>
      </c>
    </row>
    <row r="47" ht="15.75" customHeight="1">
      <c r="A47" s="7">
        <v>43956.0</v>
      </c>
      <c r="B47" s="1">
        <v>295.470001</v>
      </c>
      <c r="C47" s="1">
        <v>300.269989</v>
      </c>
      <c r="D47" s="1">
        <v>291.290009</v>
      </c>
      <c r="E47" s="1">
        <v>293.73999</v>
      </c>
      <c r="F47" s="1">
        <v>293.431488</v>
      </c>
      <c r="G47" s="1">
        <v>9222400.0</v>
      </c>
      <c r="I47" s="1">
        <f t="shared" si="1"/>
        <v>0.008410831562</v>
      </c>
      <c r="J47" s="1">
        <v>0.0</v>
      </c>
      <c r="K47" s="1">
        <f t="shared" si="2"/>
        <v>0.008410831562</v>
      </c>
      <c r="L47" s="1">
        <f t="shared" si="3"/>
        <v>0.8410831562</v>
      </c>
      <c r="M47" s="1">
        <v>0.95</v>
      </c>
    </row>
    <row r="48" ht="15.75" customHeight="1">
      <c r="A48" s="7">
        <v>43957.0</v>
      </c>
      <c r="B48" s="1">
        <v>296.929993</v>
      </c>
      <c r="C48" s="1">
        <v>302.0</v>
      </c>
      <c r="D48" s="1">
        <v>295.410004</v>
      </c>
      <c r="E48" s="1">
        <v>297.790009</v>
      </c>
      <c r="F48" s="1">
        <v>297.477234</v>
      </c>
      <c r="G48" s="1">
        <v>8086600.0</v>
      </c>
      <c r="I48" s="1">
        <f t="shared" si="1"/>
        <v>0.01378770229</v>
      </c>
      <c r="J48" s="1">
        <v>0.0</v>
      </c>
      <c r="K48" s="1">
        <f t="shared" si="2"/>
        <v>0.01378770229</v>
      </c>
      <c r="L48" s="1">
        <f t="shared" si="3"/>
        <v>1.378770229</v>
      </c>
      <c r="M48" s="1">
        <v>-0.52</v>
      </c>
    </row>
    <row r="49" ht="15.75" customHeight="1">
      <c r="A49" s="7">
        <v>43958.0</v>
      </c>
      <c r="B49" s="1">
        <v>303.380005</v>
      </c>
      <c r="C49" s="1">
        <v>307.410004</v>
      </c>
      <c r="D49" s="1">
        <v>301.320007</v>
      </c>
      <c r="E49" s="1">
        <v>304.869995</v>
      </c>
      <c r="F49" s="1">
        <v>304.549805</v>
      </c>
      <c r="G49" s="1">
        <v>9343300.0</v>
      </c>
      <c r="I49" s="1">
        <f t="shared" si="1"/>
        <v>0.02377516728</v>
      </c>
      <c r="J49" s="1">
        <v>0.0</v>
      </c>
      <c r="K49" s="1">
        <f t="shared" si="2"/>
        <v>0.02377516728</v>
      </c>
      <c r="L49" s="1">
        <f t="shared" si="3"/>
        <v>2.377516728</v>
      </c>
      <c r="M49" s="1">
        <v>1.33</v>
      </c>
    </row>
    <row r="50" ht="15.75" customHeight="1">
      <c r="A50" s="7">
        <v>43959.0</v>
      </c>
      <c r="B50" s="1">
        <v>307.75</v>
      </c>
      <c r="C50" s="1">
        <v>312.75</v>
      </c>
      <c r="D50" s="1">
        <v>306.390015</v>
      </c>
      <c r="E50" s="1">
        <v>312.5</v>
      </c>
      <c r="F50" s="1">
        <v>312.171783</v>
      </c>
      <c r="G50" s="1">
        <v>8497700.0</v>
      </c>
      <c r="I50" s="1">
        <f t="shared" si="1"/>
        <v>0.02502703293</v>
      </c>
      <c r="J50" s="1">
        <v>0.0</v>
      </c>
      <c r="K50" s="1">
        <f t="shared" si="2"/>
        <v>0.02502703293</v>
      </c>
      <c r="L50" s="1">
        <f t="shared" si="3"/>
        <v>2.502703293</v>
      </c>
      <c r="M50" s="1">
        <v>1.9</v>
      </c>
    </row>
    <row r="51" ht="15.75" customHeight="1">
      <c r="A51" s="7">
        <v>43962.0</v>
      </c>
      <c r="B51" s="1">
        <v>312.299988</v>
      </c>
      <c r="C51" s="1">
        <v>324.5</v>
      </c>
      <c r="D51" s="1">
        <v>311.149994</v>
      </c>
      <c r="E51" s="1">
        <v>322.619995</v>
      </c>
      <c r="F51" s="1">
        <v>322.281158</v>
      </c>
      <c r="G51" s="1">
        <v>1.17265E7</v>
      </c>
      <c r="I51" s="1">
        <f t="shared" si="1"/>
        <v>0.03238401275</v>
      </c>
      <c r="J51" s="1">
        <v>0.0</v>
      </c>
      <c r="K51" s="1">
        <f t="shared" si="2"/>
        <v>0.03238401275</v>
      </c>
      <c r="L51" s="1">
        <f t="shared" si="3"/>
        <v>3.238401275</v>
      </c>
      <c r="M51" s="1">
        <v>0.07</v>
      </c>
    </row>
    <row r="52" ht="15.75" customHeight="1">
      <c r="A52" s="7">
        <v>43963.0</v>
      </c>
      <c r="B52" s="1">
        <v>324.940002</v>
      </c>
      <c r="C52" s="1">
        <v>326.899994</v>
      </c>
      <c r="D52" s="1">
        <v>311.709991</v>
      </c>
      <c r="E52" s="1">
        <v>312.100006</v>
      </c>
      <c r="F52" s="1">
        <v>311.772217</v>
      </c>
      <c r="G52" s="1">
        <v>1.23265E7</v>
      </c>
      <c r="I52" s="1">
        <f t="shared" si="1"/>
        <v>-0.03260799069</v>
      </c>
      <c r="J52" s="1">
        <v>0.0</v>
      </c>
      <c r="K52" s="1">
        <f t="shared" si="2"/>
        <v>-0.03260799069</v>
      </c>
      <c r="L52" s="1">
        <f t="shared" si="3"/>
        <v>-3.260799069</v>
      </c>
      <c r="M52" s="1">
        <v>-2.06</v>
      </c>
    </row>
    <row r="53" ht="15.75" customHeight="1">
      <c r="A53" s="7">
        <v>43964.0</v>
      </c>
      <c r="B53" s="1">
        <v>316.700012</v>
      </c>
      <c r="C53" s="1">
        <v>323.140015</v>
      </c>
      <c r="D53" s="1">
        <v>303.790009</v>
      </c>
      <c r="E53" s="1">
        <v>311.200012</v>
      </c>
      <c r="F53" s="1">
        <v>310.873199</v>
      </c>
      <c r="G53" s="1">
        <v>1.56463E7</v>
      </c>
      <c r="I53" s="1">
        <f t="shared" si="1"/>
        <v>-0.00288357317</v>
      </c>
      <c r="J53" s="1">
        <v>0.0</v>
      </c>
      <c r="K53" s="1">
        <f t="shared" si="2"/>
        <v>-0.00288357317</v>
      </c>
      <c r="L53" s="1">
        <f t="shared" si="3"/>
        <v>-0.288357317</v>
      </c>
      <c r="M53" s="1">
        <v>-1.89</v>
      </c>
    </row>
    <row r="54" ht="15.75" customHeight="1">
      <c r="A54" s="7">
        <v>43965.0</v>
      </c>
      <c r="B54" s="1">
        <v>313.670013</v>
      </c>
      <c r="C54" s="1">
        <v>321.440002</v>
      </c>
      <c r="D54" s="1">
        <v>307.5</v>
      </c>
      <c r="E54" s="1">
        <v>321.220001</v>
      </c>
      <c r="F54" s="1">
        <v>320.88266</v>
      </c>
      <c r="G54" s="1">
        <v>1.50578E7</v>
      </c>
      <c r="I54" s="1">
        <f t="shared" si="1"/>
        <v>0.03219788979</v>
      </c>
      <c r="J54" s="1">
        <v>0.0</v>
      </c>
      <c r="K54" s="1">
        <f t="shared" si="2"/>
        <v>0.03219788979</v>
      </c>
      <c r="L54" s="1">
        <f t="shared" si="3"/>
        <v>3.219788979</v>
      </c>
      <c r="M54" s="1">
        <v>1.14</v>
      </c>
    </row>
    <row r="55" ht="15.75" customHeight="1">
      <c r="A55" s="7">
        <v>43966.0</v>
      </c>
      <c r="B55" s="1">
        <v>315.589996</v>
      </c>
      <c r="C55" s="1">
        <v>340.019989</v>
      </c>
      <c r="D55" s="1">
        <v>314.959991</v>
      </c>
      <c r="E55" s="1">
        <v>339.630005</v>
      </c>
      <c r="F55" s="1">
        <v>339.273315</v>
      </c>
      <c r="G55" s="1">
        <v>2.46915E7</v>
      </c>
      <c r="I55" s="1">
        <f t="shared" si="1"/>
        <v>0.05731271051</v>
      </c>
      <c r="J55" s="1">
        <v>0.0</v>
      </c>
      <c r="K55" s="1">
        <f t="shared" si="2"/>
        <v>0.05731271051</v>
      </c>
      <c r="L55" s="1">
        <f t="shared" si="3"/>
        <v>5.731271051</v>
      </c>
      <c r="M55" s="1">
        <v>0.57</v>
      </c>
    </row>
    <row r="56" ht="15.75" customHeight="1">
      <c r="A56" s="7">
        <v>43969.0</v>
      </c>
      <c r="B56" s="1">
        <v>350.420013</v>
      </c>
      <c r="C56" s="1">
        <v>356.660004</v>
      </c>
      <c r="D56" s="1">
        <v>347.220001</v>
      </c>
      <c r="E56" s="1">
        <v>350.01001</v>
      </c>
      <c r="F56" s="1">
        <v>349.642426</v>
      </c>
      <c r="G56" s="1">
        <v>1.94101E7</v>
      </c>
      <c r="I56" s="1">
        <f t="shared" si="1"/>
        <v>0.03056270724</v>
      </c>
      <c r="J56" s="1">
        <v>0.0</v>
      </c>
      <c r="K56" s="1">
        <f t="shared" si="2"/>
        <v>0.03056270724</v>
      </c>
      <c r="L56" s="1">
        <f t="shared" si="3"/>
        <v>3.056270724</v>
      </c>
      <c r="M56" s="1">
        <v>3.24</v>
      </c>
    </row>
    <row r="57" ht="15.75" customHeight="1">
      <c r="A57" s="7">
        <v>43970.0</v>
      </c>
      <c r="B57" s="1">
        <v>351.609985</v>
      </c>
      <c r="C57" s="1">
        <v>363.5</v>
      </c>
      <c r="D57" s="1">
        <v>350.51001</v>
      </c>
      <c r="E57" s="1">
        <v>352.220001</v>
      </c>
      <c r="F57" s="1">
        <v>351.850098</v>
      </c>
      <c r="G57" s="1">
        <v>1.7933E7</v>
      </c>
      <c r="I57" s="1">
        <f t="shared" si="1"/>
        <v>0.006314085008</v>
      </c>
      <c r="J57" s="1">
        <v>0.0</v>
      </c>
      <c r="K57" s="1">
        <f t="shared" si="2"/>
        <v>0.006314085008</v>
      </c>
      <c r="L57" s="1">
        <f t="shared" si="3"/>
        <v>0.6314085008</v>
      </c>
      <c r="M57" s="1">
        <v>-1.01</v>
      </c>
    </row>
    <row r="58" ht="15.75" customHeight="1">
      <c r="A58" s="7">
        <v>43971.0</v>
      </c>
      <c r="B58" s="1">
        <v>359.640015</v>
      </c>
      <c r="C58" s="1">
        <v>361.720001</v>
      </c>
      <c r="D58" s="1">
        <v>355.549988</v>
      </c>
      <c r="E58" s="1">
        <v>358.799988</v>
      </c>
      <c r="F58" s="1">
        <v>358.423157</v>
      </c>
      <c r="G58" s="1">
        <v>1.46884E7</v>
      </c>
      <c r="I58" s="1">
        <f t="shared" si="1"/>
        <v>0.0186814187</v>
      </c>
      <c r="J58" s="1">
        <v>0.0</v>
      </c>
      <c r="K58" s="1">
        <f t="shared" si="2"/>
        <v>0.0186814187</v>
      </c>
      <c r="L58" s="1">
        <f t="shared" si="3"/>
        <v>1.86814187</v>
      </c>
      <c r="M58" s="1">
        <v>1.8</v>
      </c>
    </row>
    <row r="59" ht="15.75" customHeight="1">
      <c r="A59" s="7">
        <v>43972.0</v>
      </c>
      <c r="B59" s="1">
        <v>362.059998</v>
      </c>
      <c r="C59" s="1">
        <v>362.100006</v>
      </c>
      <c r="D59" s="1">
        <v>349.5</v>
      </c>
      <c r="E59" s="1">
        <v>351.01001</v>
      </c>
      <c r="F59" s="1">
        <v>350.641388</v>
      </c>
      <c r="G59" s="1">
        <v>1.90267E7</v>
      </c>
      <c r="I59" s="1">
        <f t="shared" si="1"/>
        <v>-0.02171112231</v>
      </c>
      <c r="J59" s="1">
        <v>0.0</v>
      </c>
      <c r="K59" s="1">
        <f t="shared" si="2"/>
        <v>-0.02171112231</v>
      </c>
      <c r="L59" s="1">
        <f t="shared" si="3"/>
        <v>-2.171112231</v>
      </c>
      <c r="M59" s="1">
        <v>-0.7</v>
      </c>
    </row>
    <row r="60" ht="15.75" customHeight="1">
      <c r="A60" s="7">
        <v>43973.0</v>
      </c>
      <c r="B60" s="1">
        <v>353.01001</v>
      </c>
      <c r="C60" s="1">
        <v>363.720001</v>
      </c>
      <c r="D60" s="1">
        <v>348.529999</v>
      </c>
      <c r="E60" s="1">
        <v>361.049988</v>
      </c>
      <c r="F60" s="1">
        <v>360.670776</v>
      </c>
      <c r="G60" s="1">
        <v>2.59691E7</v>
      </c>
      <c r="I60" s="1">
        <f t="shared" si="1"/>
        <v>0.02860297827</v>
      </c>
      <c r="J60" s="1">
        <v>0.0</v>
      </c>
      <c r="K60" s="1">
        <f t="shared" si="2"/>
        <v>0.02860297827</v>
      </c>
      <c r="L60" s="1">
        <f t="shared" si="3"/>
        <v>2.860297827</v>
      </c>
      <c r="M60" s="1">
        <v>0.27</v>
      </c>
    </row>
    <row r="61" ht="15.75" customHeight="1">
      <c r="A61" s="7">
        <v>43977.0</v>
      </c>
      <c r="B61" s="1">
        <v>366.269989</v>
      </c>
      <c r="C61" s="1">
        <v>367.269989</v>
      </c>
      <c r="D61" s="1">
        <v>346.880005</v>
      </c>
      <c r="E61" s="1">
        <v>348.709991</v>
      </c>
      <c r="F61" s="1">
        <v>348.34375</v>
      </c>
      <c r="G61" s="1">
        <v>1.92695E7</v>
      </c>
      <c r="I61" s="1">
        <f t="shared" si="1"/>
        <v>-0.03417805606</v>
      </c>
      <c r="J61" s="1">
        <v>0.0</v>
      </c>
      <c r="K61" s="1">
        <f t="shared" si="2"/>
        <v>-0.03417805606</v>
      </c>
      <c r="L61" s="1">
        <f t="shared" si="3"/>
        <v>-3.417805606</v>
      </c>
      <c r="M61" s="1">
        <v>1.23</v>
      </c>
    </row>
    <row r="62" ht="15.75" customHeight="1">
      <c r="A62" s="7">
        <v>43978.0</v>
      </c>
      <c r="B62" s="1">
        <v>345.0</v>
      </c>
      <c r="C62" s="1">
        <v>345.309998</v>
      </c>
      <c r="D62" s="1">
        <v>319.869995</v>
      </c>
      <c r="E62" s="1">
        <v>341.01001</v>
      </c>
      <c r="F62" s="1">
        <v>340.651855</v>
      </c>
      <c r="G62" s="1">
        <v>2.93973E7</v>
      </c>
      <c r="I62" s="1">
        <f t="shared" si="1"/>
        <v>-0.02208133489</v>
      </c>
      <c r="J62" s="1">
        <v>0.0</v>
      </c>
      <c r="K62" s="1">
        <f t="shared" si="2"/>
        <v>-0.02208133489</v>
      </c>
      <c r="L62" s="1">
        <f t="shared" si="3"/>
        <v>-2.208133489</v>
      </c>
      <c r="M62" s="1">
        <v>1.54</v>
      </c>
    </row>
    <row r="63" ht="15.75" customHeight="1">
      <c r="A63" s="7">
        <v>43979.0</v>
      </c>
      <c r="B63" s="1">
        <v>336.48999</v>
      </c>
      <c r="C63" s="1">
        <v>350.420013</v>
      </c>
      <c r="D63" s="1">
        <v>335.170013</v>
      </c>
      <c r="E63" s="1">
        <v>339.480011</v>
      </c>
      <c r="F63" s="1">
        <v>339.123474</v>
      </c>
      <c r="G63" s="1">
        <v>1.83724E7</v>
      </c>
      <c r="I63" s="1">
        <f t="shared" si="1"/>
        <v>-0.004486636364</v>
      </c>
      <c r="J63" s="1">
        <v>0.0</v>
      </c>
      <c r="K63" s="1">
        <f t="shared" si="2"/>
        <v>-0.004486636364</v>
      </c>
      <c r="L63" s="1">
        <f t="shared" si="3"/>
        <v>-0.4486636364</v>
      </c>
      <c r="M63" s="1">
        <v>-0.41</v>
      </c>
    </row>
    <row r="64" ht="15.75" customHeight="1">
      <c r="A64" s="7">
        <v>43980.0</v>
      </c>
      <c r="B64" s="1">
        <v>342.179993</v>
      </c>
      <c r="C64" s="1">
        <v>355.019989</v>
      </c>
      <c r="D64" s="1">
        <v>339.399994</v>
      </c>
      <c r="E64" s="1">
        <v>355.019989</v>
      </c>
      <c r="F64" s="1">
        <v>354.647156</v>
      </c>
      <c r="G64" s="1">
        <v>1.8648E7</v>
      </c>
      <c r="I64" s="1">
        <f t="shared" si="1"/>
        <v>0.04577589931</v>
      </c>
      <c r="J64" s="1">
        <v>0.0</v>
      </c>
      <c r="K64" s="1">
        <f t="shared" si="2"/>
        <v>0.04577589931</v>
      </c>
      <c r="L64" s="1">
        <f t="shared" si="3"/>
        <v>4.577589931</v>
      </c>
      <c r="M64" s="1">
        <v>0.6</v>
      </c>
    </row>
    <row r="65" ht="15.75" customHeight="1">
      <c r="A65" s="7">
        <v>43983.0</v>
      </c>
      <c r="B65" s="1">
        <v>353.329987</v>
      </c>
      <c r="C65" s="1">
        <v>353.630005</v>
      </c>
      <c r="D65" s="1">
        <v>347.579987</v>
      </c>
      <c r="E65" s="1">
        <v>352.25</v>
      </c>
      <c r="F65" s="1">
        <v>351.880066</v>
      </c>
      <c r="G65" s="1">
        <v>9746900.0</v>
      </c>
      <c r="I65" s="1">
        <f t="shared" si="1"/>
        <v>-0.007802374707</v>
      </c>
      <c r="J65" s="1">
        <v>0.0</v>
      </c>
      <c r="K65" s="1">
        <f t="shared" si="2"/>
        <v>-0.007802374707</v>
      </c>
      <c r="L65" s="1">
        <f t="shared" si="3"/>
        <v>-0.7802374707</v>
      </c>
      <c r="M65" s="1">
        <v>0.52</v>
      </c>
    </row>
    <row r="66" ht="15.75" customHeight="1">
      <c r="A66" s="7">
        <v>43984.0</v>
      </c>
      <c r="B66" s="1">
        <v>351.850006</v>
      </c>
      <c r="C66" s="1">
        <v>353.48999</v>
      </c>
      <c r="D66" s="1">
        <v>346.320007</v>
      </c>
      <c r="E66" s="1">
        <v>353.01001</v>
      </c>
      <c r="F66" s="1">
        <v>352.639252</v>
      </c>
      <c r="G66" s="1">
        <v>9783000.0</v>
      </c>
      <c r="I66" s="1">
        <f t="shared" si="1"/>
        <v>0.002157513521</v>
      </c>
      <c r="J66" s="1">
        <v>0.0</v>
      </c>
      <c r="K66" s="1">
        <f t="shared" si="2"/>
        <v>0.002157513521</v>
      </c>
      <c r="L66" s="1">
        <f t="shared" si="3"/>
        <v>0.2157513521</v>
      </c>
      <c r="M66" s="1">
        <v>0.81</v>
      </c>
    </row>
    <row r="67" ht="15.75" customHeight="1">
      <c r="A67" s="7">
        <v>43985.0</v>
      </c>
      <c r="B67" s="1">
        <v>352.890015</v>
      </c>
      <c r="C67" s="1">
        <v>354.649994</v>
      </c>
      <c r="D67" s="1">
        <v>348.0</v>
      </c>
      <c r="E67" s="1">
        <v>350.779999</v>
      </c>
      <c r="F67" s="1">
        <v>350.411591</v>
      </c>
      <c r="G67" s="1">
        <v>9136000.0</v>
      </c>
      <c r="I67" s="1">
        <f t="shared" si="1"/>
        <v>-0.006317110155</v>
      </c>
      <c r="J67" s="1">
        <v>0.0</v>
      </c>
      <c r="K67" s="1">
        <f t="shared" si="2"/>
        <v>-0.006317110155</v>
      </c>
      <c r="L67" s="1">
        <f t="shared" si="3"/>
        <v>-0.6317110155</v>
      </c>
      <c r="M67" s="1">
        <v>1.42</v>
      </c>
    </row>
    <row r="68" ht="15.75" customHeight="1">
      <c r="A68" s="7">
        <v>43986.0</v>
      </c>
      <c r="B68" s="1">
        <v>349.119995</v>
      </c>
      <c r="C68" s="1">
        <v>357.730011</v>
      </c>
      <c r="D68" s="1">
        <v>347.100006</v>
      </c>
      <c r="E68" s="1">
        <v>350.660004</v>
      </c>
      <c r="F68" s="1">
        <v>350.451569</v>
      </c>
      <c r="G68" s="1">
        <v>1.0607E7</v>
      </c>
      <c r="I68" s="1">
        <f t="shared" si="1"/>
        <v>0.0001140886918</v>
      </c>
      <c r="J68" s="1">
        <v>0.0</v>
      </c>
      <c r="K68" s="1">
        <f t="shared" si="2"/>
        <v>0.0001140886918</v>
      </c>
      <c r="L68" s="1">
        <f t="shared" si="3"/>
        <v>0.01140886918</v>
      </c>
      <c r="M68" s="1">
        <v>-0.34</v>
      </c>
    </row>
    <row r="69" ht="15.75" customHeight="1">
      <c r="A69" s="7">
        <v>43987.0</v>
      </c>
      <c r="B69" s="1">
        <v>351.779999</v>
      </c>
      <c r="C69" s="1">
        <v>359.880005</v>
      </c>
      <c r="D69" s="1">
        <v>348.320007</v>
      </c>
      <c r="E69" s="1">
        <v>356.799988</v>
      </c>
      <c r="F69" s="1">
        <v>356.587921</v>
      </c>
      <c r="G69" s="1">
        <v>1.20437E7</v>
      </c>
      <c r="I69" s="1">
        <f t="shared" si="1"/>
        <v>0.01750984314</v>
      </c>
      <c r="J69" s="1">
        <v>0.0</v>
      </c>
      <c r="K69" s="1">
        <f t="shared" si="2"/>
        <v>0.01750984314</v>
      </c>
      <c r="L69" s="1">
        <f t="shared" si="3"/>
        <v>1.750984314</v>
      </c>
      <c r="M69" s="1">
        <v>2.5</v>
      </c>
    </row>
    <row r="70" ht="15.75" customHeight="1">
      <c r="A70" s="7">
        <v>43990.0</v>
      </c>
      <c r="B70" s="1">
        <v>355.089996</v>
      </c>
      <c r="C70" s="1">
        <v>355.589996</v>
      </c>
      <c r="D70" s="1">
        <v>347.429993</v>
      </c>
      <c r="E70" s="1">
        <v>352.200012</v>
      </c>
      <c r="F70" s="1">
        <v>351.990692</v>
      </c>
      <c r="G70" s="1">
        <v>9693400.0</v>
      </c>
      <c r="I70" s="1">
        <f t="shared" si="1"/>
        <v>-0.01289227349</v>
      </c>
      <c r="J70" s="1">
        <v>0.0</v>
      </c>
      <c r="K70" s="1">
        <f t="shared" si="2"/>
        <v>-0.01289227349</v>
      </c>
      <c r="L70" s="1">
        <f t="shared" si="3"/>
        <v>-1.289227349</v>
      </c>
      <c r="M70" s="1">
        <v>1.39</v>
      </c>
    </row>
    <row r="71" ht="15.75" customHeight="1">
      <c r="A71" s="7">
        <v>43991.0</v>
      </c>
      <c r="B71" s="1">
        <v>352.0</v>
      </c>
      <c r="C71" s="1">
        <v>364.390015</v>
      </c>
      <c r="D71" s="1">
        <v>350.049988</v>
      </c>
      <c r="E71" s="1">
        <v>361.839996</v>
      </c>
      <c r="F71" s="1">
        <v>361.624939</v>
      </c>
      <c r="G71" s="1">
        <v>1.17122E7</v>
      </c>
      <c r="I71" s="1">
        <f t="shared" si="1"/>
        <v>0.02737074366</v>
      </c>
      <c r="J71" s="1">
        <v>0.0</v>
      </c>
      <c r="K71" s="1">
        <f t="shared" si="2"/>
        <v>0.02737074366</v>
      </c>
      <c r="L71" s="1">
        <f t="shared" si="3"/>
        <v>2.737074366</v>
      </c>
      <c r="M71" s="1">
        <v>-0.85</v>
      </c>
    </row>
    <row r="72" ht="15.75" customHeight="1">
      <c r="A72" s="7">
        <v>43992.0</v>
      </c>
      <c r="B72" s="1">
        <v>366.709991</v>
      </c>
      <c r="C72" s="1">
        <v>380.0</v>
      </c>
      <c r="D72" s="1">
        <v>366.140015</v>
      </c>
      <c r="E72" s="1">
        <v>374.670013</v>
      </c>
      <c r="F72" s="1">
        <v>374.447327</v>
      </c>
      <c r="G72" s="1">
        <v>1.58045E7</v>
      </c>
      <c r="I72" s="1">
        <f t="shared" si="1"/>
        <v>0.03545769834</v>
      </c>
      <c r="J72" s="1">
        <v>0.0</v>
      </c>
      <c r="K72" s="1">
        <f t="shared" si="2"/>
        <v>0.03545769834</v>
      </c>
      <c r="L72" s="1">
        <f t="shared" si="3"/>
        <v>3.545769834</v>
      </c>
      <c r="M72" s="1">
        <v>-0.56</v>
      </c>
    </row>
    <row r="73" ht="15.75" customHeight="1">
      <c r="A73" s="7">
        <v>43993.0</v>
      </c>
      <c r="B73" s="1">
        <v>366.0</v>
      </c>
      <c r="C73" s="1">
        <v>370.450012</v>
      </c>
      <c r="D73" s="1">
        <v>351.440002</v>
      </c>
      <c r="E73" s="1">
        <v>351.850006</v>
      </c>
      <c r="F73" s="1">
        <v>351.6409</v>
      </c>
      <c r="G73" s="1">
        <v>1.45913E7</v>
      </c>
      <c r="I73" s="1">
        <f t="shared" si="1"/>
        <v>-0.06090690294</v>
      </c>
      <c r="J73" s="1">
        <v>0.0</v>
      </c>
      <c r="K73" s="1">
        <f t="shared" si="2"/>
        <v>-0.06090690294</v>
      </c>
      <c r="L73" s="1">
        <f t="shared" si="3"/>
        <v>-6.090690294</v>
      </c>
      <c r="M73" s="1">
        <v>-5.91</v>
      </c>
    </row>
    <row r="74" ht="15.75" customHeight="1">
      <c r="A74" s="7">
        <v>43994.0</v>
      </c>
      <c r="B74" s="1">
        <v>366.5</v>
      </c>
      <c r="C74" s="1">
        <v>367.48999</v>
      </c>
      <c r="D74" s="1">
        <v>348.130005</v>
      </c>
      <c r="E74" s="1">
        <v>357.299988</v>
      </c>
      <c r="F74" s="1">
        <v>357.087616</v>
      </c>
      <c r="G74" s="1">
        <v>1.42727E7</v>
      </c>
      <c r="I74" s="1">
        <f t="shared" si="1"/>
        <v>0.01548942686</v>
      </c>
      <c r="J74" s="1">
        <v>0.0</v>
      </c>
      <c r="K74" s="1">
        <f t="shared" si="2"/>
        <v>0.01548942686</v>
      </c>
      <c r="L74" s="1">
        <f t="shared" si="3"/>
        <v>1.548942686</v>
      </c>
      <c r="M74" s="1">
        <v>1.29</v>
      </c>
    </row>
    <row r="75" ht="15.75" customHeight="1">
      <c r="A75" s="7">
        <v>43997.0</v>
      </c>
      <c r="B75" s="1">
        <v>352.609985</v>
      </c>
      <c r="C75" s="1">
        <v>367.290009</v>
      </c>
      <c r="D75" s="1">
        <v>349.75</v>
      </c>
      <c r="E75" s="1">
        <v>366.950012</v>
      </c>
      <c r="F75" s="1">
        <v>366.731934</v>
      </c>
      <c r="G75" s="1">
        <v>1.00001E7</v>
      </c>
      <c r="I75" s="1">
        <f t="shared" si="1"/>
        <v>0.02700826791</v>
      </c>
      <c r="J75" s="1">
        <v>0.0</v>
      </c>
      <c r="K75" s="1">
        <f t="shared" si="2"/>
        <v>0.02700826791</v>
      </c>
      <c r="L75" s="1">
        <f t="shared" si="3"/>
        <v>2.700826791</v>
      </c>
      <c r="M75" s="1">
        <v>1.09</v>
      </c>
    </row>
    <row r="76" ht="15.75" customHeight="1">
      <c r="A76" s="7">
        <v>43998.0</v>
      </c>
      <c r="B76" s="1">
        <v>369.0</v>
      </c>
      <c r="C76" s="1">
        <v>370.670013</v>
      </c>
      <c r="D76" s="1">
        <v>353.549988</v>
      </c>
      <c r="E76" s="1">
        <v>362.73999</v>
      </c>
      <c r="F76" s="1">
        <v>362.524414</v>
      </c>
      <c r="G76" s="1">
        <v>1.33929E7</v>
      </c>
      <c r="I76" s="1">
        <f t="shared" si="1"/>
        <v>-0.01147301233</v>
      </c>
      <c r="J76" s="1">
        <v>0.0</v>
      </c>
      <c r="K76" s="1">
        <f t="shared" si="2"/>
        <v>-0.01147301233</v>
      </c>
      <c r="L76" s="1">
        <f t="shared" si="3"/>
        <v>-1.147301233</v>
      </c>
      <c r="M76" s="1">
        <v>1.86</v>
      </c>
    </row>
    <row r="77" ht="15.75" customHeight="1">
      <c r="A77" s="7">
        <v>43999.0</v>
      </c>
      <c r="B77" s="1">
        <v>364.549988</v>
      </c>
      <c r="C77" s="1">
        <v>371.959991</v>
      </c>
      <c r="D77" s="1">
        <v>362.809998</v>
      </c>
      <c r="E77" s="1">
        <v>369.440002</v>
      </c>
      <c r="F77" s="1">
        <v>369.220428</v>
      </c>
      <c r="G77" s="1">
        <v>1.02076E7</v>
      </c>
      <c r="I77" s="1">
        <f t="shared" si="1"/>
        <v>0.01847051879</v>
      </c>
      <c r="J77" s="1">
        <v>0.0</v>
      </c>
      <c r="K77" s="1">
        <f t="shared" si="2"/>
        <v>0.01847051879</v>
      </c>
      <c r="L77" s="1">
        <f t="shared" si="3"/>
        <v>1.847051879</v>
      </c>
      <c r="M77" s="1">
        <v>-0.4</v>
      </c>
    </row>
    <row r="78" ht="15.75" customHeight="1">
      <c r="A78" s="7">
        <v>44000.0</v>
      </c>
      <c r="B78" s="1">
        <v>369.079987</v>
      </c>
      <c r="C78" s="1">
        <v>371.299988</v>
      </c>
      <c r="D78" s="1">
        <v>364.579987</v>
      </c>
      <c r="E78" s="1">
        <v>368.720001</v>
      </c>
      <c r="F78" s="1">
        <v>368.500854</v>
      </c>
      <c r="G78" s="1">
        <v>6360200.0</v>
      </c>
      <c r="I78" s="1">
        <f t="shared" si="1"/>
        <v>-0.001948900834</v>
      </c>
      <c r="J78" s="1">
        <v>0.0</v>
      </c>
      <c r="K78" s="1">
        <f t="shared" si="2"/>
        <v>-0.001948900834</v>
      </c>
      <c r="L78" s="1">
        <f t="shared" si="3"/>
        <v>-0.1948900834</v>
      </c>
      <c r="M78" s="1">
        <v>0.19</v>
      </c>
    </row>
    <row r="79" ht="15.75" customHeight="1">
      <c r="A79" s="7">
        <v>44001.0</v>
      </c>
      <c r="B79" s="1">
        <v>369.700012</v>
      </c>
      <c r="C79" s="1">
        <v>377.799988</v>
      </c>
      <c r="D79" s="1">
        <v>369.089996</v>
      </c>
      <c r="E79" s="1">
        <v>370.450012</v>
      </c>
      <c r="F79" s="1">
        <v>370.229828</v>
      </c>
      <c r="G79" s="1">
        <v>1.3104E7</v>
      </c>
      <c r="I79" s="1">
        <f t="shared" si="1"/>
        <v>0.004691913143</v>
      </c>
      <c r="J79" s="1">
        <v>0.0</v>
      </c>
      <c r="K79" s="1">
        <f t="shared" si="2"/>
        <v>0.004691913143</v>
      </c>
      <c r="L79" s="1">
        <f t="shared" si="3"/>
        <v>0.4691913143</v>
      </c>
      <c r="M79" s="1">
        <v>-0.45</v>
      </c>
    </row>
    <row r="80" ht="15.75" customHeight="1">
      <c r="A80" s="7">
        <v>44004.0</v>
      </c>
      <c r="B80" s="1">
        <v>372.0</v>
      </c>
      <c r="C80" s="1">
        <v>381.25</v>
      </c>
      <c r="D80" s="1">
        <v>370.929993</v>
      </c>
      <c r="E80" s="1">
        <v>381.070007</v>
      </c>
      <c r="F80" s="1">
        <v>380.843506</v>
      </c>
      <c r="G80" s="1">
        <v>9961700.0</v>
      </c>
      <c r="I80" s="1">
        <f t="shared" si="1"/>
        <v>0.02866780901</v>
      </c>
      <c r="J80" s="1">
        <v>0.0</v>
      </c>
      <c r="K80" s="1">
        <f t="shared" si="2"/>
        <v>0.02866780901</v>
      </c>
      <c r="L80" s="1">
        <f t="shared" si="3"/>
        <v>2.866780901</v>
      </c>
      <c r="M80" s="1">
        <v>0.71</v>
      </c>
    </row>
    <row r="81" ht="15.75" customHeight="1">
      <c r="A81" s="7">
        <v>44005.0</v>
      </c>
      <c r="B81" s="1">
        <v>382.040009</v>
      </c>
      <c r="C81" s="1">
        <v>385.700012</v>
      </c>
      <c r="D81" s="1">
        <v>376.299988</v>
      </c>
      <c r="E81" s="1">
        <v>378.0</v>
      </c>
      <c r="F81" s="1">
        <v>377.77533</v>
      </c>
      <c r="G81" s="1">
        <v>9377700.0</v>
      </c>
      <c r="I81" s="1">
        <f t="shared" si="1"/>
        <v>-0.008056264454</v>
      </c>
      <c r="J81" s="1">
        <v>0.0</v>
      </c>
      <c r="K81" s="1">
        <f t="shared" si="2"/>
        <v>-0.008056264454</v>
      </c>
      <c r="L81" s="1">
        <f t="shared" si="3"/>
        <v>-0.8056264454</v>
      </c>
      <c r="M81" s="1">
        <v>0.42</v>
      </c>
    </row>
    <row r="82" ht="15.75" customHeight="1">
      <c r="A82" s="7">
        <v>44006.0</v>
      </c>
      <c r="B82" s="1">
        <v>379.049988</v>
      </c>
      <c r="C82" s="1">
        <v>382.26001</v>
      </c>
      <c r="D82" s="1">
        <v>365.779999</v>
      </c>
      <c r="E82" s="1">
        <v>369.420013</v>
      </c>
      <c r="F82" s="1">
        <v>369.200439</v>
      </c>
      <c r="G82" s="1">
        <v>1.12343E7</v>
      </c>
      <c r="I82" s="1">
        <f t="shared" si="1"/>
        <v>-0.02269838795</v>
      </c>
      <c r="J82" s="1">
        <v>0.0</v>
      </c>
      <c r="K82" s="1">
        <f t="shared" si="2"/>
        <v>-0.02269838795</v>
      </c>
      <c r="L82" s="1">
        <f t="shared" si="3"/>
        <v>-2.269838795</v>
      </c>
      <c r="M82" s="1">
        <v>-2.61</v>
      </c>
    </row>
    <row r="83" ht="15.75" customHeight="1">
      <c r="A83" s="7">
        <v>44007.0</v>
      </c>
      <c r="B83" s="1">
        <v>374.230011</v>
      </c>
      <c r="C83" s="1">
        <v>380.200012</v>
      </c>
      <c r="D83" s="1">
        <v>367.290009</v>
      </c>
      <c r="E83" s="1">
        <v>379.600006</v>
      </c>
      <c r="F83" s="1">
        <v>379.37439</v>
      </c>
      <c r="G83" s="1">
        <v>9401800.0</v>
      </c>
      <c r="I83" s="1">
        <f t="shared" si="1"/>
        <v>0.02755671425</v>
      </c>
      <c r="J83" s="1">
        <v>0.0</v>
      </c>
      <c r="K83" s="1">
        <f t="shared" si="2"/>
        <v>0.02755671425</v>
      </c>
      <c r="L83" s="1">
        <f t="shared" si="3"/>
        <v>2.755671425</v>
      </c>
      <c r="M83" s="1">
        <v>1.12</v>
      </c>
    </row>
    <row r="84" ht="15.75" customHeight="1">
      <c r="A84" s="7">
        <v>44008.0</v>
      </c>
      <c r="B84" s="1">
        <v>380.0</v>
      </c>
      <c r="C84" s="1">
        <v>380.0</v>
      </c>
      <c r="D84" s="1">
        <v>365.0</v>
      </c>
      <c r="E84" s="1">
        <v>366.200012</v>
      </c>
      <c r="F84" s="1">
        <v>365.982361</v>
      </c>
      <c r="G84" s="1">
        <v>1.48021E7</v>
      </c>
      <c r="I84" s="1">
        <f t="shared" si="1"/>
        <v>-0.03530029795</v>
      </c>
      <c r="J84" s="1">
        <v>0.0</v>
      </c>
      <c r="K84" s="1">
        <f t="shared" si="2"/>
        <v>-0.03530029795</v>
      </c>
      <c r="L84" s="1">
        <f t="shared" si="3"/>
        <v>-3.530029795</v>
      </c>
      <c r="M84" s="1">
        <v>-2.44</v>
      </c>
    </row>
    <row r="85" ht="15.75" customHeight="1">
      <c r="A85" s="7">
        <v>44011.0</v>
      </c>
      <c r="B85" s="1">
        <v>366.790009</v>
      </c>
      <c r="C85" s="1">
        <v>368.179993</v>
      </c>
      <c r="D85" s="1">
        <v>356.0</v>
      </c>
      <c r="E85" s="1">
        <v>368.0</v>
      </c>
      <c r="F85" s="1">
        <v>367.781281</v>
      </c>
      <c r="G85" s="1">
        <v>8556200.0</v>
      </c>
      <c r="I85" s="1">
        <f t="shared" si="1"/>
        <v>0.004915318856</v>
      </c>
      <c r="J85" s="1">
        <v>0.0</v>
      </c>
      <c r="K85" s="1">
        <f t="shared" si="2"/>
        <v>0.004915318856</v>
      </c>
      <c r="L85" s="1">
        <f t="shared" si="3"/>
        <v>0.4915318856</v>
      </c>
      <c r="M85" s="1">
        <v>1.51</v>
      </c>
    </row>
    <row r="86" ht="15.75" customHeight="1">
      <c r="A86" s="7">
        <v>44012.0</v>
      </c>
      <c r="B86" s="1">
        <v>372.559998</v>
      </c>
      <c r="C86" s="1">
        <v>381.049988</v>
      </c>
      <c r="D86" s="1">
        <v>370.660004</v>
      </c>
      <c r="E86" s="1">
        <v>379.910004</v>
      </c>
      <c r="F86" s="1">
        <v>379.684204</v>
      </c>
      <c r="G86" s="1">
        <v>9197300.0</v>
      </c>
      <c r="I86" s="1">
        <f t="shared" si="1"/>
        <v>0.03236413492</v>
      </c>
      <c r="J86" s="1">
        <v>0.0</v>
      </c>
      <c r="K86" s="1">
        <f t="shared" si="2"/>
        <v>0.03236413492</v>
      </c>
      <c r="L86" s="1">
        <f t="shared" si="3"/>
        <v>3.236413492</v>
      </c>
      <c r="M86" s="1">
        <v>1.58</v>
      </c>
    </row>
    <row r="87" ht="15.75" customHeight="1">
      <c r="A87" s="7">
        <v>44013.0</v>
      </c>
      <c r="B87" s="1">
        <v>380.829987</v>
      </c>
      <c r="C87" s="1">
        <v>383.029999</v>
      </c>
      <c r="D87" s="1">
        <v>376.519989</v>
      </c>
      <c r="E87" s="1">
        <v>381.200012</v>
      </c>
      <c r="F87" s="1">
        <v>380.97345</v>
      </c>
      <c r="G87" s="1">
        <v>8166200.0</v>
      </c>
      <c r="I87" s="1">
        <f t="shared" si="1"/>
        <v>0.003395574497</v>
      </c>
      <c r="J87" s="1">
        <v>0.0</v>
      </c>
      <c r="K87" s="1">
        <f t="shared" si="2"/>
        <v>0.003395574497</v>
      </c>
      <c r="L87" s="1">
        <f t="shared" si="3"/>
        <v>0.3395574497</v>
      </c>
      <c r="M87" s="1">
        <v>0.41</v>
      </c>
    </row>
    <row r="88" ht="15.75" customHeight="1">
      <c r="A88" s="7">
        <v>44014.0</v>
      </c>
      <c r="B88" s="1">
        <v>385.559998</v>
      </c>
      <c r="C88" s="1">
        <v>389.5</v>
      </c>
      <c r="D88" s="1">
        <v>383.130005</v>
      </c>
      <c r="E88" s="1">
        <v>384.48999</v>
      </c>
      <c r="F88" s="1">
        <v>384.261475</v>
      </c>
      <c r="G88" s="1">
        <v>9101400.0</v>
      </c>
      <c r="I88" s="1">
        <f t="shared" si="1"/>
        <v>0.0086305883</v>
      </c>
      <c r="J88" s="1">
        <v>0.0</v>
      </c>
      <c r="K88" s="1">
        <f t="shared" si="2"/>
        <v>0.0086305883</v>
      </c>
      <c r="L88" s="1">
        <f t="shared" si="3"/>
        <v>0.86305883</v>
      </c>
      <c r="M88" s="1">
        <v>0.5</v>
      </c>
    </row>
    <row r="89" ht="15.75" customHeight="1">
      <c r="A89" s="7">
        <v>44018.0</v>
      </c>
      <c r="B89" s="1">
        <v>389.670013</v>
      </c>
      <c r="C89" s="1">
        <v>396.350006</v>
      </c>
      <c r="D89" s="1">
        <v>388.5</v>
      </c>
      <c r="E89" s="1">
        <v>393.570007</v>
      </c>
      <c r="F89" s="1">
        <v>393.33609</v>
      </c>
      <c r="G89" s="1">
        <v>7897300.0</v>
      </c>
      <c r="I89" s="1">
        <f t="shared" si="1"/>
        <v>0.02361572937</v>
      </c>
      <c r="J89" s="1">
        <v>0.0</v>
      </c>
      <c r="K89" s="1">
        <f t="shared" si="2"/>
        <v>0.02361572937</v>
      </c>
      <c r="L89" s="1">
        <f t="shared" si="3"/>
        <v>2.361572937</v>
      </c>
      <c r="M89" s="1">
        <v>1.65</v>
      </c>
    </row>
    <row r="90" ht="15.75" customHeight="1">
      <c r="A90" s="7">
        <v>44019.0</v>
      </c>
      <c r="B90" s="1">
        <v>397.850006</v>
      </c>
      <c r="C90" s="1">
        <v>402.799988</v>
      </c>
      <c r="D90" s="1">
        <v>394.029999</v>
      </c>
      <c r="E90" s="1">
        <v>394.869995</v>
      </c>
      <c r="F90" s="1">
        <v>394.635315</v>
      </c>
      <c r="G90" s="1">
        <v>8945000.0</v>
      </c>
      <c r="I90" s="1">
        <f t="shared" si="1"/>
        <v>0.003303091257</v>
      </c>
      <c r="J90" s="1">
        <v>0.0</v>
      </c>
      <c r="K90" s="1">
        <f t="shared" si="2"/>
        <v>0.003303091257</v>
      </c>
      <c r="L90" s="1">
        <f t="shared" si="3"/>
        <v>0.3303091257</v>
      </c>
      <c r="M90" s="1">
        <v>-1.03</v>
      </c>
    </row>
    <row r="91" ht="15.75" customHeight="1">
      <c r="A91" s="7">
        <v>44020.0</v>
      </c>
      <c r="B91" s="1">
        <v>399.75</v>
      </c>
      <c r="C91" s="1">
        <v>409.0</v>
      </c>
      <c r="D91" s="1">
        <v>398.619995</v>
      </c>
      <c r="E91" s="1">
        <v>408.640015</v>
      </c>
      <c r="F91" s="1">
        <v>408.397125</v>
      </c>
      <c r="G91" s="1">
        <v>9137000.0</v>
      </c>
      <c r="I91" s="1">
        <f t="shared" si="1"/>
        <v>0.03487222121</v>
      </c>
      <c r="J91" s="1">
        <v>0.0</v>
      </c>
      <c r="K91" s="1">
        <f t="shared" si="2"/>
        <v>0.03487222121</v>
      </c>
      <c r="L91" s="1">
        <f t="shared" si="3"/>
        <v>3.487222121</v>
      </c>
      <c r="M91" s="1">
        <v>0.91</v>
      </c>
    </row>
    <row r="92" ht="15.75" customHeight="1">
      <c r="A92" s="7">
        <v>44021.0</v>
      </c>
      <c r="B92" s="1">
        <v>415.209991</v>
      </c>
      <c r="C92" s="1">
        <v>422.799988</v>
      </c>
      <c r="D92" s="1">
        <v>409.339996</v>
      </c>
      <c r="E92" s="1">
        <v>420.359985</v>
      </c>
      <c r="F92" s="1">
        <v>420.110138</v>
      </c>
      <c r="G92" s="1">
        <v>1.23637E7</v>
      </c>
      <c r="I92" s="1">
        <f t="shared" si="1"/>
        <v>0.02868044921</v>
      </c>
      <c r="J92" s="1">
        <v>0.0</v>
      </c>
      <c r="K92" s="1">
        <f t="shared" si="2"/>
        <v>0.02868044921</v>
      </c>
      <c r="L92" s="1">
        <f t="shared" si="3"/>
        <v>2.868044921</v>
      </c>
      <c r="M92" s="1">
        <v>-0.53</v>
      </c>
    </row>
    <row r="93" ht="15.75" customHeight="1">
      <c r="A93" s="7">
        <v>44022.0</v>
      </c>
      <c r="B93" s="1">
        <v>423.549988</v>
      </c>
      <c r="C93" s="1">
        <v>426.209991</v>
      </c>
      <c r="D93" s="1">
        <v>415.149994</v>
      </c>
      <c r="E93" s="1">
        <v>419.170013</v>
      </c>
      <c r="F93" s="1">
        <v>418.920898</v>
      </c>
      <c r="G93" s="1">
        <v>1.24419E7</v>
      </c>
      <c r="I93" s="1">
        <f t="shared" si="1"/>
        <v>-0.002830781484</v>
      </c>
      <c r="J93" s="1">
        <v>0.0</v>
      </c>
      <c r="K93" s="1">
        <f t="shared" si="2"/>
        <v>-0.002830781484</v>
      </c>
      <c r="L93" s="1">
        <f t="shared" si="3"/>
        <v>-0.2830781484</v>
      </c>
      <c r="M93" s="1">
        <v>1.11</v>
      </c>
    </row>
    <row r="94" ht="15.75" customHeight="1">
      <c r="A94" s="7">
        <v>44025.0</v>
      </c>
      <c r="B94" s="1">
        <v>423.799988</v>
      </c>
      <c r="C94" s="1">
        <v>431.690002</v>
      </c>
      <c r="D94" s="1">
        <v>401.0</v>
      </c>
      <c r="E94" s="1">
        <v>402.089996</v>
      </c>
      <c r="F94" s="1">
        <v>401.851013</v>
      </c>
      <c r="G94" s="1">
        <v>1.14269E7</v>
      </c>
      <c r="I94" s="1">
        <f t="shared" si="1"/>
        <v>-0.04074727492</v>
      </c>
      <c r="J94" s="1">
        <v>0.0</v>
      </c>
      <c r="K94" s="1">
        <f t="shared" si="2"/>
        <v>-0.04074727492</v>
      </c>
      <c r="L94" s="1">
        <f t="shared" si="3"/>
        <v>-4.074727492</v>
      </c>
      <c r="M94" s="1">
        <v>-1.2</v>
      </c>
    </row>
    <row r="95" ht="15.75" customHeight="1">
      <c r="A95" s="7">
        <v>44026.0</v>
      </c>
      <c r="B95" s="1">
        <v>403.0</v>
      </c>
      <c r="C95" s="1">
        <v>416.109985</v>
      </c>
      <c r="D95" s="1">
        <v>391.420013</v>
      </c>
      <c r="E95" s="1">
        <v>415.079987</v>
      </c>
      <c r="F95" s="1">
        <v>414.833282</v>
      </c>
      <c r="G95" s="1">
        <v>1.35669E7</v>
      </c>
      <c r="I95" s="1">
        <f t="shared" si="1"/>
        <v>0.03230617463</v>
      </c>
      <c r="J95" s="1">
        <v>0.0</v>
      </c>
      <c r="K95" s="1">
        <f t="shared" si="2"/>
        <v>0.03230617463</v>
      </c>
      <c r="L95" s="1">
        <f t="shared" si="3"/>
        <v>3.230617463</v>
      </c>
      <c r="M95" s="1">
        <v>1.35</v>
      </c>
    </row>
    <row r="96" ht="15.75" customHeight="1">
      <c r="A96" s="7">
        <v>44027.0</v>
      </c>
      <c r="B96" s="1">
        <v>416.570007</v>
      </c>
      <c r="C96" s="1">
        <v>417.320007</v>
      </c>
      <c r="D96" s="1">
        <v>402.230011</v>
      </c>
      <c r="E96" s="1">
        <v>409.089996</v>
      </c>
      <c r="F96" s="1">
        <v>408.846863</v>
      </c>
      <c r="G96" s="1">
        <v>1.00996E7</v>
      </c>
      <c r="I96" s="1">
        <f t="shared" si="1"/>
        <v>-0.01443090335</v>
      </c>
      <c r="J96" s="1">
        <v>0.0</v>
      </c>
      <c r="K96" s="1">
        <f t="shared" si="2"/>
        <v>-0.01443090335</v>
      </c>
      <c r="L96" s="1">
        <f t="shared" si="3"/>
        <v>-1.443090335</v>
      </c>
      <c r="M96" s="1">
        <v>1.14</v>
      </c>
    </row>
    <row r="97" ht="15.75" customHeight="1">
      <c r="A97" s="7">
        <v>44028.0</v>
      </c>
      <c r="B97" s="1">
        <v>400.600006</v>
      </c>
      <c r="C97" s="1">
        <v>408.269989</v>
      </c>
      <c r="D97" s="1">
        <v>395.820007</v>
      </c>
      <c r="E97" s="1">
        <v>405.390015</v>
      </c>
      <c r="F97" s="1">
        <v>405.149078</v>
      </c>
      <c r="G97" s="1">
        <v>8624100.0</v>
      </c>
      <c r="I97" s="1">
        <f t="shared" si="1"/>
        <v>-0.009044425516</v>
      </c>
      <c r="J97" s="1">
        <v>0.0</v>
      </c>
      <c r="K97" s="1">
        <f t="shared" si="2"/>
        <v>-0.009044425516</v>
      </c>
      <c r="L97" s="1">
        <f t="shared" si="3"/>
        <v>-0.9044425516</v>
      </c>
      <c r="M97" s="1">
        <v>-0.37</v>
      </c>
    </row>
    <row r="98" ht="15.75" customHeight="1">
      <c r="A98" s="7">
        <v>44029.0</v>
      </c>
      <c r="B98" s="1">
        <v>409.019989</v>
      </c>
      <c r="C98" s="1">
        <v>409.940002</v>
      </c>
      <c r="D98" s="1">
        <v>403.51001</v>
      </c>
      <c r="E98" s="1">
        <v>408.059998</v>
      </c>
      <c r="F98" s="1">
        <v>407.817474</v>
      </c>
      <c r="G98" s="1">
        <v>6657100.0</v>
      </c>
      <c r="I98" s="1">
        <f t="shared" si="1"/>
        <v>0.006586207756</v>
      </c>
      <c r="J98" s="1">
        <v>0.0</v>
      </c>
      <c r="K98" s="1">
        <f t="shared" si="2"/>
        <v>0.006586207756</v>
      </c>
      <c r="L98" s="1">
        <f t="shared" si="3"/>
        <v>0.6586207756</v>
      </c>
      <c r="M98" s="1">
        <v>0.3</v>
      </c>
    </row>
    <row r="99" ht="15.75" customHeight="1">
      <c r="A99" s="7">
        <v>44032.0</v>
      </c>
      <c r="B99" s="1">
        <v>410.970001</v>
      </c>
      <c r="C99" s="1">
        <v>421.25</v>
      </c>
      <c r="D99" s="1">
        <v>406.269989</v>
      </c>
      <c r="E99" s="1">
        <v>420.429993</v>
      </c>
      <c r="F99" s="1">
        <v>420.180084</v>
      </c>
      <c r="G99" s="1">
        <v>7121300.0</v>
      </c>
      <c r="I99" s="1">
        <f t="shared" si="1"/>
        <v>0.03031407624</v>
      </c>
      <c r="J99" s="1">
        <v>0.0</v>
      </c>
      <c r="K99" s="1">
        <f t="shared" si="2"/>
        <v>0.03031407624</v>
      </c>
      <c r="L99" s="1">
        <f t="shared" si="3"/>
        <v>3.031407624</v>
      </c>
      <c r="M99" s="1">
        <v>1.01</v>
      </c>
    </row>
    <row r="100" ht="15.75" customHeight="1">
      <c r="A100" s="7">
        <v>44033.0</v>
      </c>
      <c r="B100" s="1">
        <v>420.519989</v>
      </c>
      <c r="C100" s="1">
        <v>422.399994</v>
      </c>
      <c r="D100" s="1">
        <v>411.470001</v>
      </c>
      <c r="E100" s="1">
        <v>413.140015</v>
      </c>
      <c r="F100" s="1">
        <v>412.89447</v>
      </c>
      <c r="G100" s="1">
        <v>6941700.0</v>
      </c>
      <c r="I100" s="1">
        <f t="shared" si="1"/>
        <v>-0.01733926542</v>
      </c>
      <c r="J100" s="1">
        <v>0.0</v>
      </c>
      <c r="K100" s="1">
        <f t="shared" si="2"/>
        <v>-0.01733926542</v>
      </c>
      <c r="L100" s="1">
        <f t="shared" si="3"/>
        <v>-1.733926542</v>
      </c>
      <c r="M100" s="1">
        <v>0.16</v>
      </c>
    </row>
    <row r="101" ht="15.75" customHeight="1">
      <c r="A101" s="7">
        <v>44034.0</v>
      </c>
      <c r="B101" s="1">
        <v>414.700012</v>
      </c>
      <c r="C101" s="1">
        <v>424.100006</v>
      </c>
      <c r="D101" s="1">
        <v>411.660004</v>
      </c>
      <c r="E101" s="1">
        <v>417.549988</v>
      </c>
      <c r="F101" s="1">
        <v>417.301819</v>
      </c>
      <c r="G101" s="1">
        <v>9182300.0</v>
      </c>
      <c r="I101" s="1">
        <f t="shared" si="1"/>
        <v>0.01067427471</v>
      </c>
      <c r="J101" s="1">
        <v>0.0</v>
      </c>
      <c r="K101" s="1">
        <f t="shared" si="2"/>
        <v>0.01067427471</v>
      </c>
      <c r="L101" s="1">
        <f t="shared" si="3"/>
        <v>1.067427471</v>
      </c>
      <c r="M101" s="1">
        <v>0.49</v>
      </c>
    </row>
    <row r="102" ht="15.75" customHeight="1">
      <c r="A102" s="7">
        <v>44035.0</v>
      </c>
      <c r="B102" s="1">
        <v>418.0</v>
      </c>
      <c r="C102" s="1">
        <v>421.880005</v>
      </c>
      <c r="D102" s="1">
        <v>401.25</v>
      </c>
      <c r="E102" s="1">
        <v>405.190002</v>
      </c>
      <c r="F102" s="1">
        <v>404.949188</v>
      </c>
      <c r="G102" s="1">
        <v>1.02915E7</v>
      </c>
      <c r="I102" s="1">
        <f t="shared" si="1"/>
        <v>-0.02960119136</v>
      </c>
      <c r="J102" s="1">
        <v>0.0</v>
      </c>
      <c r="K102" s="1">
        <f t="shared" si="2"/>
        <v>-0.02960119136</v>
      </c>
      <c r="L102" s="1">
        <f t="shared" si="3"/>
        <v>-2.960119136</v>
      </c>
      <c r="M102" s="1">
        <v>-1.2</v>
      </c>
    </row>
    <row r="103" ht="15.75" customHeight="1">
      <c r="A103" s="7">
        <v>44036.0</v>
      </c>
      <c r="B103" s="1">
        <v>395.0</v>
      </c>
      <c r="C103" s="1">
        <v>414.589996</v>
      </c>
      <c r="D103" s="1">
        <v>391.079987</v>
      </c>
      <c r="E103" s="1">
        <v>407.779999</v>
      </c>
      <c r="F103" s="1">
        <v>407.537628</v>
      </c>
      <c r="G103" s="1">
        <v>1.18323E7</v>
      </c>
      <c r="I103" s="1">
        <f t="shared" si="1"/>
        <v>0.006392011829</v>
      </c>
      <c r="J103" s="1">
        <v>0.0</v>
      </c>
      <c r="K103" s="1">
        <f t="shared" si="2"/>
        <v>0.006392011829</v>
      </c>
      <c r="L103" s="1">
        <f t="shared" si="3"/>
        <v>0.6392011829</v>
      </c>
      <c r="M103" s="1">
        <v>-0.75</v>
      </c>
    </row>
    <row r="104" ht="15.75" customHeight="1">
      <c r="A104" s="7">
        <v>44039.0</v>
      </c>
      <c r="B104" s="1">
        <v>409.290009</v>
      </c>
      <c r="C104" s="1">
        <v>417.670013</v>
      </c>
      <c r="D104" s="1">
        <v>408.709991</v>
      </c>
      <c r="E104" s="1">
        <v>416.859985</v>
      </c>
      <c r="F104" s="1">
        <v>416.612213</v>
      </c>
      <c r="G104" s="1">
        <v>7303300.0</v>
      </c>
      <c r="I104" s="1">
        <f t="shared" si="1"/>
        <v>0.02226686415</v>
      </c>
      <c r="J104" s="1">
        <v>0.0</v>
      </c>
      <c r="K104" s="1">
        <f t="shared" si="2"/>
        <v>0.02226686415</v>
      </c>
      <c r="L104" s="1">
        <f t="shared" si="3"/>
        <v>2.226686415</v>
      </c>
      <c r="M104" s="1">
        <v>0.88</v>
      </c>
    </row>
    <row r="105" ht="15.75" customHeight="1">
      <c r="A105" s="7">
        <v>44040.0</v>
      </c>
      <c r="B105" s="1">
        <v>414.970001</v>
      </c>
      <c r="C105" s="1">
        <v>415.279999</v>
      </c>
      <c r="D105" s="1">
        <v>408.369995</v>
      </c>
      <c r="E105" s="1">
        <v>408.619995</v>
      </c>
      <c r="F105" s="1">
        <v>408.377136</v>
      </c>
      <c r="G105" s="1">
        <v>6790900.0</v>
      </c>
      <c r="I105" s="1">
        <f t="shared" si="1"/>
        <v>-0.0197667681</v>
      </c>
      <c r="J105" s="1">
        <v>0.0</v>
      </c>
      <c r="K105" s="1">
        <f t="shared" si="2"/>
        <v>-0.0197667681</v>
      </c>
      <c r="L105" s="1">
        <f t="shared" si="3"/>
        <v>-1.97667681</v>
      </c>
      <c r="M105" s="1">
        <v>-0.81</v>
      </c>
    </row>
    <row r="106" ht="15.75" customHeight="1">
      <c r="A106" s="7">
        <v>44041.0</v>
      </c>
      <c r="B106" s="1">
        <v>415.630005</v>
      </c>
      <c r="C106" s="1">
        <v>420.649994</v>
      </c>
      <c r="D106" s="1">
        <v>413.880005</v>
      </c>
      <c r="E106" s="1">
        <v>418.619995</v>
      </c>
      <c r="F106" s="1">
        <v>418.371185</v>
      </c>
      <c r="G106" s="1">
        <v>7112700.0</v>
      </c>
      <c r="I106" s="1">
        <f t="shared" si="1"/>
        <v>0.02447259682</v>
      </c>
      <c r="J106" s="1">
        <v>0.0</v>
      </c>
      <c r="K106" s="1">
        <f t="shared" si="2"/>
        <v>0.02447259682</v>
      </c>
      <c r="L106" s="1">
        <f t="shared" si="3"/>
        <v>2.447259682</v>
      </c>
      <c r="M106" s="1">
        <v>1.35</v>
      </c>
    </row>
    <row r="107" ht="15.75" customHeight="1">
      <c r="A107" s="7">
        <v>44042.0</v>
      </c>
      <c r="B107" s="1">
        <v>415.0</v>
      </c>
      <c r="C107" s="1">
        <v>424.920013</v>
      </c>
      <c r="D107" s="1">
        <v>411.809998</v>
      </c>
      <c r="E107" s="1">
        <v>424.559998</v>
      </c>
      <c r="F107" s="1">
        <v>424.307648</v>
      </c>
      <c r="G107" s="1">
        <v>7722000.0</v>
      </c>
      <c r="I107" s="1">
        <f t="shared" si="1"/>
        <v>0.01418946432</v>
      </c>
      <c r="J107" s="1">
        <v>0.0</v>
      </c>
      <c r="K107" s="1">
        <f t="shared" si="2"/>
        <v>0.01418946432</v>
      </c>
      <c r="L107" s="1">
        <f t="shared" si="3"/>
        <v>1.418946432</v>
      </c>
      <c r="M107" s="1">
        <v>-0.29</v>
      </c>
    </row>
    <row r="108" ht="15.75" customHeight="1">
      <c r="A108" s="7">
        <v>44043.0</v>
      </c>
      <c r="B108" s="1">
        <v>422.529999</v>
      </c>
      <c r="C108" s="1">
        <v>430.660004</v>
      </c>
      <c r="D108" s="1">
        <v>417.320007</v>
      </c>
      <c r="E108" s="1">
        <v>424.589996</v>
      </c>
      <c r="F108" s="1">
        <v>424.337646</v>
      </c>
      <c r="G108" s="1">
        <v>9657200.0</v>
      </c>
      <c r="I108" s="1">
        <f t="shared" si="1"/>
        <v>0.00007069870209</v>
      </c>
      <c r="J108" s="1">
        <v>0.0</v>
      </c>
      <c r="K108" s="1">
        <f t="shared" si="2"/>
        <v>0.00007069870209</v>
      </c>
      <c r="L108" s="1">
        <f t="shared" si="3"/>
        <v>0.007069870209</v>
      </c>
      <c r="M108" s="1">
        <v>0.61</v>
      </c>
    </row>
    <row r="109" ht="15.75" customHeight="1">
      <c r="A109" s="7">
        <v>44046.0</v>
      </c>
      <c r="B109" s="1">
        <v>429.299988</v>
      </c>
      <c r="C109" s="1">
        <v>443.950012</v>
      </c>
      <c r="D109" s="1">
        <v>428.609985</v>
      </c>
      <c r="E109" s="1">
        <v>440.410004</v>
      </c>
      <c r="F109" s="1">
        <v>440.148254</v>
      </c>
      <c r="G109" s="1">
        <v>1.0318E7</v>
      </c>
      <c r="I109" s="1">
        <f t="shared" si="1"/>
        <v>0.03725949877</v>
      </c>
      <c r="J109" s="1">
        <v>0.0</v>
      </c>
      <c r="K109" s="1">
        <f t="shared" si="2"/>
        <v>0.03725949877</v>
      </c>
      <c r="L109" s="1">
        <f t="shared" si="3"/>
        <v>3.725949877</v>
      </c>
      <c r="M109" s="1">
        <v>0.98</v>
      </c>
    </row>
    <row r="110" ht="15.75" customHeight="1">
      <c r="A110" s="7">
        <v>44047.0</v>
      </c>
      <c r="B110" s="1">
        <v>442.0</v>
      </c>
      <c r="C110" s="1">
        <v>449.109985</v>
      </c>
      <c r="D110" s="1">
        <v>436.23999</v>
      </c>
      <c r="E110" s="1">
        <v>449.109985</v>
      </c>
      <c r="F110" s="1">
        <v>448.843048</v>
      </c>
      <c r="G110" s="1">
        <v>7758400.0</v>
      </c>
      <c r="I110" s="1">
        <f t="shared" si="1"/>
        <v>0.01975423944</v>
      </c>
      <c r="J110" s="1">
        <v>0.0</v>
      </c>
      <c r="K110" s="1">
        <f t="shared" si="2"/>
        <v>0.01975423944</v>
      </c>
      <c r="L110" s="1">
        <f t="shared" si="3"/>
        <v>1.975423944</v>
      </c>
      <c r="M110" s="1">
        <v>0.37</v>
      </c>
    </row>
    <row r="111" ht="15.75" customHeight="1">
      <c r="A111" s="7">
        <v>44048.0</v>
      </c>
      <c r="B111" s="1">
        <v>449.76001</v>
      </c>
      <c r="C111" s="1">
        <v>454.869995</v>
      </c>
      <c r="D111" s="1">
        <v>446.649994</v>
      </c>
      <c r="E111" s="1">
        <v>451.470001</v>
      </c>
      <c r="F111" s="1">
        <v>451.20166</v>
      </c>
      <c r="G111" s="1">
        <v>6262500.0</v>
      </c>
      <c r="I111" s="1">
        <f t="shared" si="1"/>
        <v>0.005254870295</v>
      </c>
      <c r="J111" s="1">
        <v>0.0</v>
      </c>
      <c r="K111" s="1">
        <f t="shared" si="2"/>
        <v>0.005254870295</v>
      </c>
      <c r="L111" s="1">
        <f t="shared" si="3"/>
        <v>0.5254870295</v>
      </c>
      <c r="M111" s="1">
        <v>0.78</v>
      </c>
    </row>
    <row r="112" ht="15.75" customHeight="1">
      <c r="A112" s="7">
        <v>44049.0</v>
      </c>
      <c r="B112" s="1">
        <v>453.98999</v>
      </c>
      <c r="C112" s="1">
        <v>454.320007</v>
      </c>
      <c r="D112" s="1">
        <v>447.149994</v>
      </c>
      <c r="E112" s="1">
        <v>453.420013</v>
      </c>
      <c r="F112" s="1">
        <v>453.150513</v>
      </c>
      <c r="G112" s="1">
        <v>6107900.0</v>
      </c>
      <c r="I112" s="1">
        <f t="shared" si="1"/>
        <v>0.00431925051</v>
      </c>
      <c r="J112" s="1">
        <v>0.0</v>
      </c>
      <c r="K112" s="1">
        <f t="shared" si="2"/>
        <v>0.00431925051</v>
      </c>
      <c r="L112" s="1">
        <f t="shared" si="3"/>
        <v>0.431925051</v>
      </c>
      <c r="M112" s="1">
        <v>0.53</v>
      </c>
    </row>
    <row r="113" ht="15.75" customHeight="1">
      <c r="A113" s="7">
        <v>44050.0</v>
      </c>
      <c r="B113" s="1">
        <v>452.5</v>
      </c>
      <c r="C113" s="1">
        <v>460.190002</v>
      </c>
      <c r="D113" s="1">
        <v>441.5</v>
      </c>
      <c r="E113" s="1">
        <v>447.980011</v>
      </c>
      <c r="F113" s="1">
        <v>447.713745</v>
      </c>
      <c r="G113" s="1">
        <v>8562900.0</v>
      </c>
      <c r="I113" s="1">
        <f t="shared" si="1"/>
        <v>-0.01199770903</v>
      </c>
      <c r="J113" s="1">
        <v>0.0</v>
      </c>
      <c r="K113" s="1">
        <f t="shared" si="2"/>
        <v>-0.01199770903</v>
      </c>
      <c r="L113" s="1">
        <f t="shared" si="3"/>
        <v>-1.199770903</v>
      </c>
      <c r="M113" s="1">
        <v>0.02</v>
      </c>
    </row>
    <row r="114" ht="15.75" customHeight="1">
      <c r="A114" s="7">
        <v>44053.0</v>
      </c>
      <c r="B114" s="1">
        <v>453.369995</v>
      </c>
      <c r="C114" s="1">
        <v>456.329987</v>
      </c>
      <c r="D114" s="1">
        <v>434.26001</v>
      </c>
      <c r="E114" s="1">
        <v>446.600006</v>
      </c>
      <c r="F114" s="1">
        <v>446.334564</v>
      </c>
      <c r="G114" s="1">
        <v>1.06949E7</v>
      </c>
      <c r="I114" s="1">
        <f t="shared" si="1"/>
        <v>-0.003080497339</v>
      </c>
      <c r="J114" s="1">
        <v>0.0</v>
      </c>
      <c r="K114" s="1">
        <f t="shared" si="2"/>
        <v>-0.003080497339</v>
      </c>
      <c r="L114" s="1">
        <f t="shared" si="3"/>
        <v>-0.3080497339</v>
      </c>
      <c r="M114" s="1">
        <v>0.24</v>
      </c>
    </row>
    <row r="115" ht="15.75" customHeight="1">
      <c r="A115" s="7">
        <v>44054.0</v>
      </c>
      <c r="B115" s="1">
        <v>442.950012</v>
      </c>
      <c r="C115" s="1">
        <v>445.470001</v>
      </c>
      <c r="D115" s="1">
        <v>431.829987</v>
      </c>
      <c r="E115" s="1">
        <v>434.0</v>
      </c>
      <c r="F115" s="1">
        <v>433.742035</v>
      </c>
      <c r="G115" s="1">
        <v>8862800.0</v>
      </c>
      <c r="I115" s="1">
        <f t="shared" si="1"/>
        <v>-0.028213206</v>
      </c>
      <c r="J115" s="1">
        <v>0.0</v>
      </c>
      <c r="K115" s="1">
        <f t="shared" si="2"/>
        <v>-0.028213206</v>
      </c>
      <c r="L115" s="1">
        <f t="shared" si="3"/>
        <v>-2.8213206</v>
      </c>
      <c r="M115" s="1">
        <v>-0.83</v>
      </c>
    </row>
    <row r="116" ht="15.75" customHeight="1">
      <c r="A116" s="7">
        <v>44055.0</v>
      </c>
      <c r="B116" s="1">
        <v>439.630005</v>
      </c>
      <c r="C116" s="1">
        <v>458.679993</v>
      </c>
      <c r="D116" s="1">
        <v>438.329987</v>
      </c>
      <c r="E116" s="1">
        <v>457.609985</v>
      </c>
      <c r="F116" s="1">
        <v>457.338013</v>
      </c>
      <c r="G116" s="1">
        <v>1.16236E7</v>
      </c>
      <c r="I116" s="1">
        <f t="shared" si="1"/>
        <v>0.05440094825</v>
      </c>
      <c r="J116" s="1">
        <v>0.0</v>
      </c>
      <c r="K116" s="1">
        <f t="shared" si="2"/>
        <v>0.05440094825</v>
      </c>
      <c r="L116" s="1">
        <f t="shared" si="3"/>
        <v>5.440094825</v>
      </c>
      <c r="M116" s="1">
        <v>1.4</v>
      </c>
    </row>
    <row r="117" ht="15.75" customHeight="1">
      <c r="A117" s="7">
        <v>44056.0</v>
      </c>
      <c r="B117" s="1">
        <v>461.839996</v>
      </c>
      <c r="C117" s="1">
        <v>468.869995</v>
      </c>
      <c r="D117" s="1">
        <v>454.230011</v>
      </c>
      <c r="E117" s="1">
        <v>457.720001</v>
      </c>
      <c r="F117" s="1">
        <v>457.447968</v>
      </c>
      <c r="G117" s="1">
        <v>9361500.0</v>
      </c>
      <c r="I117" s="1">
        <f t="shared" si="1"/>
        <v>0.0002404239247</v>
      </c>
      <c r="J117" s="1">
        <v>0.0</v>
      </c>
      <c r="K117" s="1">
        <f t="shared" si="2"/>
        <v>0.0002404239247</v>
      </c>
      <c r="L117" s="1">
        <f t="shared" si="3"/>
        <v>0.02404239247</v>
      </c>
      <c r="M117" s="1">
        <v>-0.01</v>
      </c>
    </row>
    <row r="118" ht="15.75" customHeight="1">
      <c r="A118" s="7">
        <v>44057.0</v>
      </c>
      <c r="B118" s="1">
        <v>461.200012</v>
      </c>
      <c r="C118" s="1">
        <v>468.190002</v>
      </c>
      <c r="D118" s="1">
        <v>457.619995</v>
      </c>
      <c r="E118" s="1">
        <v>462.559998</v>
      </c>
      <c r="F118" s="1">
        <v>462.285095</v>
      </c>
      <c r="G118" s="1">
        <v>9160900.0</v>
      </c>
      <c r="I118" s="1">
        <f t="shared" si="1"/>
        <v>0.0105741578</v>
      </c>
      <c r="J118" s="1">
        <v>0.0</v>
      </c>
      <c r="K118" s="1">
        <f t="shared" si="2"/>
        <v>0.0105741578</v>
      </c>
      <c r="L118" s="1">
        <f t="shared" si="3"/>
        <v>1.05741578</v>
      </c>
      <c r="M118" s="1">
        <v>-0.04</v>
      </c>
    </row>
    <row r="119" ht="15.75" customHeight="1">
      <c r="A119" s="7">
        <v>44060.0</v>
      </c>
      <c r="B119" s="1">
        <v>474.049988</v>
      </c>
      <c r="C119" s="1">
        <v>496.390015</v>
      </c>
      <c r="D119" s="1">
        <v>472.690002</v>
      </c>
      <c r="E119" s="1">
        <v>493.480011</v>
      </c>
      <c r="F119" s="1">
        <v>493.186737</v>
      </c>
      <c r="G119" s="1">
        <v>1.55325E7</v>
      </c>
      <c r="I119" s="1">
        <f t="shared" si="1"/>
        <v>0.06684542144</v>
      </c>
      <c r="J119" s="1">
        <v>0.0</v>
      </c>
      <c r="K119" s="1">
        <f t="shared" si="2"/>
        <v>0.06684542144</v>
      </c>
      <c r="L119" s="1">
        <f t="shared" si="3"/>
        <v>6.684542144</v>
      </c>
      <c r="M119" s="1">
        <v>0.45</v>
      </c>
    </row>
    <row r="120" ht="15.75" customHeight="1">
      <c r="A120" s="7">
        <v>44061.0</v>
      </c>
      <c r="B120" s="1">
        <v>498.0</v>
      </c>
      <c r="C120" s="1">
        <v>499.839996</v>
      </c>
      <c r="D120" s="1">
        <v>483.450012</v>
      </c>
      <c r="E120" s="1">
        <v>490.429993</v>
      </c>
      <c r="F120" s="1">
        <v>490.138489</v>
      </c>
      <c r="G120" s="1">
        <v>1.25862E7</v>
      </c>
      <c r="I120" s="1">
        <f t="shared" si="1"/>
        <v>-0.006180717711</v>
      </c>
      <c r="J120" s="1">
        <v>0.0</v>
      </c>
      <c r="K120" s="1">
        <f t="shared" si="2"/>
        <v>-0.006180717711</v>
      </c>
      <c r="L120" s="1">
        <f t="shared" si="3"/>
        <v>-0.6180717711</v>
      </c>
      <c r="M120" s="1">
        <v>0.22</v>
      </c>
    </row>
    <row r="121" ht="15.75" customHeight="1">
      <c r="A121" s="7">
        <v>44062.0</v>
      </c>
      <c r="B121" s="1">
        <v>491.859985</v>
      </c>
      <c r="C121" s="1">
        <v>492.600006</v>
      </c>
      <c r="D121" s="1">
        <v>483.920013</v>
      </c>
      <c r="E121" s="1">
        <v>485.540009</v>
      </c>
      <c r="F121" s="1">
        <v>485.251404</v>
      </c>
      <c r="G121" s="1">
        <v>1.55656E7</v>
      </c>
      <c r="I121" s="1">
        <f t="shared" si="1"/>
        <v>-0.009970824797</v>
      </c>
      <c r="J121" s="1">
        <v>0.0</v>
      </c>
      <c r="K121" s="1">
        <f t="shared" si="2"/>
        <v>-0.009970824797</v>
      </c>
      <c r="L121" s="1">
        <f t="shared" si="3"/>
        <v>-0.9970824797</v>
      </c>
      <c r="M121" s="1">
        <v>-0.38</v>
      </c>
    </row>
    <row r="122" ht="15.75" customHeight="1">
      <c r="A122" s="7">
        <v>44063.0</v>
      </c>
      <c r="B122" s="1">
        <v>479.0</v>
      </c>
      <c r="C122" s="1">
        <v>495.0</v>
      </c>
      <c r="D122" s="1">
        <v>475.149994</v>
      </c>
      <c r="E122" s="1">
        <v>485.640015</v>
      </c>
      <c r="F122" s="1">
        <v>485.351379</v>
      </c>
      <c r="G122" s="1">
        <v>2.30347E7</v>
      </c>
      <c r="I122" s="1">
        <f t="shared" si="1"/>
        <v>0.0002060272246</v>
      </c>
      <c r="J122" s="1">
        <v>0.0</v>
      </c>
      <c r="K122" s="1">
        <f t="shared" si="2"/>
        <v>0.0002060272246</v>
      </c>
      <c r="L122" s="1">
        <f t="shared" si="3"/>
        <v>0.02060272246</v>
      </c>
      <c r="M122" s="1">
        <v>0.31</v>
      </c>
    </row>
    <row r="123" ht="15.75" customHeight="1">
      <c r="A123" s="7">
        <v>44064.0</v>
      </c>
      <c r="B123" s="1">
        <v>488.070007</v>
      </c>
      <c r="C123" s="1">
        <v>512.349976</v>
      </c>
      <c r="D123" s="1">
        <v>487.809998</v>
      </c>
      <c r="E123" s="1">
        <v>507.339996</v>
      </c>
      <c r="F123" s="1">
        <v>507.038483</v>
      </c>
      <c r="G123" s="1">
        <v>2.49967E7</v>
      </c>
      <c r="I123" s="1">
        <f t="shared" si="1"/>
        <v>0.04468330562</v>
      </c>
      <c r="J123" s="1">
        <v>0.0</v>
      </c>
      <c r="K123" s="1">
        <f t="shared" si="2"/>
        <v>0.04468330562</v>
      </c>
      <c r="L123" s="1">
        <f t="shared" si="3"/>
        <v>4.468330562</v>
      </c>
      <c r="M123" s="1">
        <v>0.25</v>
      </c>
    </row>
    <row r="124" ht="15.75" customHeight="1">
      <c r="A124" s="7">
        <v>44067.0</v>
      </c>
      <c r="B124" s="1">
        <v>515.349976</v>
      </c>
      <c r="C124" s="1">
        <v>516.5</v>
      </c>
      <c r="D124" s="1">
        <v>500.299988</v>
      </c>
      <c r="E124" s="1">
        <v>508.809998</v>
      </c>
      <c r="F124" s="1">
        <v>508.507568</v>
      </c>
      <c r="G124" s="1">
        <v>1.22641E7</v>
      </c>
      <c r="I124" s="1">
        <f t="shared" si="1"/>
        <v>0.002897383629</v>
      </c>
      <c r="J124" s="1">
        <v>0.0</v>
      </c>
      <c r="K124" s="1">
        <f t="shared" si="2"/>
        <v>0.002897383629</v>
      </c>
      <c r="L124" s="1">
        <f t="shared" si="3"/>
        <v>0.2897383629</v>
      </c>
      <c r="M124" s="1">
        <v>0.92</v>
      </c>
    </row>
    <row r="125" ht="15.75" customHeight="1">
      <c r="A125" s="7">
        <v>44068.0</v>
      </c>
      <c r="B125" s="1">
        <v>505.230011</v>
      </c>
      <c r="C125" s="1">
        <v>510.450012</v>
      </c>
      <c r="D125" s="1">
        <v>502.950012</v>
      </c>
      <c r="E125" s="1">
        <v>510.0</v>
      </c>
      <c r="F125" s="1">
        <v>509.696899</v>
      </c>
      <c r="G125" s="1">
        <v>7226900.0</v>
      </c>
      <c r="I125" s="1">
        <f t="shared" si="1"/>
        <v>0.002338865879</v>
      </c>
      <c r="J125" s="1">
        <v>0.0</v>
      </c>
      <c r="K125" s="1">
        <f t="shared" si="2"/>
        <v>0.002338865879</v>
      </c>
      <c r="L125" s="1">
        <f t="shared" si="3"/>
        <v>0.2338865879</v>
      </c>
      <c r="M125" s="1">
        <v>0.36</v>
      </c>
    </row>
    <row r="126" ht="15.75" customHeight="1">
      <c r="A126" s="7">
        <v>44069.0</v>
      </c>
      <c r="B126" s="1">
        <v>511.970001</v>
      </c>
      <c r="C126" s="1">
        <v>514.73999</v>
      </c>
      <c r="D126" s="1">
        <v>507.109985</v>
      </c>
      <c r="E126" s="1">
        <v>510.920013</v>
      </c>
      <c r="F126" s="1">
        <v>510.616364</v>
      </c>
      <c r="G126" s="1">
        <v>8031100.0</v>
      </c>
      <c r="I126" s="1">
        <f t="shared" si="1"/>
        <v>0.001803944662</v>
      </c>
      <c r="J126" s="1">
        <v>0.0</v>
      </c>
      <c r="K126" s="1">
        <f t="shared" si="2"/>
        <v>0.001803944662</v>
      </c>
      <c r="L126" s="1">
        <f t="shared" si="3"/>
        <v>0.1803944662</v>
      </c>
      <c r="M126" s="1">
        <v>1.0</v>
      </c>
    </row>
    <row r="127" ht="15.75" customHeight="1">
      <c r="A127" s="7">
        <v>44070.0</v>
      </c>
      <c r="B127" s="1">
        <v>511.26001</v>
      </c>
      <c r="C127" s="1">
        <v>514.0</v>
      </c>
      <c r="D127" s="1">
        <v>502.660004</v>
      </c>
      <c r="E127" s="1">
        <v>505.130005</v>
      </c>
      <c r="F127" s="1">
        <v>504.829773</v>
      </c>
      <c r="G127" s="1">
        <v>7940100.0</v>
      </c>
      <c r="I127" s="1">
        <f t="shared" si="1"/>
        <v>-0.01133256082</v>
      </c>
      <c r="J127" s="1">
        <v>0.0</v>
      </c>
      <c r="K127" s="1">
        <f t="shared" si="2"/>
        <v>-0.01133256082</v>
      </c>
      <c r="L127" s="1">
        <f t="shared" si="3"/>
        <v>-1.133256082</v>
      </c>
      <c r="M127" s="1">
        <v>0.18</v>
      </c>
    </row>
    <row r="128" ht="15.75" customHeight="1">
      <c r="A128" s="7">
        <v>44071.0</v>
      </c>
      <c r="B128" s="1">
        <v>507.0</v>
      </c>
      <c r="C128" s="1">
        <v>525.919983</v>
      </c>
      <c r="D128" s="1">
        <v>505.700012</v>
      </c>
      <c r="E128" s="1">
        <v>525.909973</v>
      </c>
      <c r="F128" s="1">
        <v>525.597412</v>
      </c>
      <c r="G128" s="1">
        <v>1.3429E7</v>
      </c>
      <c r="I128" s="1">
        <f t="shared" si="1"/>
        <v>0.04113790452</v>
      </c>
      <c r="J128" s="1">
        <v>0.0</v>
      </c>
      <c r="K128" s="1">
        <f t="shared" si="2"/>
        <v>0.04113790452</v>
      </c>
      <c r="L128" s="1">
        <f t="shared" si="3"/>
        <v>4.113790452</v>
      </c>
      <c r="M128" s="1">
        <v>0.7</v>
      </c>
    </row>
    <row r="129" ht="15.75" customHeight="1">
      <c r="A129" s="7">
        <v>44074.0</v>
      </c>
      <c r="B129" s="1">
        <v>527.309998</v>
      </c>
      <c r="C129" s="1">
        <v>543.0</v>
      </c>
      <c r="D129" s="1">
        <v>521.51001</v>
      </c>
      <c r="E129" s="1">
        <v>534.97998</v>
      </c>
      <c r="F129" s="1">
        <v>534.661987</v>
      </c>
      <c r="G129" s="1">
        <v>1.2521E7</v>
      </c>
      <c r="I129" s="1">
        <f t="shared" si="1"/>
        <v>0.01724623218</v>
      </c>
      <c r="J129" s="1">
        <v>0.0</v>
      </c>
      <c r="K129" s="1">
        <f t="shared" si="2"/>
        <v>0.01724623218</v>
      </c>
      <c r="L129" s="1">
        <f t="shared" si="3"/>
        <v>1.724623218</v>
      </c>
      <c r="M129" s="1">
        <v>-0.04</v>
      </c>
    </row>
    <row r="130" ht="15.75" customHeight="1">
      <c r="A130" s="7">
        <v>44075.0</v>
      </c>
      <c r="B130" s="1">
        <v>539.200012</v>
      </c>
      <c r="C130" s="1">
        <v>559.75</v>
      </c>
      <c r="D130" s="1">
        <v>537.460022</v>
      </c>
      <c r="E130" s="1">
        <v>552.840027</v>
      </c>
      <c r="F130" s="1">
        <v>552.676758</v>
      </c>
      <c r="G130" s="1">
        <v>1.28118E7</v>
      </c>
      <c r="I130" s="1">
        <f t="shared" si="1"/>
        <v>0.03369375687</v>
      </c>
      <c r="J130" s="1">
        <v>0.0</v>
      </c>
      <c r="K130" s="1">
        <f t="shared" si="2"/>
        <v>0.03369375687</v>
      </c>
      <c r="L130" s="1">
        <f t="shared" si="3"/>
        <v>3.369375687</v>
      </c>
      <c r="M130" s="1">
        <v>0.92</v>
      </c>
    </row>
    <row r="131" ht="15.75" customHeight="1">
      <c r="A131" s="7">
        <v>44076.0</v>
      </c>
      <c r="B131" s="1">
        <v>588.150024</v>
      </c>
      <c r="C131" s="1">
        <v>589.070007</v>
      </c>
      <c r="D131" s="1">
        <v>556.0</v>
      </c>
      <c r="E131" s="1">
        <v>573.859985</v>
      </c>
      <c r="F131" s="1">
        <v>573.690491</v>
      </c>
      <c r="G131" s="1">
        <v>2.18503E7</v>
      </c>
      <c r="I131" s="1">
        <f t="shared" si="1"/>
        <v>0.03802174182</v>
      </c>
      <c r="J131" s="1">
        <v>0.0</v>
      </c>
      <c r="K131" s="1">
        <f t="shared" si="2"/>
        <v>0.03802174182</v>
      </c>
      <c r="L131" s="1">
        <f t="shared" si="3"/>
        <v>3.802174182</v>
      </c>
      <c r="M131" s="1">
        <v>1.27</v>
      </c>
    </row>
    <row r="132" ht="15.75" customHeight="1">
      <c r="A132" s="7">
        <v>44077.0</v>
      </c>
      <c r="B132" s="1">
        <v>553.150024</v>
      </c>
      <c r="C132" s="1">
        <v>555.380005</v>
      </c>
      <c r="D132" s="1">
        <v>515.150024</v>
      </c>
      <c r="E132" s="1">
        <v>520.619995</v>
      </c>
      <c r="F132" s="1">
        <v>520.466248</v>
      </c>
      <c r="G132" s="1">
        <v>2.36282E7</v>
      </c>
      <c r="I132" s="1">
        <f t="shared" si="1"/>
        <v>-0.09277518773</v>
      </c>
      <c r="J132" s="1">
        <v>0.0</v>
      </c>
      <c r="K132" s="1">
        <f t="shared" si="2"/>
        <v>-0.09277518773</v>
      </c>
      <c r="L132" s="1">
        <f t="shared" si="3"/>
        <v>-9.277518773</v>
      </c>
      <c r="M132" s="1">
        <v>-3.7</v>
      </c>
    </row>
    <row r="133" ht="15.75" customHeight="1">
      <c r="A133" s="7">
        <v>44078.0</v>
      </c>
      <c r="B133" s="1">
        <v>511.350006</v>
      </c>
      <c r="C133" s="1">
        <v>527.0</v>
      </c>
      <c r="D133" s="1">
        <v>468.190002</v>
      </c>
      <c r="E133" s="1">
        <v>504.899994</v>
      </c>
      <c r="F133" s="1">
        <v>504.750885</v>
      </c>
      <c r="G133" s="1">
        <v>3.65921E7</v>
      </c>
      <c r="I133" s="1">
        <f t="shared" si="1"/>
        <v>-0.03019477836</v>
      </c>
      <c r="J133" s="1">
        <v>0.0</v>
      </c>
      <c r="K133" s="1">
        <f t="shared" si="2"/>
        <v>-0.03019477836</v>
      </c>
      <c r="L133" s="1">
        <f t="shared" si="3"/>
        <v>-3.019477836</v>
      </c>
      <c r="M133" s="1">
        <v>-0.87</v>
      </c>
    </row>
    <row r="134" ht="15.75" customHeight="1">
      <c r="A134" s="7">
        <v>44082.0</v>
      </c>
      <c r="B134" s="1">
        <v>469.380005</v>
      </c>
      <c r="C134" s="1">
        <v>502.0</v>
      </c>
      <c r="D134" s="1">
        <v>468.170013</v>
      </c>
      <c r="E134" s="1">
        <v>476.519989</v>
      </c>
      <c r="F134" s="1">
        <v>476.379242</v>
      </c>
      <c r="G134" s="1">
        <v>1.98932E7</v>
      </c>
      <c r="I134" s="1">
        <f t="shared" si="1"/>
        <v>-0.05620919912</v>
      </c>
      <c r="J134" s="1">
        <v>0.0</v>
      </c>
      <c r="K134" s="1">
        <f t="shared" si="2"/>
        <v>-0.05620919912</v>
      </c>
      <c r="L134" s="1">
        <f t="shared" si="3"/>
        <v>-5.620919912</v>
      </c>
      <c r="M134" s="1">
        <v>-2.91</v>
      </c>
    </row>
    <row r="135" ht="15.75" customHeight="1">
      <c r="A135" s="7">
        <v>44083.0</v>
      </c>
      <c r="B135" s="1">
        <v>496.0</v>
      </c>
      <c r="C135" s="1">
        <v>512.369995</v>
      </c>
      <c r="D135" s="1">
        <v>489.269989</v>
      </c>
      <c r="E135" s="1">
        <v>508.600006</v>
      </c>
      <c r="F135" s="1">
        <v>508.449799</v>
      </c>
      <c r="G135" s="1">
        <v>1.8405E7</v>
      </c>
      <c r="I135" s="1">
        <f t="shared" si="1"/>
        <v>0.06732148291</v>
      </c>
      <c r="J135" s="1">
        <v>0.0</v>
      </c>
      <c r="K135" s="1">
        <f t="shared" si="2"/>
        <v>0.06732148291</v>
      </c>
      <c r="L135" s="1">
        <f t="shared" si="3"/>
        <v>6.732148291</v>
      </c>
      <c r="M135" s="1">
        <v>2.07</v>
      </c>
    </row>
    <row r="136" ht="15.75" customHeight="1">
      <c r="A136" s="7">
        <v>44084.0</v>
      </c>
      <c r="B136" s="1">
        <v>519.570007</v>
      </c>
      <c r="C136" s="1">
        <v>522.609985</v>
      </c>
      <c r="D136" s="1">
        <v>486.679993</v>
      </c>
      <c r="E136" s="1">
        <v>492.470001</v>
      </c>
      <c r="F136" s="1">
        <v>492.324554</v>
      </c>
      <c r="G136" s="1">
        <v>1.74671E7</v>
      </c>
      <c r="I136" s="1">
        <f t="shared" si="1"/>
        <v>-0.03171452724</v>
      </c>
      <c r="J136" s="1">
        <v>0.0</v>
      </c>
      <c r="K136" s="1">
        <f t="shared" si="2"/>
        <v>-0.03171452724</v>
      </c>
      <c r="L136" s="1">
        <f t="shared" si="3"/>
        <v>-3.171452724</v>
      </c>
      <c r="M136" s="1">
        <v>-1.64</v>
      </c>
    </row>
    <row r="137" ht="15.75" customHeight="1">
      <c r="A137" s="7">
        <v>44085.0</v>
      </c>
      <c r="B137" s="1">
        <v>499.420013</v>
      </c>
      <c r="C137" s="1">
        <v>506.100006</v>
      </c>
      <c r="D137" s="1">
        <v>475.829987</v>
      </c>
      <c r="E137" s="1">
        <v>486.579987</v>
      </c>
      <c r="F137" s="1">
        <v>486.436279</v>
      </c>
      <c r="G137" s="1">
        <v>1.59232E7</v>
      </c>
      <c r="I137" s="1">
        <f t="shared" si="1"/>
        <v>-0.01196014895</v>
      </c>
      <c r="J137" s="1">
        <v>0.0</v>
      </c>
      <c r="K137" s="1">
        <f t="shared" si="2"/>
        <v>-0.01196014895</v>
      </c>
      <c r="L137" s="1">
        <f t="shared" si="3"/>
        <v>-1.196014895</v>
      </c>
      <c r="M137" s="1">
        <v>-0.06</v>
      </c>
    </row>
    <row r="138" ht="15.75" customHeight="1">
      <c r="A138" s="7">
        <v>44088.0</v>
      </c>
      <c r="B138" s="1">
        <v>523.23999</v>
      </c>
      <c r="C138" s="1">
        <v>532.599976</v>
      </c>
      <c r="D138" s="1">
        <v>505.25</v>
      </c>
      <c r="E138" s="1">
        <v>514.890015</v>
      </c>
      <c r="F138" s="1">
        <v>514.737976</v>
      </c>
      <c r="G138" s="1">
        <v>3.00436E7</v>
      </c>
      <c r="I138" s="1">
        <f t="shared" si="1"/>
        <v>0.0581817151</v>
      </c>
      <c r="J138" s="1">
        <v>0.0</v>
      </c>
      <c r="K138" s="1">
        <f t="shared" si="2"/>
        <v>0.0581817151</v>
      </c>
      <c r="L138" s="1">
        <f t="shared" si="3"/>
        <v>5.81817151</v>
      </c>
      <c r="M138" s="1">
        <v>1.59</v>
      </c>
    </row>
    <row r="139" ht="15.75" customHeight="1">
      <c r="A139" s="7">
        <v>44089.0</v>
      </c>
      <c r="B139" s="1">
        <v>531.200012</v>
      </c>
      <c r="C139" s="1">
        <v>531.950012</v>
      </c>
      <c r="D139" s="1">
        <v>513.109985</v>
      </c>
      <c r="E139" s="1">
        <v>519.640015</v>
      </c>
      <c r="F139" s="1">
        <v>519.486572</v>
      </c>
      <c r="G139" s="1">
        <v>1.81889E7</v>
      </c>
      <c r="I139" s="1">
        <f t="shared" si="1"/>
        <v>0.009225268431</v>
      </c>
      <c r="J139" s="1">
        <v>0.0</v>
      </c>
      <c r="K139" s="1">
        <f t="shared" si="2"/>
        <v>0.009225268431</v>
      </c>
      <c r="L139" s="1">
        <f t="shared" si="3"/>
        <v>0.9225268431</v>
      </c>
      <c r="M139" s="1">
        <v>0.57</v>
      </c>
    </row>
    <row r="140" ht="15.75" customHeight="1">
      <c r="A140" s="7">
        <v>44090.0</v>
      </c>
      <c r="B140" s="1">
        <v>518.289978</v>
      </c>
      <c r="C140" s="1">
        <v>523.710022</v>
      </c>
      <c r="D140" s="1">
        <v>500.549988</v>
      </c>
      <c r="E140" s="1">
        <v>500.579987</v>
      </c>
      <c r="F140" s="1">
        <v>500.432159</v>
      </c>
      <c r="G140" s="1">
        <v>1.39096E7</v>
      </c>
      <c r="I140" s="1">
        <f t="shared" si="1"/>
        <v>-0.03667931767</v>
      </c>
      <c r="J140" s="1">
        <v>0.0</v>
      </c>
      <c r="K140" s="1">
        <f t="shared" si="2"/>
        <v>-0.03667931767</v>
      </c>
      <c r="L140" s="1">
        <f t="shared" si="3"/>
        <v>-3.667931767</v>
      </c>
      <c r="M140" s="1">
        <v>-0.39</v>
      </c>
    </row>
    <row r="141" ht="15.75" customHeight="1">
      <c r="A141" s="7">
        <v>44091.0</v>
      </c>
      <c r="B141" s="1">
        <v>485.290009</v>
      </c>
      <c r="C141" s="1">
        <v>503.589996</v>
      </c>
      <c r="D141" s="1">
        <v>481.390015</v>
      </c>
      <c r="E141" s="1">
        <v>498.540009</v>
      </c>
      <c r="F141" s="1">
        <v>498.392761</v>
      </c>
      <c r="G141" s="1">
        <v>1.98128E7</v>
      </c>
      <c r="I141" s="1">
        <f t="shared" si="1"/>
        <v>-0.004075273668</v>
      </c>
      <c r="J141" s="1">
        <v>0.0</v>
      </c>
      <c r="K141" s="1">
        <f t="shared" si="2"/>
        <v>-0.004075273668</v>
      </c>
      <c r="L141" s="1">
        <f t="shared" si="3"/>
        <v>-0.4075273668</v>
      </c>
      <c r="M141" s="1">
        <v>-0.85</v>
      </c>
    </row>
    <row r="142" ht="15.75" customHeight="1">
      <c r="A142" s="7">
        <v>44092.0</v>
      </c>
      <c r="B142" s="1">
        <v>503.75</v>
      </c>
      <c r="C142" s="1">
        <v>505.299988</v>
      </c>
      <c r="D142" s="1">
        <v>479.549988</v>
      </c>
      <c r="E142" s="1">
        <v>487.570007</v>
      </c>
      <c r="F142" s="1">
        <v>487.425995</v>
      </c>
      <c r="G142" s="1">
        <v>1.74615E7</v>
      </c>
      <c r="I142" s="1">
        <f t="shared" si="1"/>
        <v>-0.02200426422</v>
      </c>
      <c r="J142" s="1">
        <v>0.0</v>
      </c>
      <c r="K142" s="1">
        <f t="shared" si="2"/>
        <v>-0.02200426422</v>
      </c>
      <c r="L142" s="1">
        <f t="shared" si="3"/>
        <v>-2.200426422</v>
      </c>
      <c r="M142" s="1">
        <v>-0.88</v>
      </c>
    </row>
    <row r="143" ht="15.75" customHeight="1">
      <c r="A143" s="7">
        <v>44095.0</v>
      </c>
      <c r="B143" s="1">
        <v>477.0</v>
      </c>
      <c r="C143" s="1">
        <v>500.899994</v>
      </c>
      <c r="D143" s="1">
        <v>476.179993</v>
      </c>
      <c r="E143" s="1">
        <v>500.690002</v>
      </c>
      <c r="F143" s="1">
        <v>500.542114</v>
      </c>
      <c r="G143" s="1">
        <v>1.80261E7</v>
      </c>
      <c r="I143" s="1">
        <f t="shared" si="1"/>
        <v>0.0269089444</v>
      </c>
      <c r="J143" s="1">
        <v>0.0</v>
      </c>
      <c r="K143" s="1">
        <f t="shared" si="2"/>
        <v>0.0269089444</v>
      </c>
      <c r="L143" s="1">
        <f t="shared" si="3"/>
        <v>2.69089444</v>
      </c>
      <c r="M143" s="1">
        <v>-1.08</v>
      </c>
    </row>
    <row r="144" ht="15.75" customHeight="1">
      <c r="A144" s="7">
        <v>44096.0</v>
      </c>
      <c r="B144" s="1">
        <v>503.0</v>
      </c>
      <c r="C144" s="1">
        <v>505.920013</v>
      </c>
      <c r="D144" s="1">
        <v>486.220001</v>
      </c>
      <c r="E144" s="1">
        <v>505.51001</v>
      </c>
      <c r="F144" s="1">
        <v>505.360718</v>
      </c>
      <c r="G144" s="1">
        <v>1.61613E7</v>
      </c>
      <c r="I144" s="1">
        <f t="shared" si="1"/>
        <v>0.009626770386</v>
      </c>
      <c r="J144" s="1">
        <v>0.0</v>
      </c>
      <c r="K144" s="1">
        <f t="shared" si="2"/>
        <v>0.009626770386</v>
      </c>
      <c r="L144" s="1">
        <f t="shared" si="3"/>
        <v>0.9626770386</v>
      </c>
      <c r="M144" s="1">
        <v>1.02</v>
      </c>
    </row>
    <row r="145" ht="15.75" customHeight="1">
      <c r="A145" s="7">
        <v>44097.0</v>
      </c>
      <c r="B145" s="1">
        <v>503.019989</v>
      </c>
      <c r="C145" s="1">
        <v>509.079987</v>
      </c>
      <c r="D145" s="1">
        <v>483.170013</v>
      </c>
      <c r="E145" s="1">
        <v>484.950012</v>
      </c>
      <c r="F145" s="1">
        <v>484.806793</v>
      </c>
      <c r="G145" s="1">
        <v>1.61753E7</v>
      </c>
      <c r="I145" s="1">
        <f t="shared" si="1"/>
        <v>-0.04067179001</v>
      </c>
      <c r="J145" s="1">
        <v>0.0</v>
      </c>
      <c r="K145" s="1">
        <f t="shared" si="2"/>
        <v>-0.04067179001</v>
      </c>
      <c r="L145" s="1">
        <f t="shared" si="3"/>
        <v>-4.067179001</v>
      </c>
      <c r="M145" s="1">
        <v>-2.48</v>
      </c>
    </row>
    <row r="146" ht="15.75" customHeight="1">
      <c r="A146" s="7">
        <v>44098.0</v>
      </c>
      <c r="B146" s="1">
        <v>482.890015</v>
      </c>
      <c r="C146" s="1">
        <v>502.779999</v>
      </c>
      <c r="D146" s="1">
        <v>480.559998</v>
      </c>
      <c r="E146" s="1">
        <v>493.920013</v>
      </c>
      <c r="F146" s="1">
        <v>493.774139</v>
      </c>
      <c r="G146" s="1">
        <v>1.8281E7</v>
      </c>
      <c r="I146" s="1">
        <f t="shared" si="1"/>
        <v>0.01849674165</v>
      </c>
      <c r="J146" s="1">
        <v>0.0</v>
      </c>
      <c r="K146" s="1">
        <f t="shared" si="2"/>
        <v>0.01849674165</v>
      </c>
      <c r="L146" s="1">
        <f t="shared" si="3"/>
        <v>1.849674165</v>
      </c>
      <c r="M146" s="1">
        <v>0.25</v>
      </c>
    </row>
    <row r="147" ht="15.75" customHeight="1">
      <c r="A147" s="7">
        <v>44099.0</v>
      </c>
      <c r="B147" s="1">
        <v>497.899994</v>
      </c>
      <c r="C147" s="1">
        <v>515.340027</v>
      </c>
      <c r="D147" s="1">
        <v>489.829987</v>
      </c>
      <c r="E147" s="1">
        <v>514.950012</v>
      </c>
      <c r="F147" s="1">
        <v>514.797913</v>
      </c>
      <c r="G147" s="1">
        <v>1.47004E7</v>
      </c>
      <c r="I147" s="1">
        <f t="shared" si="1"/>
        <v>0.04257771386</v>
      </c>
      <c r="J147" s="1">
        <v>0.0</v>
      </c>
      <c r="K147" s="1">
        <f t="shared" si="2"/>
        <v>0.04257771386</v>
      </c>
      <c r="L147" s="1">
        <f t="shared" si="3"/>
        <v>4.257771386</v>
      </c>
      <c r="M147" s="1">
        <v>1.72</v>
      </c>
    </row>
    <row r="148" ht="15.75" customHeight="1">
      <c r="A148" s="7">
        <v>44102.0</v>
      </c>
      <c r="B148" s="1">
        <v>521.609985</v>
      </c>
      <c r="C148" s="1">
        <v>522.070007</v>
      </c>
      <c r="D148" s="1">
        <v>510.0</v>
      </c>
      <c r="E148" s="1">
        <v>521.400024</v>
      </c>
      <c r="F148" s="1">
        <v>521.246033</v>
      </c>
      <c r="G148" s="1">
        <v>1.43452E7</v>
      </c>
      <c r="I148" s="1">
        <f t="shared" si="1"/>
        <v>0.0125255364</v>
      </c>
      <c r="J148" s="1">
        <v>0.0</v>
      </c>
      <c r="K148" s="1">
        <f t="shared" si="2"/>
        <v>0.0125255364</v>
      </c>
      <c r="L148" s="1">
        <f t="shared" si="3"/>
        <v>1.25255364</v>
      </c>
      <c r="M148" s="1">
        <v>1.66</v>
      </c>
    </row>
    <row r="149" ht="15.75" customHeight="1">
      <c r="A149" s="7">
        <v>44103.0</v>
      </c>
      <c r="B149" s="1">
        <v>517.5</v>
      </c>
      <c r="C149" s="1">
        <v>537.710022</v>
      </c>
      <c r="D149" s="1">
        <v>517.330017</v>
      </c>
      <c r="E149" s="1">
        <v>529.030029</v>
      </c>
      <c r="F149" s="1">
        <v>528.873779</v>
      </c>
      <c r="G149" s="1">
        <v>1.55365E7</v>
      </c>
      <c r="I149" s="1">
        <f t="shared" si="1"/>
        <v>0.01463367684</v>
      </c>
      <c r="J149" s="1">
        <v>0.0</v>
      </c>
      <c r="K149" s="1">
        <f t="shared" si="2"/>
        <v>0.01463367684</v>
      </c>
      <c r="L149" s="1">
        <f t="shared" si="3"/>
        <v>1.463367684</v>
      </c>
      <c r="M149" s="1">
        <v>-0.42</v>
      </c>
    </row>
    <row r="150" ht="15.75" customHeight="1">
      <c r="A150" s="7">
        <v>44104.0</v>
      </c>
      <c r="B150" s="1">
        <v>526.299988</v>
      </c>
      <c r="C150" s="1">
        <v>544.900024</v>
      </c>
      <c r="D150" s="1">
        <v>526.01001</v>
      </c>
      <c r="E150" s="1">
        <v>541.219971</v>
      </c>
      <c r="F150" s="1">
        <v>541.06012</v>
      </c>
      <c r="G150" s="1">
        <v>1.72296E7</v>
      </c>
      <c r="I150" s="1">
        <f t="shared" si="1"/>
        <v>0.02304205934</v>
      </c>
      <c r="J150" s="1">
        <v>0.0</v>
      </c>
      <c r="K150" s="1">
        <f t="shared" si="2"/>
        <v>0.02304205934</v>
      </c>
      <c r="L150" s="1">
        <f t="shared" si="3"/>
        <v>2.304205934</v>
      </c>
      <c r="M150" s="1">
        <v>0.79</v>
      </c>
    </row>
    <row r="151" ht="15.75" customHeight="1">
      <c r="A151" s="7">
        <v>44105.0</v>
      </c>
      <c r="B151" s="1">
        <v>550.320007</v>
      </c>
      <c r="C151" s="1">
        <v>550.51001</v>
      </c>
      <c r="D151" s="1">
        <v>538.429993</v>
      </c>
      <c r="E151" s="1">
        <v>544.580017</v>
      </c>
      <c r="F151" s="1">
        <v>544.419189</v>
      </c>
      <c r="G151" s="1">
        <v>1.31251E7</v>
      </c>
      <c r="I151" s="1">
        <f t="shared" si="1"/>
        <v>0.006208310086</v>
      </c>
      <c r="J151" s="1">
        <v>0.0</v>
      </c>
      <c r="K151" s="1">
        <f t="shared" si="2"/>
        <v>0.006208310086</v>
      </c>
      <c r="L151" s="1">
        <f t="shared" si="3"/>
        <v>0.6208310086</v>
      </c>
      <c r="M151" s="1">
        <v>0.79</v>
      </c>
    </row>
    <row r="152" ht="15.75" customHeight="1">
      <c r="A152" s="7">
        <v>44106.0</v>
      </c>
      <c r="B152" s="1">
        <v>529.0</v>
      </c>
      <c r="C152" s="1">
        <v>540.780029</v>
      </c>
      <c r="D152" s="1">
        <v>522.039978</v>
      </c>
      <c r="E152" s="1">
        <v>522.48999</v>
      </c>
      <c r="F152" s="1">
        <v>522.335693</v>
      </c>
      <c r="G152" s="1">
        <v>1.38124E7</v>
      </c>
      <c r="I152" s="1">
        <f t="shared" si="1"/>
        <v>-0.0405634049</v>
      </c>
      <c r="J152" s="1">
        <v>0.0</v>
      </c>
      <c r="K152" s="1">
        <f t="shared" si="2"/>
        <v>-0.0405634049</v>
      </c>
      <c r="L152" s="1">
        <f t="shared" si="3"/>
        <v>-4.05634049</v>
      </c>
      <c r="M152" s="1">
        <v>-0.96</v>
      </c>
    </row>
    <row r="153" ht="15.75" customHeight="1">
      <c r="A153" s="7">
        <v>44109.0</v>
      </c>
      <c r="B153" s="1">
        <v>529.440002</v>
      </c>
      <c r="C153" s="1">
        <v>545.77002</v>
      </c>
      <c r="D153" s="1">
        <v>528.909973</v>
      </c>
      <c r="E153" s="1">
        <v>545.700012</v>
      </c>
      <c r="F153" s="1">
        <v>545.538818</v>
      </c>
      <c r="G153" s="1">
        <v>1.19955E7</v>
      </c>
      <c r="I153" s="1">
        <f t="shared" si="1"/>
        <v>0.04442186378</v>
      </c>
      <c r="J153" s="1">
        <v>0.0</v>
      </c>
      <c r="K153" s="1">
        <f t="shared" si="2"/>
        <v>0.04442186378</v>
      </c>
      <c r="L153" s="1">
        <f t="shared" si="3"/>
        <v>4.442186378</v>
      </c>
      <c r="M153" s="1">
        <v>1.93</v>
      </c>
    </row>
    <row r="154" ht="15.75" customHeight="1">
      <c r="A154" s="7">
        <v>44110.0</v>
      </c>
      <c r="B154" s="1">
        <v>553.200012</v>
      </c>
      <c r="C154" s="1">
        <v>565.679993</v>
      </c>
      <c r="D154" s="1">
        <v>546.599976</v>
      </c>
      <c r="E154" s="1">
        <v>549.460022</v>
      </c>
      <c r="F154" s="1">
        <v>549.297729</v>
      </c>
      <c r="G154" s="1">
        <v>1.96105E7</v>
      </c>
      <c r="I154" s="1">
        <f t="shared" si="1"/>
        <v>0.006890272289</v>
      </c>
      <c r="J154" s="1">
        <v>0.0</v>
      </c>
      <c r="K154" s="1">
        <f t="shared" si="2"/>
        <v>0.006890272289</v>
      </c>
      <c r="L154" s="1">
        <f t="shared" si="3"/>
        <v>0.6890272289</v>
      </c>
      <c r="M154" s="1">
        <v>-1.28</v>
      </c>
    </row>
    <row r="155" ht="15.75" customHeight="1">
      <c r="A155" s="7">
        <v>44111.0</v>
      </c>
      <c r="B155" s="1">
        <v>559.98999</v>
      </c>
      <c r="C155" s="1">
        <v>564.77002</v>
      </c>
      <c r="D155" s="1">
        <v>554.539978</v>
      </c>
      <c r="E155" s="1">
        <v>558.559998</v>
      </c>
      <c r="F155" s="1">
        <v>558.39502</v>
      </c>
      <c r="G155" s="1">
        <v>1.04521E7</v>
      </c>
      <c r="I155" s="1">
        <f t="shared" si="1"/>
        <v>0.01656167597</v>
      </c>
      <c r="J155" s="1">
        <v>0.0</v>
      </c>
      <c r="K155" s="1">
        <f t="shared" si="2"/>
        <v>0.01656167597</v>
      </c>
      <c r="L155" s="1">
        <f t="shared" si="3"/>
        <v>1.656167597</v>
      </c>
      <c r="M155" s="1">
        <v>1.84</v>
      </c>
    </row>
    <row r="156" ht="15.75" customHeight="1">
      <c r="A156" s="7">
        <v>44112.0</v>
      </c>
      <c r="B156" s="1">
        <v>563.0</v>
      </c>
      <c r="C156" s="1">
        <v>563.380005</v>
      </c>
      <c r="D156" s="1">
        <v>550.320007</v>
      </c>
      <c r="E156" s="1">
        <v>553.549988</v>
      </c>
      <c r="F156" s="1">
        <v>553.386475</v>
      </c>
      <c r="G156" s="1">
        <v>9472500.0</v>
      </c>
      <c r="I156" s="1">
        <f t="shared" si="1"/>
        <v>-0.008969537372</v>
      </c>
      <c r="J156" s="1">
        <v>0.0</v>
      </c>
      <c r="K156" s="1">
        <f t="shared" si="2"/>
        <v>-0.008969537372</v>
      </c>
      <c r="L156" s="1">
        <f t="shared" si="3"/>
        <v>-0.8969537372</v>
      </c>
      <c r="M156" s="1">
        <v>0.8</v>
      </c>
    </row>
    <row r="157" ht="15.75" customHeight="1">
      <c r="A157" s="7">
        <v>44113.0</v>
      </c>
      <c r="B157" s="1">
        <v>550.679993</v>
      </c>
      <c r="C157" s="1">
        <v>552.969971</v>
      </c>
      <c r="D157" s="1">
        <v>546.429993</v>
      </c>
      <c r="E157" s="1">
        <v>550.51001</v>
      </c>
      <c r="F157" s="1">
        <v>550.347412</v>
      </c>
      <c r="G157" s="1">
        <v>8672300.0</v>
      </c>
      <c r="I157" s="1">
        <f t="shared" si="1"/>
        <v>-0.005491755107</v>
      </c>
      <c r="J157" s="1">
        <v>0.0</v>
      </c>
      <c r="K157" s="1">
        <f t="shared" si="2"/>
        <v>-0.005491755107</v>
      </c>
      <c r="L157" s="1">
        <f t="shared" si="3"/>
        <v>-0.5491755107</v>
      </c>
      <c r="M157" s="1">
        <v>0.93</v>
      </c>
    </row>
    <row r="158" ht="15.75" customHeight="1">
      <c r="A158" s="7">
        <v>44116.0</v>
      </c>
      <c r="B158" s="1">
        <v>559.580017</v>
      </c>
      <c r="C158" s="1">
        <v>573.880005</v>
      </c>
      <c r="D158" s="1">
        <v>556.5</v>
      </c>
      <c r="E158" s="1">
        <v>569.039978</v>
      </c>
      <c r="F158" s="1">
        <v>568.871887</v>
      </c>
      <c r="G158" s="1">
        <v>1.08686E7</v>
      </c>
      <c r="I158" s="1">
        <f t="shared" si="1"/>
        <v>0.03365960227</v>
      </c>
      <c r="J158" s="1">
        <v>0.0</v>
      </c>
      <c r="K158" s="1">
        <f t="shared" si="2"/>
        <v>0.03365960227</v>
      </c>
      <c r="L158" s="1">
        <f t="shared" si="3"/>
        <v>3.365960227</v>
      </c>
      <c r="M158" s="1">
        <v>1.53</v>
      </c>
    </row>
    <row r="159" ht="15.75" customHeight="1">
      <c r="A159" s="7">
        <v>44117.0</v>
      </c>
      <c r="B159" s="1">
        <v>571.859985</v>
      </c>
      <c r="C159" s="1">
        <v>573.940002</v>
      </c>
      <c r="D159" s="1">
        <v>560.75</v>
      </c>
      <c r="E159" s="1">
        <v>569.929993</v>
      </c>
      <c r="F159" s="1">
        <v>569.761658</v>
      </c>
      <c r="G159" s="1">
        <v>8615100.0</v>
      </c>
      <c r="I159" s="1">
        <f t="shared" si="1"/>
        <v>0.001564097331</v>
      </c>
      <c r="J159" s="1">
        <v>0.0</v>
      </c>
      <c r="K159" s="1">
        <f t="shared" si="2"/>
        <v>0.001564097331</v>
      </c>
      <c r="L159" s="1">
        <f t="shared" si="3"/>
        <v>0.1564097331</v>
      </c>
      <c r="M159" s="1">
        <v>-0.41</v>
      </c>
    </row>
    <row r="160" ht="15.75" customHeight="1">
      <c r="A160" s="7">
        <v>44118.0</v>
      </c>
      <c r="B160" s="1">
        <v>571.619995</v>
      </c>
      <c r="C160" s="1">
        <v>573.710022</v>
      </c>
      <c r="D160" s="1">
        <v>558.400024</v>
      </c>
      <c r="E160" s="1">
        <v>563.809998</v>
      </c>
      <c r="F160" s="1">
        <v>563.643494</v>
      </c>
      <c r="G160" s="1">
        <v>6916200.0</v>
      </c>
      <c r="I160" s="1">
        <f t="shared" si="1"/>
        <v>-0.01073811113</v>
      </c>
      <c r="J160" s="1">
        <v>0.0</v>
      </c>
      <c r="K160" s="1">
        <f t="shared" si="2"/>
        <v>-0.01073811113</v>
      </c>
      <c r="L160" s="1">
        <f t="shared" si="3"/>
        <v>-1.073811113</v>
      </c>
      <c r="M160" s="1">
        <v>-0.65</v>
      </c>
    </row>
    <row r="161" ht="15.75" customHeight="1">
      <c r="A161" s="7">
        <v>44119.0</v>
      </c>
      <c r="B161" s="1">
        <v>552.429993</v>
      </c>
      <c r="C161" s="1">
        <v>560.22998</v>
      </c>
      <c r="D161" s="1">
        <v>550.710022</v>
      </c>
      <c r="E161" s="1">
        <v>558.799988</v>
      </c>
      <c r="F161" s="1">
        <v>558.634949</v>
      </c>
      <c r="G161" s="1">
        <v>6680600.0</v>
      </c>
      <c r="I161" s="1">
        <f t="shared" si="1"/>
        <v>-0.008886015812</v>
      </c>
      <c r="J161" s="1">
        <v>0.0</v>
      </c>
      <c r="K161" s="1">
        <f t="shared" si="2"/>
        <v>-0.008886015812</v>
      </c>
      <c r="L161" s="1">
        <f t="shared" si="3"/>
        <v>-0.8886015812</v>
      </c>
      <c r="M161" s="1">
        <v>-0.08</v>
      </c>
    </row>
    <row r="162" ht="15.75" customHeight="1">
      <c r="A162" s="7">
        <v>44120.0</v>
      </c>
      <c r="B162" s="1">
        <v>561.469971</v>
      </c>
      <c r="C162" s="1">
        <v>564.859985</v>
      </c>
      <c r="D162" s="1">
        <v>551.700012</v>
      </c>
      <c r="E162" s="1">
        <v>552.460022</v>
      </c>
      <c r="F162" s="1">
        <v>552.296875</v>
      </c>
      <c r="G162" s="1">
        <v>6059800.0</v>
      </c>
      <c r="I162" s="1">
        <f t="shared" si="1"/>
        <v>-0.01134564533</v>
      </c>
      <c r="J162" s="1">
        <v>0.0</v>
      </c>
      <c r="K162" s="1">
        <f t="shared" si="2"/>
        <v>-0.01134564533</v>
      </c>
      <c r="L162" s="1">
        <f t="shared" si="3"/>
        <v>-1.134564533</v>
      </c>
      <c r="M162" s="1">
        <v>-0.06</v>
      </c>
    </row>
    <row r="163" ht="15.75" customHeight="1">
      <c r="A163" s="7">
        <v>44123.0</v>
      </c>
      <c r="B163" s="1">
        <v>556.119995</v>
      </c>
      <c r="C163" s="1">
        <v>559.340027</v>
      </c>
      <c r="D163" s="1">
        <v>536.27002</v>
      </c>
      <c r="E163" s="1">
        <v>539.909973</v>
      </c>
      <c r="F163" s="1">
        <v>539.750488</v>
      </c>
      <c r="G163" s="1">
        <v>7451700.0</v>
      </c>
      <c r="I163" s="1">
        <f t="shared" si="1"/>
        <v>-0.0227167445</v>
      </c>
      <c r="J163" s="1">
        <v>0.0</v>
      </c>
      <c r="K163" s="1">
        <f t="shared" si="2"/>
        <v>-0.0227167445</v>
      </c>
      <c r="L163" s="1">
        <f t="shared" si="3"/>
        <v>-2.27167445</v>
      </c>
      <c r="M163" s="1">
        <v>-1.53</v>
      </c>
    </row>
    <row r="164" ht="15.75" customHeight="1">
      <c r="A164" s="7">
        <v>44124.0</v>
      </c>
      <c r="B164" s="1">
        <v>543.340027</v>
      </c>
      <c r="C164" s="1">
        <v>551.98999</v>
      </c>
      <c r="D164" s="1">
        <v>540.280029</v>
      </c>
      <c r="E164" s="1">
        <v>545.820007</v>
      </c>
      <c r="F164" s="1">
        <v>545.658813</v>
      </c>
      <c r="G164" s="1">
        <v>5730300.0</v>
      </c>
      <c r="I164" s="1">
        <f t="shared" si="1"/>
        <v>0.01094640048</v>
      </c>
      <c r="J164" s="1">
        <v>0.0</v>
      </c>
      <c r="K164" s="1">
        <f t="shared" si="2"/>
        <v>0.01094640048</v>
      </c>
      <c r="L164" s="1">
        <f t="shared" si="3"/>
        <v>1.094640048</v>
      </c>
      <c r="M164" s="1">
        <v>0.34</v>
      </c>
    </row>
    <row r="165" ht="15.75" customHeight="1">
      <c r="A165" s="7">
        <v>44125.0</v>
      </c>
      <c r="B165" s="1">
        <v>545.0</v>
      </c>
      <c r="C165" s="1">
        <v>551.659973</v>
      </c>
      <c r="D165" s="1">
        <v>539.099976</v>
      </c>
      <c r="E165" s="1">
        <v>540.98999</v>
      </c>
      <c r="F165" s="1">
        <v>540.8302</v>
      </c>
      <c r="G165" s="1">
        <v>5489900.0</v>
      </c>
      <c r="I165" s="1">
        <f t="shared" si="1"/>
        <v>-0.008849143247</v>
      </c>
      <c r="J165" s="1">
        <v>0.0</v>
      </c>
      <c r="K165" s="1">
        <f t="shared" si="2"/>
        <v>-0.008849143247</v>
      </c>
      <c r="L165" s="1">
        <f t="shared" si="3"/>
        <v>-0.8849143247</v>
      </c>
      <c r="M165" s="1">
        <v>-0.36</v>
      </c>
    </row>
    <row r="166" ht="15.75" customHeight="1">
      <c r="A166" s="7">
        <v>44126.0</v>
      </c>
      <c r="B166" s="1">
        <v>540.900024</v>
      </c>
      <c r="C166" s="1">
        <v>544.469971</v>
      </c>
      <c r="D166" s="1">
        <v>529.27002</v>
      </c>
      <c r="E166" s="1">
        <v>534.440002</v>
      </c>
      <c r="F166" s="1">
        <v>534.282166</v>
      </c>
      <c r="G166" s="1">
        <v>7262000.0</v>
      </c>
      <c r="I166" s="1">
        <f t="shared" si="1"/>
        <v>-0.01210737492</v>
      </c>
      <c r="J166" s="1">
        <v>0.0</v>
      </c>
      <c r="K166" s="1">
        <f t="shared" si="2"/>
        <v>-0.01210737492</v>
      </c>
      <c r="L166" s="1">
        <f t="shared" si="3"/>
        <v>-1.210737492</v>
      </c>
      <c r="M166" s="1">
        <v>0.67</v>
      </c>
    </row>
    <row r="167" ht="15.75" customHeight="1">
      <c r="A167" s="7">
        <v>44127.0</v>
      </c>
      <c r="B167" s="1">
        <v>538.0</v>
      </c>
      <c r="C167" s="1">
        <v>543.72998</v>
      </c>
      <c r="D167" s="1">
        <v>531.650024</v>
      </c>
      <c r="E167" s="1">
        <v>543.609985</v>
      </c>
      <c r="F167" s="1">
        <v>543.449463</v>
      </c>
      <c r="G167" s="1">
        <v>5837100.0</v>
      </c>
      <c r="I167" s="1">
        <f t="shared" si="1"/>
        <v>0.01715815646</v>
      </c>
      <c r="J167" s="1">
        <v>0.0</v>
      </c>
      <c r="K167" s="1">
        <f t="shared" si="2"/>
        <v>0.01715815646</v>
      </c>
      <c r="L167" s="1">
        <f t="shared" si="3"/>
        <v>1.715815646</v>
      </c>
      <c r="M167" s="1">
        <v>0.38</v>
      </c>
    </row>
    <row r="168" ht="15.75" customHeight="1">
      <c r="A168" s="7">
        <v>44130.0</v>
      </c>
      <c r="B168" s="1">
        <v>537.080017</v>
      </c>
      <c r="C168" s="1">
        <v>547.710022</v>
      </c>
      <c r="D168" s="1">
        <v>521.539978</v>
      </c>
      <c r="E168" s="1">
        <v>525.650024</v>
      </c>
      <c r="F168" s="1">
        <v>525.494751</v>
      </c>
      <c r="G168" s="1">
        <v>8422400.0</v>
      </c>
      <c r="I168" s="1">
        <f t="shared" si="1"/>
        <v>-0.03303842072</v>
      </c>
      <c r="J168" s="1">
        <v>0.0</v>
      </c>
      <c r="K168" s="1">
        <f t="shared" si="2"/>
        <v>-0.03303842072</v>
      </c>
      <c r="L168" s="1">
        <f t="shared" si="3"/>
        <v>-3.303842072</v>
      </c>
      <c r="M168" s="1">
        <v>-1.85</v>
      </c>
    </row>
    <row r="169" ht="15.75" customHeight="1">
      <c r="A169" s="7">
        <v>44131.0</v>
      </c>
      <c r="B169" s="1">
        <v>532.23999</v>
      </c>
      <c r="C169" s="1">
        <v>537.679993</v>
      </c>
      <c r="D169" s="1">
        <v>527.659973</v>
      </c>
      <c r="E169" s="1">
        <v>535.869995</v>
      </c>
      <c r="F169" s="1">
        <v>535.711731</v>
      </c>
      <c r="G169" s="1">
        <v>6263000.0</v>
      </c>
      <c r="I169" s="1">
        <f t="shared" si="1"/>
        <v>0.01944259192</v>
      </c>
      <c r="J169" s="1">
        <v>0.0</v>
      </c>
      <c r="K169" s="1">
        <f t="shared" si="2"/>
        <v>0.01944259192</v>
      </c>
      <c r="L169" s="1">
        <f t="shared" si="3"/>
        <v>1.944259192</v>
      </c>
      <c r="M169" s="1">
        <v>-0.23</v>
      </c>
    </row>
    <row r="170" ht="15.75" customHeight="1">
      <c r="A170" s="7">
        <v>44132.0</v>
      </c>
      <c r="B170" s="1">
        <v>527.919983</v>
      </c>
      <c r="C170" s="1">
        <v>530.400024</v>
      </c>
      <c r="D170" s="1">
        <v>504.359985</v>
      </c>
      <c r="E170" s="1">
        <v>505.079987</v>
      </c>
      <c r="F170" s="1">
        <v>504.930817</v>
      </c>
      <c r="G170" s="1">
        <v>9413000.0</v>
      </c>
      <c r="I170" s="1">
        <f t="shared" si="1"/>
        <v>-0.05745798014</v>
      </c>
      <c r="J170" s="1">
        <v>0.0</v>
      </c>
      <c r="K170" s="1">
        <f t="shared" si="2"/>
        <v>-0.05745798014</v>
      </c>
      <c r="L170" s="1">
        <f t="shared" si="3"/>
        <v>-5.745798014</v>
      </c>
      <c r="M170" s="1">
        <v>-3.41</v>
      </c>
    </row>
    <row r="171" ht="15.75" customHeight="1">
      <c r="A171" s="7">
        <v>44133.0</v>
      </c>
      <c r="B171" s="1">
        <v>513.539978</v>
      </c>
      <c r="C171" s="1">
        <v>527.710022</v>
      </c>
      <c r="D171" s="1">
        <v>510.0</v>
      </c>
      <c r="E171" s="1">
        <v>520.960022</v>
      </c>
      <c r="F171" s="1">
        <v>520.806152</v>
      </c>
      <c r="G171" s="1">
        <v>8002000.0</v>
      </c>
      <c r="I171" s="1">
        <f t="shared" si="1"/>
        <v>0.03144061417</v>
      </c>
      <c r="J171" s="1">
        <v>0.0</v>
      </c>
      <c r="K171" s="1">
        <f t="shared" si="2"/>
        <v>0.03144061417</v>
      </c>
      <c r="L171" s="1">
        <f t="shared" si="3"/>
        <v>3.144061417</v>
      </c>
      <c r="M171" s="1">
        <v>1.13</v>
      </c>
    </row>
    <row r="172" ht="15.75" customHeight="1">
      <c r="A172" s="7">
        <v>44134.0</v>
      </c>
      <c r="B172" s="1">
        <v>514.0</v>
      </c>
      <c r="C172" s="1">
        <v>517.460022</v>
      </c>
      <c r="D172" s="1">
        <v>492.0</v>
      </c>
      <c r="E172" s="1">
        <v>501.359985</v>
      </c>
      <c r="F172" s="1">
        <v>501.211914</v>
      </c>
      <c r="G172" s="1">
        <v>1.04205E7</v>
      </c>
      <c r="I172" s="1">
        <f t="shared" si="1"/>
        <v>-0.03762290043</v>
      </c>
      <c r="J172" s="1">
        <v>0.0</v>
      </c>
      <c r="K172" s="1">
        <f t="shared" si="2"/>
        <v>-0.03762290043</v>
      </c>
      <c r="L172" s="1">
        <f t="shared" si="3"/>
        <v>-3.762290043</v>
      </c>
      <c r="M172" s="1">
        <v>-1.45</v>
      </c>
    </row>
    <row r="173" ht="15.75" customHeight="1">
      <c r="A173" s="7">
        <v>44137.0</v>
      </c>
      <c r="B173" s="1">
        <v>506.309998</v>
      </c>
      <c r="C173" s="1">
        <v>513.469971</v>
      </c>
      <c r="D173" s="1">
        <v>495.799988</v>
      </c>
      <c r="E173" s="1">
        <v>503.230011</v>
      </c>
      <c r="F173" s="1">
        <v>503.08139</v>
      </c>
      <c r="G173" s="1">
        <v>7491300.0</v>
      </c>
      <c r="I173" s="1">
        <f t="shared" si="1"/>
        <v>0.003729911336</v>
      </c>
      <c r="J173" s="1">
        <v>0.0</v>
      </c>
      <c r="K173" s="1">
        <f t="shared" si="2"/>
        <v>0.003729911336</v>
      </c>
      <c r="L173" s="1">
        <f t="shared" si="3"/>
        <v>0.3729911336</v>
      </c>
      <c r="M173" s="1">
        <v>1.17</v>
      </c>
    </row>
    <row r="174" ht="15.75" customHeight="1">
      <c r="A174" s="7">
        <v>44138.0</v>
      </c>
      <c r="B174" s="1">
        <v>508.339996</v>
      </c>
      <c r="C174" s="1">
        <v>524.200012</v>
      </c>
      <c r="D174" s="1">
        <v>504.109985</v>
      </c>
      <c r="E174" s="1">
        <v>520.780029</v>
      </c>
      <c r="F174" s="1">
        <v>520.626221</v>
      </c>
      <c r="G174" s="1">
        <v>6822500.0</v>
      </c>
      <c r="I174" s="1">
        <f t="shared" si="1"/>
        <v>0.03487473667</v>
      </c>
      <c r="J174" s="1">
        <v>0.0</v>
      </c>
      <c r="K174" s="1">
        <f t="shared" si="2"/>
        <v>0.03487473667</v>
      </c>
      <c r="L174" s="1">
        <f t="shared" si="3"/>
        <v>3.487473667</v>
      </c>
      <c r="M174" s="1">
        <v>1.93</v>
      </c>
    </row>
    <row r="175" ht="15.75" customHeight="1">
      <c r="A175" s="7">
        <v>44139.0</v>
      </c>
      <c r="B175" s="1">
        <v>535.570007</v>
      </c>
      <c r="C175" s="1">
        <v>553.099976</v>
      </c>
      <c r="D175" s="1">
        <v>533.47998</v>
      </c>
      <c r="E175" s="1">
        <v>551.77002</v>
      </c>
      <c r="F175" s="1">
        <v>551.6070560000001</v>
      </c>
      <c r="G175" s="1">
        <v>1.02557E7</v>
      </c>
      <c r="I175" s="1">
        <f t="shared" si="1"/>
        <v>0.05950686644</v>
      </c>
      <c r="J175" s="1">
        <v>0.0</v>
      </c>
      <c r="K175" s="1">
        <f t="shared" si="2"/>
        <v>0.05950686644</v>
      </c>
      <c r="L175" s="1">
        <f t="shared" si="3"/>
        <v>5.950686644</v>
      </c>
      <c r="M175" s="1">
        <v>2.25</v>
      </c>
    </row>
    <row r="176" ht="15.75" customHeight="1">
      <c r="A176" s="7">
        <v>44140.0</v>
      </c>
      <c r="B176" s="1">
        <v>566.5</v>
      </c>
      <c r="C176" s="1">
        <v>573.559998</v>
      </c>
      <c r="D176" s="1">
        <v>559.640015</v>
      </c>
      <c r="E176" s="1">
        <v>566.400024</v>
      </c>
      <c r="F176" s="1">
        <v>566.232727</v>
      </c>
      <c r="G176" s="1">
        <v>7975700.0</v>
      </c>
      <c r="I176" s="1">
        <f t="shared" si="1"/>
        <v>0.02651465539</v>
      </c>
      <c r="J176" s="1">
        <v>0.0</v>
      </c>
      <c r="K176" s="1">
        <f t="shared" si="2"/>
        <v>0.02651465539</v>
      </c>
      <c r="L176" s="1">
        <f t="shared" si="3"/>
        <v>2.651465539</v>
      </c>
      <c r="M176" s="1">
        <v>2.13</v>
      </c>
    </row>
    <row r="177" ht="15.75" customHeight="1">
      <c r="A177" s="7">
        <v>44141.0</v>
      </c>
      <c r="B177" s="1">
        <v>564.390015</v>
      </c>
      <c r="C177" s="1">
        <v>583.549988</v>
      </c>
      <c r="D177" s="1">
        <v>555.799988</v>
      </c>
      <c r="E177" s="1">
        <v>582.47998</v>
      </c>
      <c r="F177" s="1">
        <v>582.307922</v>
      </c>
      <c r="G177" s="1">
        <v>9583700.0</v>
      </c>
      <c r="I177" s="1">
        <f t="shared" si="1"/>
        <v>0.02838973135</v>
      </c>
      <c r="J177" s="1">
        <v>0.0</v>
      </c>
      <c r="K177" s="1">
        <f t="shared" si="2"/>
        <v>0.02838973135</v>
      </c>
      <c r="L177" s="1">
        <f t="shared" si="3"/>
        <v>2.838973135</v>
      </c>
      <c r="M177" s="1">
        <v>0.01</v>
      </c>
    </row>
    <row r="178" ht="15.75" customHeight="1">
      <c r="A178" s="7">
        <v>44144.0</v>
      </c>
      <c r="B178" s="1">
        <v>582.099976</v>
      </c>
      <c r="C178" s="1">
        <v>587.659973</v>
      </c>
      <c r="D178" s="1">
        <v>544.429993</v>
      </c>
      <c r="E178" s="1">
        <v>545.22998</v>
      </c>
      <c r="F178" s="1">
        <v>545.06897</v>
      </c>
      <c r="G178" s="1">
        <v>1.45744E7</v>
      </c>
      <c r="I178" s="1">
        <f t="shared" si="1"/>
        <v>-0.0639506189</v>
      </c>
      <c r="J178" s="1">
        <v>0.0</v>
      </c>
      <c r="K178" s="1">
        <f t="shared" si="2"/>
        <v>-0.0639506189</v>
      </c>
      <c r="L178" s="1">
        <f t="shared" si="3"/>
        <v>-6.39506189</v>
      </c>
      <c r="M178" s="1">
        <v>0.82</v>
      </c>
    </row>
    <row r="179" ht="15.75" customHeight="1">
      <c r="A179" s="7">
        <v>44145.0</v>
      </c>
      <c r="B179" s="1">
        <v>544.26001</v>
      </c>
      <c r="C179" s="1">
        <v>544.26001</v>
      </c>
      <c r="D179" s="1">
        <v>505.130005</v>
      </c>
      <c r="E179" s="1">
        <v>510.799988</v>
      </c>
      <c r="F179" s="1">
        <v>510.649139</v>
      </c>
      <c r="G179" s="1">
        <v>1.61017E7</v>
      </c>
      <c r="I179" s="1">
        <f t="shared" si="1"/>
        <v>-0.06314766185</v>
      </c>
      <c r="J179" s="1">
        <v>0.0</v>
      </c>
      <c r="K179" s="1">
        <f t="shared" si="2"/>
        <v>-0.06314766185</v>
      </c>
      <c r="L179" s="1">
        <f t="shared" si="3"/>
        <v>-6.314766185</v>
      </c>
      <c r="M179" s="1">
        <v>-0.17</v>
      </c>
    </row>
    <row r="180" ht="15.75" customHeight="1">
      <c r="A180" s="7">
        <v>44146.0</v>
      </c>
      <c r="B180" s="1">
        <v>522.150024</v>
      </c>
      <c r="C180" s="1">
        <v>537.400024</v>
      </c>
      <c r="D180" s="1">
        <v>517.929993</v>
      </c>
      <c r="E180" s="1">
        <v>536.719971</v>
      </c>
      <c r="F180" s="1">
        <v>536.561462</v>
      </c>
      <c r="G180" s="1">
        <v>1.01186E7</v>
      </c>
      <c r="I180" s="1">
        <f t="shared" si="1"/>
        <v>0.05074388855</v>
      </c>
      <c r="J180" s="1">
        <v>0.0</v>
      </c>
      <c r="K180" s="1">
        <f t="shared" si="2"/>
        <v>0.05074388855</v>
      </c>
      <c r="L180" s="1">
        <f t="shared" si="3"/>
        <v>5.074388855</v>
      </c>
      <c r="M180" s="1">
        <v>0.88</v>
      </c>
    </row>
    <row r="181" ht="15.75" customHeight="1">
      <c r="A181" s="7">
        <v>44147.0</v>
      </c>
      <c r="B181" s="1">
        <v>539.159973</v>
      </c>
      <c r="C181" s="1">
        <v>550.640015</v>
      </c>
      <c r="D181" s="1">
        <v>532.640015</v>
      </c>
      <c r="E181" s="1">
        <v>538.27002</v>
      </c>
      <c r="F181" s="1">
        <v>538.111023</v>
      </c>
      <c r="G181" s="1">
        <v>9145300.0</v>
      </c>
      <c r="I181" s="1">
        <f t="shared" si="1"/>
        <v>0.00288794688</v>
      </c>
      <c r="J181" s="1">
        <v>0.0</v>
      </c>
      <c r="K181" s="1">
        <f t="shared" si="2"/>
        <v>0.00288794688</v>
      </c>
      <c r="L181" s="1">
        <f t="shared" si="3"/>
        <v>0.288794688</v>
      </c>
      <c r="M181" s="1">
        <v>-0.94</v>
      </c>
    </row>
    <row r="182" ht="15.75" customHeight="1">
      <c r="A182" s="7">
        <v>44148.0</v>
      </c>
      <c r="B182" s="1">
        <v>545.090027</v>
      </c>
      <c r="C182" s="1">
        <v>546.75</v>
      </c>
      <c r="D182" s="1">
        <v>522.369995</v>
      </c>
      <c r="E182" s="1">
        <v>531.880005</v>
      </c>
      <c r="F182" s="1">
        <v>531.7229</v>
      </c>
      <c r="G182" s="1">
        <v>8657800.0</v>
      </c>
      <c r="I182" s="1">
        <f t="shared" si="1"/>
        <v>-0.01187138476</v>
      </c>
      <c r="J182" s="1">
        <v>0.0</v>
      </c>
      <c r="K182" s="1">
        <f t="shared" si="2"/>
        <v>-0.01187138476</v>
      </c>
      <c r="L182" s="1">
        <f t="shared" si="3"/>
        <v>-1.187138476</v>
      </c>
      <c r="M182" s="1">
        <v>1.31</v>
      </c>
    </row>
    <row r="183" ht="15.75" customHeight="1">
      <c r="A183" s="7">
        <v>44151.0</v>
      </c>
      <c r="B183" s="1">
        <v>526.900024</v>
      </c>
      <c r="C183" s="1">
        <v>545.97998</v>
      </c>
      <c r="D183" s="1">
        <v>526.23999</v>
      </c>
      <c r="E183" s="1">
        <v>540.609985</v>
      </c>
      <c r="F183" s="1">
        <v>540.450317</v>
      </c>
      <c r="G183" s="1">
        <v>1.03444E7</v>
      </c>
      <c r="I183" s="1">
        <f t="shared" si="1"/>
        <v>0.01641346837</v>
      </c>
      <c r="J183" s="1">
        <v>0.0</v>
      </c>
      <c r="K183" s="1">
        <f t="shared" si="2"/>
        <v>0.01641346837</v>
      </c>
      <c r="L183" s="1">
        <f t="shared" si="3"/>
        <v>1.641346837</v>
      </c>
      <c r="M183" s="1">
        <v>1.22</v>
      </c>
    </row>
    <row r="184" ht="15.75" customHeight="1">
      <c r="A184" s="7">
        <v>44152.0</v>
      </c>
      <c r="B184" s="1">
        <v>542.099976</v>
      </c>
      <c r="C184" s="1">
        <v>543.849976</v>
      </c>
      <c r="D184" s="1">
        <v>532.150024</v>
      </c>
      <c r="E184" s="1">
        <v>536.890015</v>
      </c>
      <c r="F184" s="1">
        <v>536.731445</v>
      </c>
      <c r="G184" s="1">
        <v>7800700.0</v>
      </c>
      <c r="I184" s="1">
        <f t="shared" si="1"/>
        <v>-0.006881061742</v>
      </c>
      <c r="J184" s="1">
        <v>0.0</v>
      </c>
      <c r="K184" s="1">
        <f t="shared" si="2"/>
        <v>-0.006881061742</v>
      </c>
      <c r="L184" s="1">
        <f t="shared" si="3"/>
        <v>-0.6881061742</v>
      </c>
      <c r="M184" s="1">
        <v>-0.19</v>
      </c>
    </row>
    <row r="185" ht="15.75" customHeight="1">
      <c r="A185" s="7">
        <v>44153.0</v>
      </c>
      <c r="B185" s="1">
        <v>538.609985</v>
      </c>
      <c r="C185" s="1">
        <v>544.22998</v>
      </c>
      <c r="D185" s="1">
        <v>527.400024</v>
      </c>
      <c r="E185" s="1">
        <v>537.150024</v>
      </c>
      <c r="F185" s="1">
        <v>536.991394</v>
      </c>
      <c r="G185" s="1">
        <v>1.27731E7</v>
      </c>
      <c r="I185" s="1">
        <f t="shared" si="1"/>
        <v>0.000484318559</v>
      </c>
      <c r="J185" s="1">
        <v>0.0</v>
      </c>
      <c r="K185" s="1">
        <f t="shared" si="2"/>
        <v>0.000484318559</v>
      </c>
      <c r="L185" s="1">
        <f t="shared" si="3"/>
        <v>0.0484318559</v>
      </c>
      <c r="M185" s="1">
        <v>-0.93</v>
      </c>
    </row>
    <row r="186" ht="15.75" customHeight="1">
      <c r="A186" s="7">
        <v>44154.0</v>
      </c>
      <c r="B186" s="1">
        <v>528.51001</v>
      </c>
      <c r="C186" s="1">
        <v>539.5</v>
      </c>
      <c r="D186" s="1">
        <v>524.0</v>
      </c>
      <c r="E186" s="1">
        <v>537.609985</v>
      </c>
      <c r="F186" s="1">
        <v>537.451233</v>
      </c>
      <c r="G186" s="1">
        <v>1.41484E7</v>
      </c>
      <c r="I186" s="1">
        <f t="shared" si="1"/>
        <v>0.0008563247105</v>
      </c>
      <c r="J186" s="1">
        <v>0.0</v>
      </c>
      <c r="K186" s="1">
        <f t="shared" si="2"/>
        <v>0.0008563247105</v>
      </c>
      <c r="L186" s="1">
        <f t="shared" si="3"/>
        <v>0.08563247105</v>
      </c>
      <c r="M186" s="1">
        <v>0.59</v>
      </c>
    </row>
    <row r="187" ht="15.75" customHeight="1">
      <c r="A187" s="7">
        <v>44155.0</v>
      </c>
      <c r="B187" s="1">
        <v>538.159973</v>
      </c>
      <c r="C187" s="1">
        <v>539.780029</v>
      </c>
      <c r="D187" s="1">
        <v>522.599976</v>
      </c>
      <c r="E187" s="1">
        <v>523.51001</v>
      </c>
      <c r="F187" s="1">
        <v>523.355408</v>
      </c>
      <c r="G187" s="1">
        <v>8527200.0</v>
      </c>
      <c r="I187" s="1">
        <f t="shared" si="1"/>
        <v>-0.02622717027</v>
      </c>
      <c r="J187" s="1">
        <v>0.0</v>
      </c>
      <c r="K187" s="1">
        <f t="shared" si="2"/>
        <v>-0.02622717027</v>
      </c>
      <c r="L187" s="1">
        <f t="shared" si="3"/>
        <v>-2.622717027</v>
      </c>
      <c r="M187" s="1">
        <v>-0.51</v>
      </c>
    </row>
    <row r="188" ht="15.75" customHeight="1">
      <c r="A188" s="7">
        <v>44158.0</v>
      </c>
      <c r="B188" s="1">
        <v>526.849976</v>
      </c>
      <c r="C188" s="1">
        <v>535.299988</v>
      </c>
      <c r="D188" s="1">
        <v>520.619995</v>
      </c>
      <c r="E188" s="1">
        <v>525.599976</v>
      </c>
      <c r="F188" s="1">
        <v>525.444763</v>
      </c>
      <c r="G188" s="1">
        <v>9033900.0</v>
      </c>
      <c r="I188" s="1">
        <f t="shared" si="1"/>
        <v>0.003992229693</v>
      </c>
      <c r="J188" s="1">
        <v>0.0</v>
      </c>
      <c r="K188" s="1">
        <f t="shared" si="2"/>
        <v>0.003992229693</v>
      </c>
      <c r="L188" s="1">
        <f t="shared" si="3"/>
        <v>0.3992229693</v>
      </c>
      <c r="M188" s="1">
        <v>0.83</v>
      </c>
    </row>
    <row r="189" ht="15.75" customHeight="1">
      <c r="A189" s="7">
        <v>44159.0</v>
      </c>
      <c r="B189" s="1">
        <v>525.700012</v>
      </c>
      <c r="C189" s="1">
        <v>526.47998</v>
      </c>
      <c r="D189" s="1">
        <v>515.400024</v>
      </c>
      <c r="E189" s="1">
        <v>518.309998</v>
      </c>
      <c r="F189" s="1">
        <v>518.156921</v>
      </c>
      <c r="G189" s="1">
        <v>8662500.0</v>
      </c>
      <c r="I189" s="1">
        <f t="shared" si="1"/>
        <v>-0.01386985372</v>
      </c>
      <c r="J189" s="1">
        <v>0.0</v>
      </c>
      <c r="K189" s="1">
        <f t="shared" si="2"/>
        <v>-0.01386985372</v>
      </c>
      <c r="L189" s="1">
        <f t="shared" si="3"/>
        <v>-1.386985372</v>
      </c>
      <c r="M189" s="1">
        <v>1.56</v>
      </c>
    </row>
    <row r="190" ht="15.75" customHeight="1">
      <c r="A190" s="7">
        <v>44160.0</v>
      </c>
      <c r="B190" s="1">
        <v>521.299988</v>
      </c>
      <c r="C190" s="1">
        <v>530.780029</v>
      </c>
      <c r="D190" s="1">
        <v>520.799988</v>
      </c>
      <c r="E190" s="1">
        <v>529.390015</v>
      </c>
      <c r="F190" s="1">
        <v>529.233643</v>
      </c>
      <c r="G190" s="1">
        <v>6497900.0</v>
      </c>
      <c r="I190" s="1">
        <f t="shared" si="1"/>
        <v>0.02137715729</v>
      </c>
      <c r="J190" s="1">
        <v>0.0</v>
      </c>
      <c r="K190" s="1">
        <f t="shared" si="2"/>
        <v>0.02137715729</v>
      </c>
      <c r="L190" s="1">
        <f t="shared" si="3"/>
        <v>2.137715729</v>
      </c>
      <c r="M190" s="1">
        <v>0.03</v>
      </c>
    </row>
    <row r="191" ht="15.75" customHeight="1">
      <c r="A191" s="7">
        <v>44162.0</v>
      </c>
      <c r="B191" s="1">
        <v>535.0</v>
      </c>
      <c r="C191" s="1">
        <v>536.299988</v>
      </c>
      <c r="D191" s="1">
        <v>526.820007</v>
      </c>
      <c r="E191" s="1">
        <v>530.450012</v>
      </c>
      <c r="F191" s="1">
        <v>530.293335</v>
      </c>
      <c r="G191" s="1">
        <v>4181900.0</v>
      </c>
      <c r="I191" s="1">
        <f t="shared" si="1"/>
        <v>0.002002314127</v>
      </c>
      <c r="J191" s="1">
        <v>0.0</v>
      </c>
      <c r="K191" s="1">
        <f t="shared" si="2"/>
        <v>0.002002314127</v>
      </c>
      <c r="L191" s="1">
        <f t="shared" si="3"/>
        <v>0.2002314127</v>
      </c>
      <c r="M191" s="1">
        <v>0.43</v>
      </c>
    </row>
    <row r="192" ht="15.75" customHeight="1">
      <c r="A192" s="7">
        <v>44165.0</v>
      </c>
      <c r="B192" s="1">
        <v>530.599976</v>
      </c>
      <c r="C192" s="1">
        <v>536.5</v>
      </c>
      <c r="D192" s="1">
        <v>518.890015</v>
      </c>
      <c r="E192" s="1">
        <v>536.059998</v>
      </c>
      <c r="F192" s="1">
        <v>535.901672</v>
      </c>
      <c r="G192" s="1">
        <v>7173800.0</v>
      </c>
      <c r="I192" s="1">
        <f t="shared" si="1"/>
        <v>0.01057591455</v>
      </c>
      <c r="J192" s="1">
        <v>0.0</v>
      </c>
      <c r="K192" s="1">
        <f t="shared" si="2"/>
        <v>0.01057591455</v>
      </c>
      <c r="L192" s="1">
        <f t="shared" si="3"/>
        <v>1.057591455</v>
      </c>
      <c r="M192" s="1">
        <v>-0.53</v>
      </c>
    </row>
    <row r="193" ht="15.75" customHeight="1">
      <c r="A193" s="7">
        <v>44166.0</v>
      </c>
      <c r="B193" s="1">
        <v>539.690002</v>
      </c>
      <c r="C193" s="1">
        <v>541.150024</v>
      </c>
      <c r="D193" s="1">
        <v>529.130005</v>
      </c>
      <c r="E193" s="1">
        <v>535.599976</v>
      </c>
      <c r="F193" s="1">
        <v>535.441772</v>
      </c>
      <c r="G193" s="1">
        <v>7439300.0</v>
      </c>
      <c r="I193" s="1">
        <f t="shared" si="1"/>
        <v>-0.0008581798192</v>
      </c>
      <c r="J193" s="1">
        <v>0.0</v>
      </c>
      <c r="K193" s="1">
        <f t="shared" si="2"/>
        <v>-0.0008581798192</v>
      </c>
      <c r="L193" s="1">
        <f t="shared" si="3"/>
        <v>-0.08581798192</v>
      </c>
      <c r="M193" s="1">
        <v>0.98</v>
      </c>
    </row>
    <row r="194" ht="15.75" customHeight="1">
      <c r="A194" s="7">
        <v>44167.0</v>
      </c>
      <c r="B194" s="1">
        <v>534.02002</v>
      </c>
      <c r="C194" s="1">
        <v>546.940002</v>
      </c>
      <c r="D194" s="1">
        <v>529.369995</v>
      </c>
      <c r="E194" s="1">
        <v>541.780029</v>
      </c>
      <c r="F194" s="1">
        <v>541.619995</v>
      </c>
      <c r="G194" s="1">
        <v>7084000.0</v>
      </c>
      <c r="I194" s="1">
        <f t="shared" si="1"/>
        <v>0.01153855251</v>
      </c>
      <c r="J194" s="1">
        <v>0.0</v>
      </c>
      <c r="K194" s="1">
        <f t="shared" si="2"/>
        <v>0.01153855251</v>
      </c>
      <c r="L194" s="1">
        <f t="shared" si="3"/>
        <v>1.153855251</v>
      </c>
      <c r="M194" s="1">
        <v>0.11</v>
      </c>
    </row>
    <row r="195" ht="15.75" customHeight="1">
      <c r="A195" s="7">
        <v>44168.0</v>
      </c>
      <c r="B195" s="1">
        <v>543.5</v>
      </c>
      <c r="C195" s="1">
        <v>546.400024</v>
      </c>
      <c r="D195" s="1">
        <v>533.159973</v>
      </c>
      <c r="E195" s="1">
        <v>535.840027</v>
      </c>
      <c r="F195" s="1">
        <v>535.840027</v>
      </c>
      <c r="G195" s="1">
        <v>4988000.0</v>
      </c>
      <c r="I195" s="1">
        <f t="shared" si="1"/>
        <v>-0.01067162965</v>
      </c>
      <c r="J195" s="1">
        <v>0.0</v>
      </c>
      <c r="K195" s="1">
        <f t="shared" si="2"/>
        <v>-0.01067162965</v>
      </c>
      <c r="L195" s="1">
        <f t="shared" si="3"/>
        <v>-1.067162965</v>
      </c>
      <c r="M195" s="1">
        <v>0.18</v>
      </c>
    </row>
    <row r="196" ht="15.75" customHeight="1">
      <c r="A196" s="7">
        <v>44169.0</v>
      </c>
      <c r="B196" s="1">
        <v>537.940002</v>
      </c>
      <c r="C196" s="1">
        <v>542.400024</v>
      </c>
      <c r="D196" s="1">
        <v>535.549988</v>
      </c>
      <c r="E196" s="1">
        <v>542.330017</v>
      </c>
      <c r="F196" s="1">
        <v>542.330017</v>
      </c>
      <c r="G196" s="1">
        <v>5056100.0</v>
      </c>
      <c r="I196" s="1">
        <f t="shared" si="1"/>
        <v>0.01211180515</v>
      </c>
      <c r="J196" s="1">
        <v>0.0</v>
      </c>
      <c r="K196" s="1">
        <f t="shared" si="2"/>
        <v>0.01211180515</v>
      </c>
      <c r="L196" s="1">
        <f t="shared" si="3"/>
        <v>1.211180515</v>
      </c>
      <c r="M196" s="1">
        <v>1.02</v>
      </c>
    </row>
    <row r="197" ht="15.75" customHeight="1">
      <c r="A197" s="7">
        <v>44172.0</v>
      </c>
      <c r="B197" s="1">
        <v>544.049988</v>
      </c>
      <c r="C197" s="1">
        <v>549.25</v>
      </c>
      <c r="D197" s="1">
        <v>540.0</v>
      </c>
      <c r="E197" s="1">
        <v>544.27002</v>
      </c>
      <c r="F197" s="1">
        <v>544.27002</v>
      </c>
      <c r="G197" s="1">
        <v>5581100.0</v>
      </c>
      <c r="I197" s="1">
        <f t="shared" si="1"/>
        <v>0.003577163239</v>
      </c>
      <c r="J197" s="1">
        <v>0.0</v>
      </c>
      <c r="K197" s="1">
        <f t="shared" si="2"/>
        <v>0.003577163239</v>
      </c>
      <c r="L197" s="1">
        <f t="shared" si="3"/>
        <v>0.3577163239</v>
      </c>
      <c r="M197" s="1">
        <v>0.03</v>
      </c>
    </row>
    <row r="198" ht="15.75" customHeight="1">
      <c r="A198" s="7">
        <v>44173.0</v>
      </c>
      <c r="B198" s="1">
        <v>543.400024</v>
      </c>
      <c r="C198" s="1">
        <v>543.950012</v>
      </c>
      <c r="D198" s="1">
        <v>531.26001</v>
      </c>
      <c r="E198" s="1">
        <v>534.0</v>
      </c>
      <c r="F198" s="1">
        <v>534.0</v>
      </c>
      <c r="G198" s="1">
        <v>6798000.0</v>
      </c>
      <c r="I198" s="1">
        <f t="shared" si="1"/>
        <v>-0.01886934724</v>
      </c>
      <c r="J198" s="1">
        <v>0.0</v>
      </c>
      <c r="K198" s="1">
        <f t="shared" si="2"/>
        <v>-0.01886934724</v>
      </c>
      <c r="L198" s="1">
        <f t="shared" si="3"/>
        <v>-1.886934724</v>
      </c>
      <c r="M198" s="1">
        <v>0.47</v>
      </c>
    </row>
    <row r="199" ht="15.75" customHeight="1">
      <c r="A199" s="7">
        <v>44174.0</v>
      </c>
      <c r="B199" s="1">
        <v>532.02002</v>
      </c>
      <c r="C199" s="1">
        <v>536.559998</v>
      </c>
      <c r="D199" s="1">
        <v>514.72998</v>
      </c>
      <c r="E199" s="1">
        <v>517.22998</v>
      </c>
      <c r="F199" s="1">
        <v>517.22998</v>
      </c>
      <c r="G199" s="1">
        <v>1.00325E7</v>
      </c>
      <c r="I199" s="1">
        <f t="shared" si="1"/>
        <v>-0.03140453184</v>
      </c>
      <c r="J199" s="1">
        <v>0.0</v>
      </c>
      <c r="K199" s="1">
        <f t="shared" si="2"/>
        <v>-0.03140453184</v>
      </c>
      <c r="L199" s="1">
        <f t="shared" si="3"/>
        <v>-3.140453184</v>
      </c>
      <c r="M199" s="1">
        <v>-1.03</v>
      </c>
    </row>
    <row r="200" ht="15.75" customHeight="1">
      <c r="A200" s="7">
        <v>44175.0</v>
      </c>
      <c r="B200" s="1">
        <v>514.76001</v>
      </c>
      <c r="C200" s="1">
        <v>522.75</v>
      </c>
      <c r="D200" s="1">
        <v>513.97998</v>
      </c>
      <c r="E200" s="1">
        <v>518.890015</v>
      </c>
      <c r="F200" s="1">
        <v>518.890015</v>
      </c>
      <c r="G200" s="1">
        <v>5194100.0</v>
      </c>
      <c r="I200" s="1">
        <f t="shared" si="1"/>
        <v>0.003209471732</v>
      </c>
      <c r="J200" s="1">
        <v>0.0</v>
      </c>
      <c r="K200" s="1">
        <f t="shared" si="2"/>
        <v>0.003209471732</v>
      </c>
      <c r="L200" s="1">
        <f t="shared" si="3"/>
        <v>0.3209471732</v>
      </c>
      <c r="M200" s="1">
        <v>0.24</v>
      </c>
    </row>
    <row r="201" ht="15.75" customHeight="1">
      <c r="A201" s="7">
        <v>44176.0</v>
      </c>
      <c r="B201" s="1">
        <v>518.690002</v>
      </c>
      <c r="C201" s="1">
        <v>520.799988</v>
      </c>
      <c r="D201" s="1">
        <v>512.919983</v>
      </c>
      <c r="E201" s="1">
        <v>520.530029</v>
      </c>
      <c r="F201" s="1">
        <v>520.530029</v>
      </c>
      <c r="G201" s="1">
        <v>5231600.0</v>
      </c>
      <c r="I201" s="1">
        <f t="shared" si="1"/>
        <v>0.003160619693</v>
      </c>
      <c r="J201" s="1">
        <v>0.0</v>
      </c>
      <c r="K201" s="1">
        <f t="shared" si="2"/>
        <v>0.003160619693</v>
      </c>
      <c r="L201" s="1">
        <f t="shared" si="3"/>
        <v>0.3160619693</v>
      </c>
      <c r="M201" s="1">
        <v>-0.2</v>
      </c>
    </row>
    <row r="202" ht="15.75" customHeight="1">
      <c r="A202" s="7">
        <v>44179.0</v>
      </c>
      <c r="B202" s="1">
        <v>523.52002</v>
      </c>
      <c r="C202" s="1">
        <v>535.549988</v>
      </c>
      <c r="D202" s="1">
        <v>523.099976</v>
      </c>
      <c r="E202" s="1">
        <v>532.349976</v>
      </c>
      <c r="F202" s="1">
        <v>532.349976</v>
      </c>
      <c r="G202" s="1">
        <v>6753900.0</v>
      </c>
      <c r="I202" s="1">
        <f t="shared" si="1"/>
        <v>0.02270752184</v>
      </c>
      <c r="J202" s="1">
        <v>0.0</v>
      </c>
      <c r="K202" s="1">
        <f t="shared" si="2"/>
        <v>0.02270752184</v>
      </c>
      <c r="L202" s="1">
        <f t="shared" si="3"/>
        <v>2.270752184</v>
      </c>
      <c r="M202" s="1">
        <v>-0.28</v>
      </c>
    </row>
    <row r="203" ht="15.75" customHeight="1">
      <c r="A203" s="7">
        <v>44180.0</v>
      </c>
      <c r="B203" s="1">
        <v>537.590027</v>
      </c>
      <c r="C203" s="1">
        <v>538.559998</v>
      </c>
      <c r="D203" s="1">
        <v>527.469971</v>
      </c>
      <c r="E203" s="1">
        <v>534.419983</v>
      </c>
      <c r="F203" s="1">
        <v>534.419983</v>
      </c>
      <c r="G203" s="1">
        <v>4837100.0</v>
      </c>
      <c r="I203" s="1">
        <f t="shared" si="1"/>
        <v>0.003888432598</v>
      </c>
      <c r="J203" s="1">
        <v>0.0</v>
      </c>
      <c r="K203" s="1">
        <f t="shared" si="2"/>
        <v>0.003888432598</v>
      </c>
      <c r="L203" s="1">
        <f t="shared" si="3"/>
        <v>0.3888432598</v>
      </c>
      <c r="M203" s="1">
        <v>1.28</v>
      </c>
    </row>
    <row r="204" ht="15.75" customHeight="1">
      <c r="A204" s="7">
        <v>44181.0</v>
      </c>
      <c r="B204" s="1">
        <v>536.900024</v>
      </c>
      <c r="C204" s="1">
        <v>537.48999</v>
      </c>
      <c r="D204" s="1">
        <v>528.5</v>
      </c>
      <c r="E204" s="1">
        <v>529.700012</v>
      </c>
      <c r="F204" s="1">
        <v>529.700012</v>
      </c>
      <c r="G204" s="1">
        <v>5577900.0</v>
      </c>
      <c r="I204" s="1">
        <f t="shared" si="1"/>
        <v>-0.008831950807</v>
      </c>
      <c r="J204" s="1">
        <v>0.0</v>
      </c>
      <c r="K204" s="1">
        <f t="shared" si="2"/>
        <v>-0.008831950807</v>
      </c>
      <c r="L204" s="1">
        <f t="shared" si="3"/>
        <v>-0.8831950807</v>
      </c>
      <c r="M204" s="1">
        <v>0.17</v>
      </c>
    </row>
    <row r="205" ht="15.75" customHeight="1">
      <c r="A205" s="7">
        <v>44182.0</v>
      </c>
      <c r="B205" s="1">
        <v>534.669983</v>
      </c>
      <c r="C205" s="1">
        <v>535.179993</v>
      </c>
      <c r="D205" s="1">
        <v>527.140015</v>
      </c>
      <c r="E205" s="1">
        <v>533.650024</v>
      </c>
      <c r="F205" s="1">
        <v>533.650024</v>
      </c>
      <c r="G205" s="1">
        <v>5784600.0</v>
      </c>
      <c r="I205" s="1">
        <f t="shared" si="1"/>
        <v>0.007457073646</v>
      </c>
      <c r="J205" s="1">
        <v>0.0</v>
      </c>
      <c r="K205" s="1">
        <f t="shared" si="2"/>
        <v>0.007457073646</v>
      </c>
      <c r="L205" s="1">
        <f t="shared" si="3"/>
        <v>0.7457073646</v>
      </c>
      <c r="M205" s="1">
        <v>0.79</v>
      </c>
    </row>
    <row r="206" ht="15.75" customHeight="1">
      <c r="A206" s="7">
        <v>44183.0</v>
      </c>
      <c r="B206" s="1">
        <v>535.159973</v>
      </c>
      <c r="C206" s="1">
        <v>536.200012</v>
      </c>
      <c r="D206" s="1">
        <v>522.820007</v>
      </c>
      <c r="E206" s="1">
        <v>530.880005</v>
      </c>
      <c r="F206" s="1">
        <v>530.880005</v>
      </c>
      <c r="G206" s="1">
        <v>8551600.0</v>
      </c>
      <c r="I206" s="1">
        <f t="shared" si="1"/>
        <v>-0.005190703411</v>
      </c>
      <c r="J206" s="1">
        <v>0.0</v>
      </c>
      <c r="K206" s="1">
        <f t="shared" si="2"/>
        <v>-0.005190703411</v>
      </c>
      <c r="L206" s="1">
        <f t="shared" si="3"/>
        <v>-0.5190703411</v>
      </c>
      <c r="M206" s="1">
        <v>-0.12</v>
      </c>
    </row>
    <row r="207" ht="15.75" customHeight="1">
      <c r="A207" s="7">
        <v>44186.0</v>
      </c>
      <c r="B207" s="1">
        <v>522.98999</v>
      </c>
      <c r="C207" s="1">
        <v>534.799988</v>
      </c>
      <c r="D207" s="1">
        <v>518.700012</v>
      </c>
      <c r="E207" s="1">
        <v>533.289978</v>
      </c>
      <c r="F207" s="1">
        <v>533.289978</v>
      </c>
      <c r="G207" s="1">
        <v>7558300.0</v>
      </c>
      <c r="I207" s="1">
        <f t="shared" si="1"/>
        <v>0.004539581407</v>
      </c>
      <c r="J207" s="1">
        <v>0.0</v>
      </c>
      <c r="K207" s="1">
        <f t="shared" si="2"/>
        <v>0.004539581407</v>
      </c>
      <c r="L207" s="1">
        <f t="shared" si="3"/>
        <v>0.4539581407</v>
      </c>
      <c r="M207" s="1">
        <v>-0.23</v>
      </c>
    </row>
    <row r="208" ht="15.75" customHeight="1">
      <c r="A208" s="7">
        <v>44187.0</v>
      </c>
      <c r="B208" s="1">
        <v>532.77002</v>
      </c>
      <c r="C208" s="1">
        <v>533.48999</v>
      </c>
      <c r="D208" s="1">
        <v>522.159973</v>
      </c>
      <c r="E208" s="1">
        <v>531.130005</v>
      </c>
      <c r="F208" s="1">
        <v>531.130005</v>
      </c>
      <c r="G208" s="1">
        <v>4639500.0</v>
      </c>
      <c r="I208" s="1">
        <f t="shared" si="1"/>
        <v>-0.004050278627</v>
      </c>
      <c r="J208" s="1">
        <v>0.0</v>
      </c>
      <c r="K208" s="1">
        <f t="shared" si="2"/>
        <v>-0.004050278627</v>
      </c>
      <c r="L208" s="1">
        <f t="shared" si="3"/>
        <v>-0.4050278627</v>
      </c>
      <c r="M208" s="1">
        <v>0.06</v>
      </c>
    </row>
    <row r="209" ht="15.75" customHeight="1">
      <c r="A209" s="7">
        <v>44188.0</v>
      </c>
      <c r="B209" s="1">
        <v>530.23999</v>
      </c>
      <c r="C209" s="1">
        <v>531.0</v>
      </c>
      <c r="D209" s="1">
        <v>520.200012</v>
      </c>
      <c r="E209" s="1">
        <v>520.369995</v>
      </c>
      <c r="F209" s="1">
        <v>520.369995</v>
      </c>
      <c r="G209" s="1">
        <v>4478600.0</v>
      </c>
      <c r="I209" s="1">
        <f t="shared" si="1"/>
        <v>-0.02025871237</v>
      </c>
      <c r="J209" s="1">
        <v>0.0</v>
      </c>
      <c r="K209" s="1">
        <f t="shared" si="2"/>
        <v>-0.02025871237</v>
      </c>
      <c r="L209" s="1">
        <f t="shared" si="3"/>
        <v>-2.025871237</v>
      </c>
      <c r="M209" s="1">
        <v>0.1</v>
      </c>
    </row>
    <row r="210" ht="15.75" customHeight="1">
      <c r="A210" s="7">
        <v>44189.0</v>
      </c>
      <c r="B210" s="1">
        <v>521.48999</v>
      </c>
      <c r="C210" s="1">
        <v>525.299988</v>
      </c>
      <c r="D210" s="1">
        <v>517.549988</v>
      </c>
      <c r="E210" s="1">
        <v>519.75</v>
      </c>
      <c r="F210" s="1">
        <v>519.75</v>
      </c>
      <c r="G210" s="1">
        <v>2447100.0</v>
      </c>
      <c r="I210" s="1">
        <f t="shared" si="1"/>
        <v>-0.001191450326</v>
      </c>
      <c r="J210" s="1">
        <v>0.0</v>
      </c>
      <c r="K210" s="1">
        <f t="shared" si="2"/>
        <v>-0.001191450326</v>
      </c>
      <c r="L210" s="1">
        <f t="shared" si="3"/>
        <v>-0.1191450326</v>
      </c>
      <c r="M210" s="1">
        <v>0.21</v>
      </c>
    </row>
    <row r="211" ht="15.75" customHeight="1">
      <c r="A211" s="7">
        <v>44193.0</v>
      </c>
      <c r="B211" s="1">
        <v>522.5</v>
      </c>
      <c r="C211" s="1">
        <v>522.5</v>
      </c>
      <c r="D211" s="1">
        <v>510.529999</v>
      </c>
      <c r="E211" s="1">
        <v>516.0</v>
      </c>
      <c r="F211" s="1">
        <v>516.0</v>
      </c>
      <c r="G211" s="1">
        <v>5314100.0</v>
      </c>
      <c r="I211" s="1">
        <f t="shared" si="1"/>
        <v>-0.007215007215</v>
      </c>
      <c r="J211" s="1">
        <v>0.0</v>
      </c>
      <c r="K211" s="1">
        <f t="shared" si="2"/>
        <v>-0.007215007215</v>
      </c>
      <c r="L211" s="1">
        <f t="shared" si="3"/>
        <v>-0.7215007215</v>
      </c>
      <c r="M211" s="1">
        <v>0.46</v>
      </c>
    </row>
    <row r="212" ht="15.75" customHeight="1">
      <c r="A212" s="7">
        <v>44194.0</v>
      </c>
      <c r="B212" s="1">
        <v>517.0</v>
      </c>
      <c r="C212" s="1">
        <v>522.900024</v>
      </c>
      <c r="D212" s="1">
        <v>513.690002</v>
      </c>
      <c r="E212" s="1">
        <v>517.72998</v>
      </c>
      <c r="F212" s="1">
        <v>517.72998</v>
      </c>
      <c r="G212" s="1">
        <v>4259300.0</v>
      </c>
      <c r="I212" s="1">
        <f t="shared" si="1"/>
        <v>0.003352674419</v>
      </c>
      <c r="J212" s="1">
        <v>0.0</v>
      </c>
      <c r="K212" s="1">
        <f t="shared" si="2"/>
        <v>0.003352674419</v>
      </c>
      <c r="L212" s="1">
        <f t="shared" si="3"/>
        <v>0.3352674419</v>
      </c>
      <c r="M212" s="1">
        <v>-0.4</v>
      </c>
    </row>
    <row r="213" ht="15.75" customHeight="1">
      <c r="A213" s="7">
        <v>44195.0</v>
      </c>
      <c r="B213" s="1">
        <v>519.609985</v>
      </c>
      <c r="C213" s="1">
        <v>528.549988</v>
      </c>
      <c r="D213" s="1">
        <v>515.869995</v>
      </c>
      <c r="E213" s="1">
        <v>525.830017</v>
      </c>
      <c r="F213" s="1">
        <v>525.830017</v>
      </c>
      <c r="G213" s="1">
        <v>5634900.0</v>
      </c>
      <c r="I213" s="1">
        <f t="shared" si="1"/>
        <v>0.01564529255</v>
      </c>
      <c r="J213" s="1">
        <v>0.0</v>
      </c>
      <c r="K213" s="1">
        <f t="shared" si="2"/>
        <v>0.01564529255</v>
      </c>
      <c r="L213" s="1">
        <f t="shared" si="3"/>
        <v>1.564529255</v>
      </c>
      <c r="M213" s="1">
        <v>0.27</v>
      </c>
    </row>
    <row r="214" ht="15.75" customHeight="1">
      <c r="A214" s="7">
        <v>44196.0</v>
      </c>
      <c r="B214" s="1">
        <v>525.460022</v>
      </c>
      <c r="C214" s="1">
        <v>526.039978</v>
      </c>
      <c r="D214" s="1">
        <v>516.599976</v>
      </c>
      <c r="E214" s="1">
        <v>522.200012</v>
      </c>
      <c r="F214" s="1">
        <v>522.200012</v>
      </c>
      <c r="G214" s="1">
        <v>4810600.0</v>
      </c>
      <c r="I214" s="1">
        <f t="shared" si="1"/>
        <v>-0.006903381098</v>
      </c>
      <c r="J214" s="1">
        <v>0.0</v>
      </c>
      <c r="K214" s="1">
        <f t="shared" si="2"/>
        <v>-0.006903381098</v>
      </c>
      <c r="L214" s="1">
        <f t="shared" si="3"/>
        <v>-0.6903381098</v>
      </c>
      <c r="M214" s="1">
        <v>0.39</v>
      </c>
    </row>
    <row r="215" ht="15.75" customHeight="1">
      <c r="A215" s="7">
        <v>44200.0</v>
      </c>
      <c r="B215" s="1">
        <v>524.169983</v>
      </c>
      <c r="C215" s="1">
        <v>546.099976</v>
      </c>
      <c r="D215" s="1">
        <v>518.5</v>
      </c>
      <c r="E215" s="1">
        <v>524.539978</v>
      </c>
      <c r="F215" s="1">
        <v>524.539978</v>
      </c>
      <c r="G215" s="1">
        <v>1.4016E7</v>
      </c>
      <c r="I215" s="1">
        <f t="shared" si="1"/>
        <v>0.004480976534</v>
      </c>
      <c r="J215" s="1">
        <v>0.0</v>
      </c>
      <c r="K215" s="1">
        <f t="shared" si="2"/>
        <v>0.004480976534</v>
      </c>
      <c r="L215" s="1">
        <f t="shared" si="3"/>
        <v>0.4480976534</v>
      </c>
      <c r="M215" s="1">
        <v>-1.41</v>
      </c>
    </row>
    <row r="216" ht="15.75" customHeight="1">
      <c r="A216" s="7">
        <v>44201.0</v>
      </c>
      <c r="B216" s="1">
        <v>523.98999</v>
      </c>
      <c r="C216" s="1">
        <v>537.73999</v>
      </c>
      <c r="D216" s="1">
        <v>523.47998</v>
      </c>
      <c r="E216" s="1">
        <v>536.190002</v>
      </c>
      <c r="F216" s="1">
        <v>536.190002</v>
      </c>
      <c r="G216" s="1">
        <v>8069000.0</v>
      </c>
      <c r="I216" s="1">
        <f t="shared" si="1"/>
        <v>0.02220998301</v>
      </c>
      <c r="J216" s="1">
        <v>0.0</v>
      </c>
      <c r="K216" s="1">
        <f t="shared" si="2"/>
        <v>0.02220998301</v>
      </c>
      <c r="L216" s="1">
        <f t="shared" si="3"/>
        <v>2.220998301</v>
      </c>
      <c r="M216" s="1">
        <v>0.86</v>
      </c>
    </row>
    <row r="217" ht="15.75" customHeight="1">
      <c r="A217" s="7">
        <v>44202.0</v>
      </c>
      <c r="B217" s="1">
        <v>528.900024</v>
      </c>
      <c r="C217" s="1">
        <v>529.799988</v>
      </c>
      <c r="D217" s="1">
        <v>503.440002</v>
      </c>
      <c r="E217" s="1">
        <v>504.579987</v>
      </c>
      <c r="F217" s="1">
        <v>504.579987</v>
      </c>
      <c r="G217" s="1">
        <v>1.45106E7</v>
      </c>
      <c r="I217" s="1">
        <f t="shared" si="1"/>
        <v>-0.05895301084</v>
      </c>
      <c r="J217" s="1">
        <v>0.0</v>
      </c>
      <c r="K217" s="1">
        <f t="shared" si="2"/>
        <v>-0.05895301084</v>
      </c>
      <c r="L217" s="1">
        <f t="shared" si="3"/>
        <v>-5.895301084</v>
      </c>
      <c r="M217" s="1">
        <v>0.79</v>
      </c>
    </row>
    <row r="218" ht="15.75" customHeight="1">
      <c r="A218" s="7">
        <v>44203.0</v>
      </c>
      <c r="B218" s="1">
        <v>518.700012</v>
      </c>
      <c r="C218" s="1">
        <v>535.109985</v>
      </c>
      <c r="D218" s="1">
        <v>515.460022</v>
      </c>
      <c r="E218" s="1">
        <v>533.76001</v>
      </c>
      <c r="F218" s="1">
        <v>533.76001</v>
      </c>
      <c r="G218" s="1">
        <v>1.1537E7</v>
      </c>
      <c r="I218" s="1">
        <f t="shared" si="1"/>
        <v>0.05783032176</v>
      </c>
      <c r="J218" s="1">
        <v>0.0</v>
      </c>
      <c r="K218" s="1">
        <f t="shared" si="2"/>
        <v>0.05783032176</v>
      </c>
      <c r="L218" s="1">
        <f t="shared" si="3"/>
        <v>5.783032176</v>
      </c>
      <c r="M218" s="1">
        <v>1.76</v>
      </c>
    </row>
    <row r="219" ht="15.75" customHeight="1">
      <c r="A219" s="7">
        <v>44204.0</v>
      </c>
      <c r="B219" s="1">
        <v>534.5</v>
      </c>
      <c r="C219" s="1">
        <v>536.840027</v>
      </c>
      <c r="D219" s="1">
        <v>521.679993</v>
      </c>
      <c r="E219" s="1">
        <v>531.070007</v>
      </c>
      <c r="F219" s="1">
        <v>531.070007</v>
      </c>
      <c r="G219" s="1">
        <v>7313200.0</v>
      </c>
      <c r="I219" s="1">
        <f t="shared" si="1"/>
        <v>-0.005039723752</v>
      </c>
      <c r="J219" s="1">
        <v>0.0</v>
      </c>
      <c r="K219" s="1">
        <f t="shared" si="2"/>
        <v>-0.005039723752</v>
      </c>
      <c r="L219" s="1">
        <f t="shared" si="3"/>
        <v>-0.5039723752</v>
      </c>
      <c r="M219" s="1">
        <v>0.51</v>
      </c>
    </row>
    <row r="220" ht="15.75" customHeight="1">
      <c r="A220" s="7">
        <v>44207.0</v>
      </c>
      <c r="B220" s="1">
        <v>536.75</v>
      </c>
      <c r="C220" s="1">
        <v>558.440002</v>
      </c>
      <c r="D220" s="1">
        <v>534.5</v>
      </c>
      <c r="E220" s="1">
        <v>544.859985</v>
      </c>
      <c r="F220" s="1">
        <v>544.859985</v>
      </c>
      <c r="G220" s="1">
        <v>1.29757E7</v>
      </c>
      <c r="I220" s="1">
        <f t="shared" si="1"/>
        <v>0.02596640333</v>
      </c>
      <c r="J220" s="1">
        <v>0.0</v>
      </c>
      <c r="K220" s="1">
        <f t="shared" si="2"/>
        <v>0.02596640333</v>
      </c>
      <c r="L220" s="1">
        <f t="shared" si="3"/>
        <v>2.596640333</v>
      </c>
      <c r="M220" s="1">
        <v>-0.51</v>
      </c>
    </row>
    <row r="221" ht="15.75" customHeight="1">
      <c r="A221" s="7">
        <v>44208.0</v>
      </c>
      <c r="B221" s="1">
        <v>550.099976</v>
      </c>
      <c r="C221" s="1">
        <v>550.179993</v>
      </c>
      <c r="D221" s="1">
        <v>533.799988</v>
      </c>
      <c r="E221" s="1">
        <v>539.390015</v>
      </c>
      <c r="F221" s="1">
        <v>539.390015</v>
      </c>
      <c r="G221" s="1">
        <v>7286900.0</v>
      </c>
      <c r="I221" s="1">
        <f t="shared" si="1"/>
        <v>-0.01003922136</v>
      </c>
      <c r="J221" s="1">
        <v>0.0</v>
      </c>
      <c r="K221" s="1">
        <f t="shared" si="2"/>
        <v>-0.01003922136</v>
      </c>
      <c r="L221" s="1">
        <f t="shared" si="3"/>
        <v>-1.003922136</v>
      </c>
      <c r="M221" s="1">
        <v>0.38</v>
      </c>
    </row>
    <row r="222" ht="15.75" customHeight="1">
      <c r="A222" s="7">
        <v>44209.0</v>
      </c>
      <c r="B222" s="1">
        <v>539.599976</v>
      </c>
      <c r="C222" s="1">
        <v>545.0</v>
      </c>
      <c r="D222" s="1">
        <v>535.400024</v>
      </c>
      <c r="E222" s="1">
        <v>541.27002</v>
      </c>
      <c r="F222" s="1">
        <v>541.27002</v>
      </c>
      <c r="G222" s="1">
        <v>5250700.0</v>
      </c>
      <c r="I222" s="1">
        <f t="shared" si="1"/>
        <v>0.003485427887</v>
      </c>
      <c r="J222" s="1">
        <v>0.0</v>
      </c>
      <c r="K222" s="1">
        <f t="shared" si="2"/>
        <v>0.003485427887</v>
      </c>
      <c r="L222" s="1">
        <f t="shared" si="3"/>
        <v>0.3485427887</v>
      </c>
      <c r="M222" s="1">
        <v>0.07</v>
      </c>
    </row>
    <row r="223" ht="15.75" customHeight="1">
      <c r="A223" s="7">
        <v>44210.0</v>
      </c>
      <c r="B223" s="1">
        <v>543.0</v>
      </c>
      <c r="C223" s="1">
        <v>543.98999</v>
      </c>
      <c r="D223" s="1">
        <v>527.219971</v>
      </c>
      <c r="E223" s="1">
        <v>528.01001</v>
      </c>
      <c r="F223" s="1">
        <v>528.01001</v>
      </c>
      <c r="G223" s="1">
        <v>7078000.0</v>
      </c>
      <c r="I223" s="1">
        <f t="shared" si="1"/>
        <v>-0.0244979576</v>
      </c>
      <c r="J223" s="1">
        <v>0.0</v>
      </c>
      <c r="K223" s="1">
        <f t="shared" si="2"/>
        <v>-0.0244979576</v>
      </c>
      <c r="L223" s="1">
        <f t="shared" si="3"/>
        <v>-2.44979576</v>
      </c>
      <c r="M223" s="1">
        <v>-0.11</v>
      </c>
    </row>
    <row r="224" ht="15.75" customHeight="1">
      <c r="A224" s="7">
        <v>44211.0</v>
      </c>
      <c r="B224" s="1">
        <v>529.119995</v>
      </c>
      <c r="C224" s="1">
        <v>533.01001</v>
      </c>
      <c r="D224" s="1">
        <v>513.940002</v>
      </c>
      <c r="E224" s="1">
        <v>514.380005</v>
      </c>
      <c r="F224" s="1">
        <v>514.380005</v>
      </c>
      <c r="G224" s="1">
        <v>6944500.0</v>
      </c>
      <c r="I224" s="1">
        <f t="shared" si="1"/>
        <v>-0.02581391402</v>
      </c>
      <c r="J224" s="1">
        <v>0.0</v>
      </c>
      <c r="K224" s="1">
        <f t="shared" si="2"/>
        <v>-0.02581391402</v>
      </c>
      <c r="L224" s="1">
        <f t="shared" si="3"/>
        <v>-2.581391402</v>
      </c>
      <c r="M224" s="1">
        <v>-0.86</v>
      </c>
    </row>
    <row r="225" ht="15.75" customHeight="1">
      <c r="A225" s="7">
        <v>44215.0</v>
      </c>
      <c r="B225" s="1">
        <v>520.650024</v>
      </c>
      <c r="C225" s="1">
        <v>523.76001</v>
      </c>
      <c r="D225" s="1">
        <v>513.76001</v>
      </c>
      <c r="E225" s="1">
        <v>521.01001</v>
      </c>
      <c r="F225" s="1">
        <v>521.01001</v>
      </c>
      <c r="G225" s="1">
        <v>5654700.0</v>
      </c>
      <c r="I225" s="1">
        <f t="shared" si="1"/>
        <v>0.01288931322</v>
      </c>
      <c r="J225" s="1">
        <v>0.0</v>
      </c>
      <c r="K225" s="1">
        <f t="shared" si="2"/>
        <v>0.01288931322</v>
      </c>
      <c r="L225" s="1">
        <f t="shared" si="3"/>
        <v>1.288931322</v>
      </c>
      <c r="M225" s="1">
        <v>0.91</v>
      </c>
    </row>
    <row r="226" ht="15.75" customHeight="1">
      <c r="A226" s="7">
        <v>44216.0</v>
      </c>
      <c r="B226" s="1">
        <v>524.469971</v>
      </c>
      <c r="C226" s="1">
        <v>537.219971</v>
      </c>
      <c r="D226" s="1">
        <v>522.27002</v>
      </c>
      <c r="E226" s="1">
        <v>534.630005</v>
      </c>
      <c r="F226" s="1">
        <v>534.630005</v>
      </c>
      <c r="G226" s="1">
        <v>6464300.0</v>
      </c>
      <c r="I226" s="1">
        <f t="shared" si="1"/>
        <v>0.02614152269</v>
      </c>
      <c r="J226" s="1">
        <v>0.0</v>
      </c>
      <c r="K226" s="1">
        <f t="shared" si="2"/>
        <v>0.02614152269</v>
      </c>
      <c r="L226" s="1">
        <f t="shared" si="3"/>
        <v>2.614152269</v>
      </c>
      <c r="M226" s="1">
        <v>1.26</v>
      </c>
    </row>
    <row r="227" ht="15.75" customHeight="1">
      <c r="A227" s="7">
        <v>44217.0</v>
      </c>
      <c r="B227" s="1">
        <v>536.73999</v>
      </c>
      <c r="C227" s="1">
        <v>559.969971</v>
      </c>
      <c r="D227" s="1">
        <v>530.119995</v>
      </c>
      <c r="E227" s="1">
        <v>554.700012</v>
      </c>
      <c r="F227" s="1">
        <v>554.700012</v>
      </c>
      <c r="G227" s="1">
        <v>8458500.0</v>
      </c>
      <c r="I227" s="1">
        <f t="shared" si="1"/>
        <v>0.03753999366</v>
      </c>
      <c r="J227" s="1">
        <v>0.0</v>
      </c>
      <c r="K227" s="1">
        <f t="shared" si="2"/>
        <v>0.03753999366</v>
      </c>
      <c r="L227" s="1">
        <f t="shared" si="3"/>
        <v>3.753999366</v>
      </c>
      <c r="M227" s="1">
        <v>-0.04</v>
      </c>
    </row>
    <row r="228" ht="15.75" customHeight="1">
      <c r="A228" s="7">
        <v>44218.0</v>
      </c>
      <c r="B228" s="1">
        <v>549.599976</v>
      </c>
      <c r="C228" s="1">
        <v>553.669983</v>
      </c>
      <c r="D228" s="1">
        <v>545.090027</v>
      </c>
      <c r="E228" s="1">
        <v>548.5</v>
      </c>
      <c r="F228" s="1">
        <v>548.5</v>
      </c>
      <c r="G228" s="1">
        <v>6170500.0</v>
      </c>
      <c r="I228" s="1">
        <f t="shared" si="1"/>
        <v>-0.0111772343</v>
      </c>
      <c r="J228" s="1">
        <v>0.0</v>
      </c>
      <c r="K228" s="1">
        <f t="shared" si="2"/>
        <v>-0.0111772343</v>
      </c>
      <c r="L228" s="1">
        <f t="shared" si="3"/>
        <v>-1.11772343</v>
      </c>
      <c r="M228" s="1">
        <v>-0.07</v>
      </c>
    </row>
    <row r="229" ht="15.75" customHeight="1">
      <c r="A229" s="7">
        <v>44221.0</v>
      </c>
      <c r="B229" s="1">
        <v>551.27002</v>
      </c>
      <c r="C229" s="1">
        <v>553.140015</v>
      </c>
      <c r="D229" s="1">
        <v>529.460022</v>
      </c>
      <c r="E229" s="1">
        <v>546.130005</v>
      </c>
      <c r="F229" s="1">
        <v>546.130005</v>
      </c>
      <c r="G229" s="1">
        <v>6277800.0</v>
      </c>
      <c r="I229" s="1">
        <f t="shared" si="1"/>
        <v>-0.004320865998</v>
      </c>
      <c r="J229" s="1">
        <v>0.0</v>
      </c>
      <c r="K229" s="1">
        <f t="shared" si="2"/>
        <v>-0.004320865998</v>
      </c>
      <c r="L229" s="1">
        <f t="shared" si="3"/>
        <v>-0.4320865998</v>
      </c>
      <c r="M229" s="1">
        <v>0.28</v>
      </c>
    </row>
    <row r="230" ht="15.75" customHeight="1">
      <c r="A230" s="7">
        <v>44222.0</v>
      </c>
      <c r="B230" s="1">
        <v>543.219971</v>
      </c>
      <c r="C230" s="1">
        <v>545.789978</v>
      </c>
      <c r="D230" s="1">
        <v>535.5</v>
      </c>
      <c r="E230" s="1">
        <v>537.409973</v>
      </c>
      <c r="F230" s="1">
        <v>537.409973</v>
      </c>
      <c r="G230" s="1">
        <v>4099500.0</v>
      </c>
      <c r="I230" s="1">
        <f t="shared" si="1"/>
        <v>-0.01596695278</v>
      </c>
      <c r="J230" s="1">
        <v>0.0</v>
      </c>
      <c r="K230" s="1">
        <f t="shared" si="2"/>
        <v>-0.01596695278</v>
      </c>
      <c r="L230" s="1">
        <f t="shared" si="3"/>
        <v>-1.596695278</v>
      </c>
      <c r="M230" s="1">
        <v>-0.32</v>
      </c>
    </row>
    <row r="231" ht="15.75" customHeight="1">
      <c r="A231" s="7">
        <v>44223.0</v>
      </c>
      <c r="B231" s="1">
        <v>529.200012</v>
      </c>
      <c r="C231" s="1">
        <v>529.309998</v>
      </c>
      <c r="D231" s="1">
        <v>511.75</v>
      </c>
      <c r="E231" s="1">
        <v>516.710022</v>
      </c>
      <c r="F231" s="1">
        <v>516.710022</v>
      </c>
      <c r="G231" s="1">
        <v>9281800.0</v>
      </c>
      <c r="I231" s="1">
        <f t="shared" si="1"/>
        <v>-0.0385179882</v>
      </c>
      <c r="J231" s="1">
        <v>0.0</v>
      </c>
      <c r="K231" s="1">
        <f t="shared" si="2"/>
        <v>-0.0385179882</v>
      </c>
      <c r="L231" s="1">
        <f t="shared" si="3"/>
        <v>-3.85179882</v>
      </c>
      <c r="M231" s="1">
        <v>-2.53</v>
      </c>
    </row>
    <row r="232" ht="15.75" customHeight="1">
      <c r="A232" s="7">
        <v>44224.0</v>
      </c>
      <c r="B232" s="1">
        <v>519.849976</v>
      </c>
      <c r="C232" s="1">
        <v>533.590027</v>
      </c>
      <c r="D232" s="1">
        <v>518.419983</v>
      </c>
      <c r="E232" s="1">
        <v>522.039978</v>
      </c>
      <c r="F232" s="1">
        <v>522.039978</v>
      </c>
      <c r="G232" s="1">
        <v>5707900.0</v>
      </c>
      <c r="I232" s="1">
        <f t="shared" si="1"/>
        <v>0.01031517829</v>
      </c>
      <c r="J232" s="1">
        <v>0.0</v>
      </c>
      <c r="K232" s="1">
        <f t="shared" si="2"/>
        <v>0.01031517829</v>
      </c>
      <c r="L232" s="1">
        <f t="shared" si="3"/>
        <v>1.031517829</v>
      </c>
      <c r="M232" s="1">
        <v>0.92</v>
      </c>
    </row>
    <row r="233" ht="15.75" customHeight="1">
      <c r="A233" s="7">
        <v>44225.0</v>
      </c>
      <c r="B233" s="1">
        <v>523.0</v>
      </c>
      <c r="C233" s="1">
        <v>533.390015</v>
      </c>
      <c r="D233" s="1">
        <v>516.460022</v>
      </c>
      <c r="E233" s="1">
        <v>519.590027</v>
      </c>
      <c r="F233" s="1">
        <v>519.590027</v>
      </c>
      <c r="G233" s="1">
        <v>6777800.0</v>
      </c>
      <c r="I233" s="1">
        <f t="shared" si="1"/>
        <v>-0.004693033299</v>
      </c>
      <c r="J233" s="1">
        <v>0.0</v>
      </c>
      <c r="K233" s="1">
        <f t="shared" si="2"/>
        <v>-0.004693033299</v>
      </c>
      <c r="L233" s="1">
        <f t="shared" si="3"/>
        <v>-0.4693033299</v>
      </c>
      <c r="M233" s="1">
        <v>-1.84</v>
      </c>
    </row>
    <row r="234" ht="15.75" customHeight="1">
      <c r="A234" s="7">
        <v>44228.0</v>
      </c>
      <c r="B234" s="1">
        <v>522.130005</v>
      </c>
      <c r="C234" s="1">
        <v>530.830017</v>
      </c>
      <c r="D234" s="1">
        <v>516.109985</v>
      </c>
      <c r="E234" s="1">
        <v>529.47998</v>
      </c>
      <c r="F234" s="1">
        <v>529.47998</v>
      </c>
      <c r="G234" s="1">
        <v>5430100.0</v>
      </c>
      <c r="I234" s="1">
        <f t="shared" si="1"/>
        <v>0.01903414709</v>
      </c>
      <c r="J234" s="1">
        <v>0.0</v>
      </c>
      <c r="K234" s="1">
        <f t="shared" si="2"/>
        <v>0.01903414709</v>
      </c>
      <c r="L234" s="1">
        <f t="shared" si="3"/>
        <v>1.903414709</v>
      </c>
      <c r="M234" s="1">
        <v>1.73</v>
      </c>
    </row>
    <row r="235" ht="15.75" customHeight="1">
      <c r="A235" s="7">
        <v>44229.0</v>
      </c>
      <c r="B235" s="1">
        <v>535.950012</v>
      </c>
      <c r="C235" s="1">
        <v>542.880005</v>
      </c>
      <c r="D235" s="1">
        <v>531.419983</v>
      </c>
      <c r="E235" s="1">
        <v>542.27002</v>
      </c>
      <c r="F235" s="1">
        <v>542.27002</v>
      </c>
      <c r="G235" s="1">
        <v>5511000.0</v>
      </c>
      <c r="I235" s="1">
        <f t="shared" si="1"/>
        <v>0.02415585194</v>
      </c>
      <c r="J235" s="1">
        <v>0.0</v>
      </c>
      <c r="K235" s="1">
        <f t="shared" si="2"/>
        <v>0.02415585194</v>
      </c>
      <c r="L235" s="1">
        <f t="shared" si="3"/>
        <v>2.415585194</v>
      </c>
      <c r="M235" s="1">
        <v>1.48</v>
      </c>
    </row>
    <row r="236" ht="15.75" customHeight="1">
      <c r="A236" s="7">
        <v>44230.0</v>
      </c>
      <c r="B236" s="1">
        <v>545.440002</v>
      </c>
      <c r="C236" s="1">
        <v>557.27002</v>
      </c>
      <c r="D236" s="1">
        <v>540.659973</v>
      </c>
      <c r="E236" s="1">
        <v>541.219971</v>
      </c>
      <c r="F236" s="1">
        <v>541.219971</v>
      </c>
      <c r="G236" s="1">
        <v>6135200.0</v>
      </c>
      <c r="I236" s="1">
        <f t="shared" si="1"/>
        <v>-0.001936395082</v>
      </c>
      <c r="J236" s="1">
        <v>0.0</v>
      </c>
      <c r="K236" s="1">
        <f t="shared" si="2"/>
        <v>-0.001936395082</v>
      </c>
      <c r="L236" s="1">
        <f t="shared" si="3"/>
        <v>-0.1936395082</v>
      </c>
      <c r="M236" s="1">
        <v>0.16</v>
      </c>
    </row>
    <row r="237" ht="15.75" customHeight="1">
      <c r="A237" s="7">
        <v>44231.0</v>
      </c>
      <c r="B237" s="1">
        <v>541.23999</v>
      </c>
      <c r="C237" s="1">
        <v>546.940002</v>
      </c>
      <c r="D237" s="1">
        <v>533.51001</v>
      </c>
      <c r="E237" s="1">
        <v>546.570007</v>
      </c>
      <c r="F237" s="1">
        <v>546.570007</v>
      </c>
      <c r="G237" s="1">
        <v>5033500.0</v>
      </c>
      <c r="I237" s="1">
        <f t="shared" si="1"/>
        <v>0.009885141507</v>
      </c>
      <c r="J237" s="1">
        <v>0.0</v>
      </c>
      <c r="K237" s="1">
        <f t="shared" si="2"/>
        <v>0.009885141507</v>
      </c>
      <c r="L237" s="1">
        <f t="shared" si="3"/>
        <v>0.9885141507</v>
      </c>
      <c r="M237" s="1">
        <v>1.23</v>
      </c>
    </row>
    <row r="238" ht="15.75" customHeight="1">
      <c r="A238" s="7">
        <v>44232.0</v>
      </c>
      <c r="B238" s="1">
        <v>549.0</v>
      </c>
      <c r="C238" s="1">
        <v>549.48999</v>
      </c>
      <c r="D238" s="1">
        <v>541.830017</v>
      </c>
      <c r="E238" s="1">
        <v>543.640015</v>
      </c>
      <c r="F238" s="1">
        <v>543.640015</v>
      </c>
      <c r="G238" s="1">
        <v>4218200.0</v>
      </c>
      <c r="I238" s="1">
        <f t="shared" si="1"/>
        <v>-0.005360689322</v>
      </c>
      <c r="J238" s="1">
        <v>0.0</v>
      </c>
      <c r="K238" s="1">
        <f t="shared" si="2"/>
        <v>-0.005360689322</v>
      </c>
      <c r="L238" s="1">
        <f t="shared" si="3"/>
        <v>-0.5360689322</v>
      </c>
      <c r="M238" s="1">
        <v>0.58</v>
      </c>
    </row>
    <row r="239" ht="15.75" customHeight="1">
      <c r="A239" s="7">
        <v>44235.0</v>
      </c>
      <c r="B239" s="1">
        <v>549.090027</v>
      </c>
      <c r="C239" s="1">
        <v>578.950012</v>
      </c>
      <c r="D239" s="1">
        <v>549.090027</v>
      </c>
      <c r="E239" s="1">
        <v>577.549988</v>
      </c>
      <c r="F239" s="1">
        <v>577.549988</v>
      </c>
      <c r="G239" s="1">
        <v>1.08656E7</v>
      </c>
      <c r="I239" s="1">
        <f t="shared" si="1"/>
        <v>0.06237578556</v>
      </c>
      <c r="J239" s="1">
        <v>0.0</v>
      </c>
      <c r="K239" s="1">
        <f t="shared" si="2"/>
        <v>0.06237578556</v>
      </c>
      <c r="L239" s="1">
        <f t="shared" si="3"/>
        <v>6.237578556</v>
      </c>
      <c r="M239" s="1">
        <v>0.96</v>
      </c>
    </row>
    <row r="240" ht="15.75" customHeight="1">
      <c r="A240" s="7">
        <v>44236.0</v>
      </c>
      <c r="B240" s="1">
        <v>573.630005</v>
      </c>
      <c r="C240" s="1">
        <v>583.330017</v>
      </c>
      <c r="D240" s="1">
        <v>568.900024</v>
      </c>
      <c r="E240" s="1">
        <v>570.530029</v>
      </c>
      <c r="F240" s="1">
        <v>570.530029</v>
      </c>
      <c r="G240" s="1">
        <v>7189000.0</v>
      </c>
      <c r="I240" s="1">
        <f t="shared" si="1"/>
        <v>-0.01215472106</v>
      </c>
      <c r="J240" s="1">
        <v>0.0</v>
      </c>
      <c r="K240" s="1">
        <f t="shared" si="2"/>
        <v>-0.01215472106</v>
      </c>
      <c r="L240" s="1">
        <f t="shared" si="3"/>
        <v>-1.215472106</v>
      </c>
      <c r="M240" s="1">
        <v>0.05</v>
      </c>
    </row>
    <row r="241" ht="15.75" customHeight="1">
      <c r="A241" s="7">
        <v>44237.0</v>
      </c>
      <c r="B241" s="1">
        <v>578.530029</v>
      </c>
      <c r="C241" s="1">
        <v>596.200012</v>
      </c>
      <c r="D241" s="1">
        <v>573.659973</v>
      </c>
      <c r="E241" s="1">
        <v>590.570007</v>
      </c>
      <c r="F241" s="1">
        <v>590.570007</v>
      </c>
      <c r="G241" s="1">
        <v>1.21338E7</v>
      </c>
      <c r="I241" s="1">
        <f t="shared" si="1"/>
        <v>0.03512519409</v>
      </c>
      <c r="J241" s="1">
        <v>0.0</v>
      </c>
      <c r="K241" s="1">
        <f t="shared" si="2"/>
        <v>0.03512519409</v>
      </c>
      <c r="L241" s="1">
        <f t="shared" si="3"/>
        <v>3.512519409</v>
      </c>
      <c r="M241" s="1">
        <v>-0.07</v>
      </c>
    </row>
    <row r="242" ht="15.75" customHeight="1">
      <c r="A242" s="7">
        <v>44238.0</v>
      </c>
      <c r="B242" s="1">
        <v>599.210022</v>
      </c>
      <c r="C242" s="1">
        <v>610.890015</v>
      </c>
      <c r="D242" s="1">
        <v>597.0</v>
      </c>
      <c r="E242" s="1">
        <v>610.030029</v>
      </c>
      <c r="F242" s="1">
        <v>610.030029</v>
      </c>
      <c r="G242" s="1">
        <v>1.12455E7</v>
      </c>
      <c r="I242" s="1">
        <f t="shared" si="1"/>
        <v>0.03295125348</v>
      </c>
      <c r="J242" s="1">
        <v>0.0</v>
      </c>
      <c r="K242" s="1">
        <f t="shared" si="2"/>
        <v>0.03295125348</v>
      </c>
      <c r="L242" s="1">
        <f t="shared" si="3"/>
        <v>3.295125348</v>
      </c>
      <c r="M242" s="1">
        <v>0.19</v>
      </c>
    </row>
    <row r="243" ht="15.75" customHeight="1">
      <c r="A243" s="7">
        <v>44239.0</v>
      </c>
      <c r="B243" s="1">
        <v>602.0</v>
      </c>
      <c r="C243" s="1">
        <v>611.650024</v>
      </c>
      <c r="D243" s="1">
        <v>591.0</v>
      </c>
      <c r="E243" s="1">
        <v>598.450012</v>
      </c>
      <c r="F243" s="1">
        <v>598.450012</v>
      </c>
      <c r="G243" s="1">
        <v>9356800.0</v>
      </c>
      <c r="I243" s="1">
        <f t="shared" si="1"/>
        <v>-0.01898269995</v>
      </c>
      <c r="J243" s="1">
        <v>0.0</v>
      </c>
      <c r="K243" s="1">
        <f t="shared" si="2"/>
        <v>-0.01898269995</v>
      </c>
      <c r="L243" s="1">
        <f t="shared" si="3"/>
        <v>-1.898269995</v>
      </c>
      <c r="M243" s="1">
        <v>0.49</v>
      </c>
    </row>
    <row r="244" ht="15.75" customHeight="1">
      <c r="A244" s="7">
        <v>44243.0</v>
      </c>
      <c r="B244" s="1">
        <v>602.570007</v>
      </c>
      <c r="C244" s="1">
        <v>614.900024</v>
      </c>
      <c r="D244" s="1">
        <v>598.0</v>
      </c>
      <c r="E244" s="1">
        <v>613.210022</v>
      </c>
      <c r="F244" s="1">
        <v>613.210022</v>
      </c>
      <c r="G244" s="1">
        <v>8049000.0</v>
      </c>
      <c r="I244" s="1">
        <f t="shared" si="1"/>
        <v>0.02466373081</v>
      </c>
      <c r="J244" s="1">
        <v>0.0</v>
      </c>
      <c r="K244" s="1">
        <f t="shared" si="2"/>
        <v>0.02466373081</v>
      </c>
      <c r="L244" s="1">
        <f t="shared" si="3"/>
        <v>2.466373081</v>
      </c>
      <c r="M244" s="1">
        <v>-0.14</v>
      </c>
    </row>
    <row r="245" ht="15.75" customHeight="1">
      <c r="A245" s="7">
        <v>44244.0</v>
      </c>
      <c r="B245" s="1">
        <v>606.840027</v>
      </c>
      <c r="C245" s="1">
        <v>608.940002</v>
      </c>
      <c r="D245" s="1">
        <v>591.200012</v>
      </c>
      <c r="E245" s="1">
        <v>596.23999</v>
      </c>
      <c r="F245" s="1">
        <v>596.23999</v>
      </c>
      <c r="G245" s="1">
        <v>6868900.0</v>
      </c>
      <c r="I245" s="1">
        <f t="shared" si="1"/>
        <v>-0.02767409434</v>
      </c>
      <c r="J245" s="1">
        <v>0.0</v>
      </c>
      <c r="K245" s="1">
        <f t="shared" si="2"/>
        <v>-0.02767409434</v>
      </c>
      <c r="L245" s="1">
        <f t="shared" si="3"/>
        <v>-2.767409434</v>
      </c>
      <c r="M245" s="1">
        <v>-0.2</v>
      </c>
    </row>
    <row r="246" ht="15.75" customHeight="1">
      <c r="A246" s="7">
        <v>44245.0</v>
      </c>
      <c r="B246" s="1">
        <v>589.159973</v>
      </c>
      <c r="C246" s="1">
        <v>594.929993</v>
      </c>
      <c r="D246" s="1">
        <v>583.0</v>
      </c>
      <c r="E246" s="1">
        <v>593.159973</v>
      </c>
      <c r="F246" s="1">
        <v>593.159973</v>
      </c>
      <c r="G246" s="1">
        <v>5846700.0</v>
      </c>
      <c r="I246" s="1">
        <f t="shared" si="1"/>
        <v>-0.005165733684</v>
      </c>
      <c r="J246" s="1">
        <v>0.0</v>
      </c>
      <c r="K246" s="1">
        <f t="shared" si="2"/>
        <v>-0.005165733684</v>
      </c>
      <c r="L246" s="1">
        <f t="shared" si="3"/>
        <v>-0.5165733684</v>
      </c>
      <c r="M246" s="1">
        <v>-0.63</v>
      </c>
    </row>
    <row r="247" ht="15.75" customHeight="1">
      <c r="A247" s="7">
        <v>44246.0</v>
      </c>
      <c r="B247" s="1">
        <v>600.97998</v>
      </c>
      <c r="C247" s="1">
        <v>607.080017</v>
      </c>
      <c r="D247" s="1">
        <v>593.869995</v>
      </c>
      <c r="E247" s="1">
        <v>597.059998</v>
      </c>
      <c r="F247" s="1">
        <v>597.059998</v>
      </c>
      <c r="G247" s="1">
        <v>6793100.0</v>
      </c>
      <c r="I247" s="1">
        <f t="shared" si="1"/>
        <v>0.006574996928</v>
      </c>
      <c r="J247" s="1">
        <v>0.0</v>
      </c>
      <c r="K247" s="1">
        <f t="shared" si="2"/>
        <v>0.006574996928</v>
      </c>
      <c r="L247" s="1">
        <f t="shared" si="3"/>
        <v>0.6574996928</v>
      </c>
      <c r="M247" s="1">
        <v>0.16</v>
      </c>
    </row>
    <row r="248" ht="15.75" customHeight="1">
      <c r="A248" s="7">
        <v>44249.0</v>
      </c>
      <c r="B248" s="1">
        <v>590.98999</v>
      </c>
      <c r="C248" s="1">
        <v>605.330017</v>
      </c>
      <c r="D248" s="1">
        <v>573.0</v>
      </c>
      <c r="E248" s="1">
        <v>574.22998</v>
      </c>
      <c r="F248" s="1">
        <v>574.22998</v>
      </c>
      <c r="G248" s="1">
        <v>8147100.0</v>
      </c>
      <c r="I248" s="1">
        <f t="shared" si="1"/>
        <v>-0.03823739335</v>
      </c>
      <c r="J248" s="1">
        <v>0.0</v>
      </c>
      <c r="K248" s="1">
        <f t="shared" si="2"/>
        <v>-0.03823739335</v>
      </c>
      <c r="L248" s="1">
        <f t="shared" si="3"/>
        <v>-3.823739335</v>
      </c>
      <c r="M248" s="1">
        <v>-1.12</v>
      </c>
    </row>
    <row r="249" ht="15.75" customHeight="1">
      <c r="A249" s="7">
        <v>44250.0</v>
      </c>
      <c r="B249" s="1">
        <v>563.01001</v>
      </c>
      <c r="C249" s="1">
        <v>569.549988</v>
      </c>
      <c r="D249" s="1">
        <v>535.580017</v>
      </c>
      <c r="E249" s="1">
        <v>565.679993</v>
      </c>
      <c r="F249" s="1">
        <v>565.679993</v>
      </c>
      <c r="G249" s="1">
        <v>9794500.0</v>
      </c>
      <c r="I249" s="1">
        <f t="shared" si="1"/>
        <v>-0.01488948209</v>
      </c>
      <c r="J249" s="1">
        <v>0.0</v>
      </c>
      <c r="K249" s="1">
        <f t="shared" si="2"/>
        <v>-0.01488948209</v>
      </c>
      <c r="L249" s="1">
        <f t="shared" si="3"/>
        <v>-1.488948209</v>
      </c>
      <c r="M249" s="1">
        <v>-0.15</v>
      </c>
    </row>
    <row r="250" ht="15.75" customHeight="1">
      <c r="A250" s="7">
        <v>44251.0</v>
      </c>
      <c r="B250" s="1">
        <v>564.909973</v>
      </c>
      <c r="C250" s="1">
        <v>580.27002</v>
      </c>
      <c r="D250" s="1">
        <v>550.23999</v>
      </c>
      <c r="E250" s="1">
        <v>579.960022</v>
      </c>
      <c r="F250" s="1">
        <v>579.960022</v>
      </c>
      <c r="G250" s="1">
        <v>1.1208E7</v>
      </c>
      <c r="I250" s="1">
        <f t="shared" si="1"/>
        <v>0.02524400576</v>
      </c>
      <c r="J250" s="1">
        <v>0.0</v>
      </c>
      <c r="K250" s="1">
        <f t="shared" si="2"/>
        <v>0.02524400576</v>
      </c>
      <c r="L250" s="1">
        <f t="shared" si="3"/>
        <v>2.524400576</v>
      </c>
      <c r="M250" s="1">
        <v>1.15</v>
      </c>
    </row>
    <row r="251" ht="15.75" customHeight="1">
      <c r="A251" s="7">
        <v>44252.0</v>
      </c>
      <c r="B251" s="1">
        <v>561.820007</v>
      </c>
      <c r="C251" s="1">
        <v>574.98999</v>
      </c>
      <c r="D251" s="1">
        <v>528.650024</v>
      </c>
      <c r="E251" s="1">
        <v>532.299988</v>
      </c>
      <c r="F251" s="1">
        <v>532.299988</v>
      </c>
      <c r="G251" s="1">
        <v>2.06109E7</v>
      </c>
      <c r="I251" s="1">
        <f t="shared" si="1"/>
        <v>-0.08217813675</v>
      </c>
      <c r="J251" s="1">
        <v>0.0</v>
      </c>
      <c r="K251" s="1">
        <f t="shared" si="2"/>
        <v>-0.08217813675</v>
      </c>
      <c r="L251" s="1">
        <f t="shared" si="3"/>
        <v>-8.217813675</v>
      </c>
      <c r="M251" s="1">
        <v>-2.73</v>
      </c>
    </row>
    <row r="252" ht="15.75" customHeight="1">
      <c r="A252" s="7">
        <v>44253.0</v>
      </c>
      <c r="B252" s="1">
        <v>550.099976</v>
      </c>
      <c r="C252" s="1">
        <v>554.179993</v>
      </c>
      <c r="D252" s="1">
        <v>534.440002</v>
      </c>
      <c r="E252" s="1">
        <v>548.580017</v>
      </c>
      <c r="F252" s="1">
        <v>548.580017</v>
      </c>
      <c r="G252" s="1">
        <v>1.25146E7</v>
      </c>
      <c r="I252" s="1">
        <f t="shared" si="1"/>
        <v>0.03058431217</v>
      </c>
      <c r="J252" s="1">
        <v>0.0</v>
      </c>
      <c r="K252" s="1">
        <f t="shared" si="2"/>
        <v>0.03058431217</v>
      </c>
      <c r="L252" s="1">
        <f t="shared" si="3"/>
        <v>3.058431217</v>
      </c>
      <c r="M252" s="1">
        <v>-0.28</v>
      </c>
    </row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1.0" footer="0.0" header="0.0" left="0.75" right="0.75" top="1.0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2021-04-29T13:37:47Z</dcterms:created>
  <dc:creator>Microsoft Office User</dc:creator>
</cp:coreProperties>
</file>