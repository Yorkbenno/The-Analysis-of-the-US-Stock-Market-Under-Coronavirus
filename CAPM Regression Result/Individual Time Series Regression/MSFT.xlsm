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eet2" sheetId="1" r:id="rId4"/>
    <sheet state="visible" name="Sheet1" sheetId="2" r:id="rId5"/>
    <sheet state="visible" name="MSFT" sheetId="3" r:id="rId6"/>
  </sheets>
  <definedNames/>
  <calcPr/>
  <extLst>
    <ext uri="GoogleSheetsCustomDataVersion1">
      <go:sheetsCustomData xmlns:go="http://customooxmlschemas.google.com/" r:id="rId7" roundtripDataSignature="AMtx7mgc/4eJ7Nb7cdWtmVsWpb5u9ltdsQ=="/>
    </ext>
  </extLst>
</workbook>
</file>

<file path=xl/sharedStrings.xml><?xml version="1.0" encoding="utf-8"?>
<sst xmlns="http://schemas.openxmlformats.org/spreadsheetml/2006/main" count="64" uniqueCount="39">
  <si>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</si>
  <si>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</si>
  <si>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</si>
  <si>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</si>
  <si>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</si>
  <si>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</si>
  <si>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</si>
  <si>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</si>
  <si>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</si>
  <si>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</si>
  <si>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</si>
  <si>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</si>
  <si>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</si>
  <si>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</si>
  <si>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</si>
  <si>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</si>
  <si>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</si>
  <si>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</si>
  <si>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</si>
  <si>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</si>
  <si>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</si>
  <si>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</si>
  <si>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</si>
  <si>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alpha</t>
  </si>
  <si>
    <t>beta</t>
  </si>
  <si>
    <t>Intercept</t>
  </si>
  <si>
    <t>X Variable 1</t>
  </si>
  <si>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</si>
  <si>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</si>
  <si>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</si>
  <si>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</si>
  <si>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</si>
  <si>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</si>
  <si>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</si>
  <si>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</si>
  <si>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</si>
  <si>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Excess Return for MSFT</t>
  </si>
  <si>
    <t>MSFT</t>
  </si>
  <si>
    <t>Mkt-RF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</si>
</sst>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2.0"/>
      <color theme="1"/>
      <name val="Arial"/>
    </font>
    <font>
      <color theme="1"/>
      <name val="Calibri"/>
    </font>
    <font>
      <i/>
      <sz val="12.0"/>
      <color theme="1"/>
      <name val="Calibri"/>
    </font>
    <font/>
    <font>
      <sz val="12.0"/>
      <color theme="1"/>
      <name val="Calibri"/>
    </font>
    <font>
      <sz val="12.0"/>
      <color rgb="FF000000"/>
      <name val="Calibri"/>
    </font>
  </fonts>
  <fills count="2">
    <fill>
      <patternFill patternType="none"/>
    </fill>
    <fill>
      <patternFill patternType="lightGray"/>
    </fill>
  </fills>
  <borders count="3">
    <border/>
    <border>
      <top style="medium">
        <color rgb="FF000000"/>
      </top>
      <bottom style="thin">
        <color rgb="FF000000"/>
      </bottom>
    </border>
    <border>
      <bottom style="medium">
        <color rgb="FF000000"/>
      </bottom>
    </border>
  </borders>
  <cellStyleXfs count="1">
    <xf borderId="0" fillId="0" fontId="0" numFmtId="0" applyAlignment="1" applyFont="1"/>
  </cellStyleXfs>
  <cellXfs count="9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0" fontId="2" numFmtId="0" xfId="0" applyAlignment="1" applyBorder="1" applyFont="1">
      <alignment horizontal="center"/>
    </xf>
    <xf borderId="1" fillId="0" fontId="3" numFmtId="0" xfId="0" applyBorder="1" applyFont="1"/>
    <xf borderId="0" fillId="0" fontId="4" numFmtId="0" xfId="0" applyFont="1"/>
    <xf borderId="2" fillId="0" fontId="4" numFmtId="0" xfId="0" applyBorder="1" applyFont="1"/>
    <xf borderId="0" fillId="0" fontId="5" numFmtId="0" xfId="0" applyFont="1"/>
    <xf borderId="0" fillId="0" fontId="4" numFmtId="14" xfId="0" applyFont="1" applyNumberFormat="1"/>
    <xf borderId="0" fillId="0" fontId="1" numFmtId="0" xfId="0" applyAlignment="1" applyFont="1">
      <alignment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0.8749478475656504</v>
      </c>
    </row>
    <row r="5" ht="15.75" customHeight="1">
      <c r="A5" s="4" t="s">
        <v>3</v>
      </c>
      <c r="B5" s="4">
        <v>0.7655337359597645</v>
      </c>
    </row>
    <row r="6" ht="15.75" customHeight="1">
      <c r="A6" s="4" t="s">
        <v>4</v>
      </c>
      <c r="B6" s="4">
        <v>0.7645883074757313</v>
      </c>
    </row>
    <row r="7" ht="15.75" customHeight="1">
      <c r="A7" s="4" t="s">
        <v>5</v>
      </c>
      <c r="B7" s="4">
        <v>1.3148905516971858</v>
      </c>
    </row>
    <row r="8" ht="15.75" customHeight="1">
      <c r="A8" s="5" t="s">
        <v>6</v>
      </c>
      <c r="B8" s="5">
        <v>250.0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1399.9575303049387</v>
      </c>
      <c r="D12" s="4">
        <v>1399.9575303049387</v>
      </c>
      <c r="E12" s="4">
        <v>809.7214637473054</v>
      </c>
      <c r="F12" s="4">
        <v>4.484653317804625E-80</v>
      </c>
    </row>
    <row r="13" ht="15.75" customHeight="1">
      <c r="A13" s="4" t="s">
        <v>14</v>
      </c>
      <c r="B13" s="4">
        <v>248.0</v>
      </c>
      <c r="C13" s="4">
        <v>428.7764164097474</v>
      </c>
      <c r="D13" s="4">
        <v>1.7289371629425299</v>
      </c>
      <c r="E13" s="4"/>
      <c r="F13" s="4"/>
    </row>
    <row r="14" ht="15.75" customHeight="1">
      <c r="A14" s="5" t="s">
        <v>15</v>
      </c>
      <c r="B14" s="5">
        <v>249.0</v>
      </c>
      <c r="C14" s="5">
        <v>1828.7339467146862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-0.04158226628006692</v>
      </c>
      <c r="C17" s="4">
        <v>0.08332823884033301</v>
      </c>
      <c r="D17" s="4">
        <v>-0.4990177022670979</v>
      </c>
      <c r="E17" s="4">
        <v>0.6182092651025792</v>
      </c>
      <c r="F17" s="4">
        <v>-0.20570353675952777</v>
      </c>
      <c r="G17" s="4">
        <v>0.12253900419939392</v>
      </c>
      <c r="H17" s="4">
        <v>-0.20570353675952777</v>
      </c>
      <c r="I17" s="4">
        <v>0.12253900419939392</v>
      </c>
    </row>
    <row r="18" ht="15.75" customHeight="1">
      <c r="A18" s="5" t="s">
        <v>24</v>
      </c>
      <c r="B18" s="5">
        <v>1.1034703735205547</v>
      </c>
      <c r="C18" s="5">
        <v>0.03877866480731674</v>
      </c>
      <c r="D18" s="5">
        <v>28.455605137605264</v>
      </c>
      <c r="E18" s="5">
        <v>4.484653317803986E-80</v>
      </c>
      <c r="F18" s="5">
        <v>1.0270928594359363</v>
      </c>
      <c r="G18" s="5">
        <v>1.179847887605173</v>
      </c>
      <c r="H18" s="5">
        <v>1.0270928594359363</v>
      </c>
      <c r="I18" s="5">
        <v>1.179847887605173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0.7498361729638362</v>
      </c>
    </row>
    <row r="5" ht="15.75" customHeight="1">
      <c r="A5" s="4" t="s">
        <v>3</v>
      </c>
      <c r="B5" s="4">
        <v>0.562254286285052</v>
      </c>
    </row>
    <row r="6" ht="15.75" customHeight="1">
      <c r="A6" s="4" t="s">
        <v>4</v>
      </c>
      <c r="B6" s="4">
        <v>0.5603258910704488</v>
      </c>
    </row>
    <row r="7" ht="15.75" customHeight="1">
      <c r="A7" s="4" t="s">
        <v>5</v>
      </c>
      <c r="B7" s="4">
        <v>1.274615762048689</v>
      </c>
    </row>
    <row r="8" ht="15.75" customHeight="1">
      <c r="A8" s="5" t="s">
        <v>6</v>
      </c>
      <c r="B8" s="5">
        <v>229.0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473.69118097565615</v>
      </c>
      <c r="D12" s="4">
        <v>473.69118097565615</v>
      </c>
      <c r="E12" s="4">
        <v>291.5658999914691</v>
      </c>
      <c r="F12" s="4">
        <v>1.335685042770085E-42</v>
      </c>
    </row>
    <row r="13" ht="15.75" customHeight="1">
      <c r="A13" s="4" t="s">
        <v>14</v>
      </c>
      <c r="B13" s="4">
        <v>227.0</v>
      </c>
      <c r="C13" s="4">
        <v>368.794492375892</v>
      </c>
      <c r="D13" s="4">
        <v>1.6246453408629604</v>
      </c>
      <c r="E13" s="4"/>
      <c r="F13" s="4"/>
    </row>
    <row r="14" ht="15.75" customHeight="1">
      <c r="A14" s="5" t="s">
        <v>15</v>
      </c>
      <c r="B14" s="5">
        <v>228.0</v>
      </c>
      <c r="C14" s="5">
        <v>842.4856733515481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25</v>
      </c>
      <c r="B17" s="4">
        <v>-0.029913574003469334</v>
      </c>
      <c r="C17" s="4">
        <v>0.0852276416347445</v>
      </c>
      <c r="D17" s="4">
        <v>-0.3509844157329652</v>
      </c>
      <c r="E17" s="4">
        <v>0.7259255616658535</v>
      </c>
      <c r="F17" s="4">
        <v>-0.197852043479919</v>
      </c>
      <c r="G17" s="4">
        <v>0.13802489547298033</v>
      </c>
      <c r="H17" s="4">
        <v>-0.197852043479919</v>
      </c>
      <c r="I17" s="4">
        <v>0.13802489547298033</v>
      </c>
    </row>
    <row r="18" ht="15.75" customHeight="1">
      <c r="A18" s="5" t="s">
        <v>26</v>
      </c>
      <c r="B18" s="5">
        <v>1.037904783037321</v>
      </c>
      <c r="C18" s="5">
        <v>0.06078398211547007</v>
      </c>
      <c r="D18" s="5">
        <v>17.07530087557664</v>
      </c>
      <c r="E18" s="5">
        <v>1.335685042770257E-42</v>
      </c>
      <c r="F18" s="5">
        <v>0.9181317994212346</v>
      </c>
      <c r="G18" s="5">
        <v>1.1576777666534073</v>
      </c>
      <c r="H18" s="5">
        <v>0.9181317994212346</v>
      </c>
      <c r="I18" s="5">
        <v>1.1576777666534073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8" width="10.56"/>
    <col customWidth="1" min="9" max="9" width="12.78"/>
    <col customWidth="1" min="10" max="10" width="10.56"/>
    <col customWidth="1" min="11" max="11" width="20.11"/>
    <col customWidth="1" min="12" max="26" width="10.56"/>
  </cols>
  <sheetData>
    <row r="1" ht="15.75" customHeight="1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I1" s="6" t="s">
        <v>34</v>
      </c>
      <c r="J1" s="6" t="s">
        <v>35</v>
      </c>
      <c r="K1" s="6" t="s">
        <v>36</v>
      </c>
      <c r="L1" s="6" t="s">
        <v>37</v>
      </c>
      <c r="M1" s="6" t="s">
        <v>38</v>
      </c>
    </row>
    <row r="2" ht="15.75" customHeight="1">
      <c r="A2" s="7">
        <v>43892.0</v>
      </c>
      <c r="B2" s="1">
        <v>165.309998</v>
      </c>
      <c r="C2" s="1">
        <v>172.919998</v>
      </c>
      <c r="D2" s="1">
        <v>162.309998</v>
      </c>
      <c r="E2" s="1">
        <v>172.789993</v>
      </c>
      <c r="F2" s="1">
        <v>171.051773</v>
      </c>
      <c r="G2" s="1">
        <v>7.10308E7</v>
      </c>
      <c r="J2" s="1">
        <v>0.006</v>
      </c>
      <c r="M2" s="1">
        <v>4.31</v>
      </c>
    </row>
    <row r="3" ht="15.75" customHeight="1">
      <c r="A3" s="7">
        <v>43893.0</v>
      </c>
      <c r="B3" s="1">
        <v>173.800003</v>
      </c>
      <c r="C3" s="1">
        <v>175.0</v>
      </c>
      <c r="D3" s="1">
        <v>162.259995</v>
      </c>
      <c r="E3" s="1">
        <v>164.509995</v>
      </c>
      <c r="F3" s="1">
        <v>162.855057</v>
      </c>
      <c r="G3" s="1">
        <v>7.1677E7</v>
      </c>
      <c r="I3" s="1">
        <f t="shared" ref="I3:I252" si="1">(F3-F2)/F2</f>
        <v>-0.0479195033</v>
      </c>
      <c r="J3" s="1">
        <v>0.006</v>
      </c>
      <c r="K3" s="1">
        <f t="shared" ref="K3:K252" si="2">I3-J3</f>
        <v>-0.0539195033</v>
      </c>
      <c r="L3" s="1">
        <f t="shared" ref="L3:L252" si="3">100*K3</f>
        <v>-5.39195033</v>
      </c>
      <c r="M3" s="1">
        <v>-2.79</v>
      </c>
      <c r="N3" s="8">
        <v>3.0</v>
      </c>
      <c r="O3" s="8">
        <v>4.0</v>
      </c>
    </row>
    <row r="4" ht="15.75" customHeight="1">
      <c r="A4" s="7">
        <v>43894.0</v>
      </c>
      <c r="B4" s="1">
        <v>168.490005</v>
      </c>
      <c r="C4" s="1">
        <v>170.699997</v>
      </c>
      <c r="D4" s="1">
        <v>165.619995</v>
      </c>
      <c r="E4" s="1">
        <v>170.550003</v>
      </c>
      <c r="F4" s="1">
        <v>168.83429</v>
      </c>
      <c r="G4" s="1">
        <v>4.98144E7</v>
      </c>
      <c r="I4" s="1">
        <f t="shared" si="1"/>
        <v>0.03671505884</v>
      </c>
      <c r="J4" s="1">
        <v>0.006</v>
      </c>
      <c r="K4" s="1">
        <f t="shared" si="2"/>
        <v>0.03071505884</v>
      </c>
      <c r="L4" s="1">
        <f t="shared" si="3"/>
        <v>3.071505884</v>
      </c>
      <c r="M4" s="1">
        <v>4.03</v>
      </c>
      <c r="N4" s="1">
        <f>AVERAGE(L3:L252)</f>
        <v>0.1085779821</v>
      </c>
      <c r="O4" s="1">
        <f>AVERAGE(L24:L252)</f>
        <v>0.1922161789</v>
      </c>
    </row>
    <row r="5" ht="15.75" customHeight="1">
      <c r="A5" s="7">
        <v>43895.0</v>
      </c>
      <c r="B5" s="1">
        <v>166.050003</v>
      </c>
      <c r="C5" s="1">
        <v>170.869995</v>
      </c>
      <c r="D5" s="1">
        <v>165.690002</v>
      </c>
      <c r="E5" s="1">
        <v>166.270004</v>
      </c>
      <c r="F5" s="1">
        <v>164.597351</v>
      </c>
      <c r="G5" s="1">
        <v>4.78173E7</v>
      </c>
      <c r="I5" s="1">
        <f t="shared" si="1"/>
        <v>-0.02509525168</v>
      </c>
      <c r="J5" s="1">
        <v>0.006</v>
      </c>
      <c r="K5" s="1">
        <f t="shared" si="2"/>
        <v>-0.03109525168</v>
      </c>
      <c r="L5" s="1">
        <f t="shared" si="3"/>
        <v>-3.109525168</v>
      </c>
      <c r="M5" s="1">
        <v>-3.38</v>
      </c>
    </row>
    <row r="6" ht="15.75" customHeight="1">
      <c r="A6" s="7">
        <v>43896.0</v>
      </c>
      <c r="B6" s="1">
        <v>162.610001</v>
      </c>
      <c r="C6" s="1">
        <v>163.110001</v>
      </c>
      <c r="D6" s="1">
        <v>156.0</v>
      </c>
      <c r="E6" s="1">
        <v>161.570007</v>
      </c>
      <c r="F6" s="1">
        <v>159.944641</v>
      </c>
      <c r="G6" s="1">
        <v>7.28211E7</v>
      </c>
      <c r="I6" s="1">
        <f t="shared" si="1"/>
        <v>-0.02826722284</v>
      </c>
      <c r="J6" s="1">
        <v>0.006</v>
      </c>
      <c r="K6" s="1">
        <f t="shared" si="2"/>
        <v>-0.03426722284</v>
      </c>
      <c r="L6" s="1">
        <f t="shared" si="3"/>
        <v>-3.426722284</v>
      </c>
      <c r="M6" s="1">
        <v>-1.78</v>
      </c>
    </row>
    <row r="7" ht="15.75" customHeight="1">
      <c r="A7" s="7">
        <v>43899.0</v>
      </c>
      <c r="B7" s="1">
        <v>151.0</v>
      </c>
      <c r="C7" s="1">
        <v>157.75</v>
      </c>
      <c r="D7" s="1">
        <v>150.0</v>
      </c>
      <c r="E7" s="1">
        <v>150.619995</v>
      </c>
      <c r="F7" s="1">
        <v>149.104797</v>
      </c>
      <c r="G7" s="1">
        <v>7.04193E7</v>
      </c>
      <c r="I7" s="1">
        <f t="shared" si="1"/>
        <v>-0.06777247385</v>
      </c>
      <c r="J7" s="1">
        <v>0.006</v>
      </c>
      <c r="K7" s="1">
        <f t="shared" si="2"/>
        <v>-0.07377247385</v>
      </c>
      <c r="L7" s="1">
        <f t="shared" si="3"/>
        <v>-7.377247385</v>
      </c>
      <c r="M7" s="1">
        <v>-7.79</v>
      </c>
    </row>
    <row r="8" ht="15.75" customHeight="1">
      <c r="A8" s="7">
        <v>43900.0</v>
      </c>
      <c r="B8" s="1">
        <v>158.160004</v>
      </c>
      <c r="C8" s="1">
        <v>161.029999</v>
      </c>
      <c r="D8" s="1">
        <v>152.580002</v>
      </c>
      <c r="E8" s="1">
        <v>160.919998</v>
      </c>
      <c r="F8" s="1">
        <v>159.301178</v>
      </c>
      <c r="G8" s="1">
        <v>6.53544E7</v>
      </c>
      <c r="I8" s="1">
        <f t="shared" si="1"/>
        <v>0.06838399036</v>
      </c>
      <c r="J8" s="1">
        <v>0.006</v>
      </c>
      <c r="K8" s="1">
        <f t="shared" si="2"/>
        <v>0.06238399036</v>
      </c>
      <c r="L8" s="1">
        <f t="shared" si="3"/>
        <v>6.238399036</v>
      </c>
      <c r="M8" s="1">
        <v>4.74</v>
      </c>
    </row>
    <row r="9" ht="15.75" customHeight="1">
      <c r="A9" s="7">
        <v>43901.0</v>
      </c>
      <c r="B9" s="1">
        <v>157.130005</v>
      </c>
      <c r="C9" s="1">
        <v>157.699997</v>
      </c>
      <c r="D9" s="1">
        <v>151.149994</v>
      </c>
      <c r="E9" s="1">
        <v>153.630005</v>
      </c>
      <c r="F9" s="1">
        <v>152.084518</v>
      </c>
      <c r="G9" s="1">
        <v>5.63716E7</v>
      </c>
      <c r="I9" s="1">
        <f t="shared" si="1"/>
        <v>-0.04530198766</v>
      </c>
      <c r="J9" s="1">
        <v>0.006</v>
      </c>
      <c r="K9" s="1">
        <f t="shared" si="2"/>
        <v>-0.05130198766</v>
      </c>
      <c r="L9" s="1">
        <f t="shared" si="3"/>
        <v>-5.130198766</v>
      </c>
      <c r="M9" s="1">
        <v>-5.05</v>
      </c>
    </row>
    <row r="10" ht="15.75" customHeight="1">
      <c r="A10" s="7">
        <v>43902.0</v>
      </c>
      <c r="B10" s="1">
        <v>145.300003</v>
      </c>
      <c r="C10" s="1">
        <v>153.470001</v>
      </c>
      <c r="D10" s="1">
        <v>138.580002</v>
      </c>
      <c r="E10" s="1">
        <v>139.059998</v>
      </c>
      <c r="F10" s="1">
        <v>137.661087</v>
      </c>
      <c r="G10" s="1">
        <v>9.32264E7</v>
      </c>
      <c r="I10" s="1">
        <f t="shared" si="1"/>
        <v>-0.09483825961</v>
      </c>
      <c r="J10" s="1">
        <v>0.006</v>
      </c>
      <c r="K10" s="1">
        <f t="shared" si="2"/>
        <v>-0.1008382596</v>
      </c>
      <c r="L10" s="1">
        <f t="shared" si="3"/>
        <v>-10.08382596</v>
      </c>
      <c r="M10" s="1">
        <v>-9.63</v>
      </c>
    </row>
    <row r="11" ht="15.75" customHeight="1">
      <c r="A11" s="7">
        <v>43903.0</v>
      </c>
      <c r="B11" s="1">
        <v>147.5</v>
      </c>
      <c r="C11" s="1">
        <v>161.910004</v>
      </c>
      <c r="D11" s="1">
        <v>140.729996</v>
      </c>
      <c r="E11" s="1">
        <v>158.830002</v>
      </c>
      <c r="F11" s="1">
        <v>157.232208</v>
      </c>
      <c r="G11" s="1">
        <v>9.27274E7</v>
      </c>
      <c r="I11" s="1">
        <f t="shared" si="1"/>
        <v>0.1421688687</v>
      </c>
      <c r="J11" s="1">
        <v>0.006</v>
      </c>
      <c r="K11" s="1">
        <f t="shared" si="2"/>
        <v>0.1361688687</v>
      </c>
      <c r="L11" s="1">
        <f t="shared" si="3"/>
        <v>13.61688687</v>
      </c>
      <c r="M11" s="1">
        <v>8.96</v>
      </c>
    </row>
    <row r="12" ht="15.75" customHeight="1">
      <c r="A12" s="7">
        <v>43906.0</v>
      </c>
      <c r="B12" s="1">
        <v>140.0</v>
      </c>
      <c r="C12" s="1">
        <v>149.350006</v>
      </c>
      <c r="D12" s="1">
        <v>135.0</v>
      </c>
      <c r="E12" s="1">
        <v>135.419998</v>
      </c>
      <c r="F12" s="1">
        <v>134.057693</v>
      </c>
      <c r="G12" s="1">
        <v>8.79059E7</v>
      </c>
      <c r="I12" s="1">
        <f t="shared" si="1"/>
        <v>-0.1473903807</v>
      </c>
      <c r="J12" s="1">
        <v>0.006</v>
      </c>
      <c r="K12" s="1">
        <f t="shared" si="2"/>
        <v>-0.1533903807</v>
      </c>
      <c r="L12" s="1">
        <f t="shared" si="3"/>
        <v>-15.33903807</v>
      </c>
      <c r="M12" s="1">
        <v>-12.0</v>
      </c>
    </row>
    <row r="13" ht="15.75" customHeight="1">
      <c r="A13" s="7">
        <v>43907.0</v>
      </c>
      <c r="B13" s="1">
        <v>140.0</v>
      </c>
      <c r="C13" s="1">
        <v>147.5</v>
      </c>
      <c r="D13" s="1">
        <v>135.0</v>
      </c>
      <c r="E13" s="1">
        <v>146.570007</v>
      </c>
      <c r="F13" s="1">
        <v>145.095551</v>
      </c>
      <c r="G13" s="1">
        <v>8.10598E7</v>
      </c>
      <c r="I13" s="1">
        <f t="shared" si="1"/>
        <v>0.08233662502</v>
      </c>
      <c r="J13" s="1">
        <v>0.006</v>
      </c>
      <c r="K13" s="1">
        <f t="shared" si="2"/>
        <v>0.07633662502</v>
      </c>
      <c r="L13" s="1">
        <f t="shared" si="3"/>
        <v>7.633662502</v>
      </c>
      <c r="M13" s="1">
        <v>5.87</v>
      </c>
    </row>
    <row r="14" ht="15.75" customHeight="1">
      <c r="A14" s="7">
        <v>43908.0</v>
      </c>
      <c r="B14" s="1">
        <v>138.0</v>
      </c>
      <c r="C14" s="1">
        <v>146.0</v>
      </c>
      <c r="D14" s="1">
        <v>135.020004</v>
      </c>
      <c r="E14" s="1">
        <v>140.399994</v>
      </c>
      <c r="F14" s="1">
        <v>138.987595</v>
      </c>
      <c r="G14" s="1">
        <v>8.15932E7</v>
      </c>
      <c r="I14" s="1">
        <f t="shared" si="1"/>
        <v>-0.04209609432</v>
      </c>
      <c r="J14" s="1">
        <v>0.006</v>
      </c>
      <c r="K14" s="1">
        <f t="shared" si="2"/>
        <v>-0.04809609432</v>
      </c>
      <c r="L14" s="1">
        <f t="shared" si="3"/>
        <v>-4.809609432</v>
      </c>
      <c r="M14" s="1">
        <v>-5.56</v>
      </c>
    </row>
    <row r="15" ht="15.75" customHeight="1">
      <c r="A15" s="7">
        <v>43909.0</v>
      </c>
      <c r="B15" s="1">
        <v>142.770004</v>
      </c>
      <c r="C15" s="1">
        <v>150.149994</v>
      </c>
      <c r="D15" s="1">
        <v>139.0</v>
      </c>
      <c r="E15" s="1">
        <v>142.710007</v>
      </c>
      <c r="F15" s="1">
        <v>141.274368</v>
      </c>
      <c r="G15" s="1">
        <v>8.59227E7</v>
      </c>
      <c r="I15" s="1">
        <f t="shared" si="1"/>
        <v>0.01645307266</v>
      </c>
      <c r="J15" s="1">
        <v>0.006</v>
      </c>
      <c r="K15" s="1">
        <f t="shared" si="2"/>
        <v>0.01045307266</v>
      </c>
      <c r="L15" s="1">
        <f t="shared" si="3"/>
        <v>1.045307266</v>
      </c>
      <c r="M15" s="1">
        <v>1.31</v>
      </c>
    </row>
    <row r="16" ht="15.75" customHeight="1">
      <c r="A16" s="7">
        <v>43910.0</v>
      </c>
      <c r="B16" s="1">
        <v>146.0</v>
      </c>
      <c r="C16" s="1">
        <v>147.100006</v>
      </c>
      <c r="D16" s="1">
        <v>135.860001</v>
      </c>
      <c r="E16" s="1">
        <v>137.350006</v>
      </c>
      <c r="F16" s="1">
        <v>135.968292</v>
      </c>
      <c r="G16" s="1">
        <v>8.48662E7</v>
      </c>
      <c r="I16" s="1">
        <f t="shared" si="1"/>
        <v>-0.03755866032</v>
      </c>
      <c r="J16" s="1">
        <v>0.006</v>
      </c>
      <c r="K16" s="1">
        <f t="shared" si="2"/>
        <v>-0.04355866032</v>
      </c>
      <c r="L16" s="1">
        <f t="shared" si="3"/>
        <v>-4.355866032</v>
      </c>
      <c r="M16" s="1">
        <v>-4.15</v>
      </c>
    </row>
    <row r="17" ht="15.75" customHeight="1">
      <c r="A17" s="7">
        <v>43913.0</v>
      </c>
      <c r="B17" s="1">
        <v>137.009995</v>
      </c>
      <c r="C17" s="1">
        <v>140.570007</v>
      </c>
      <c r="D17" s="1">
        <v>132.520004</v>
      </c>
      <c r="E17" s="1">
        <v>135.979996</v>
      </c>
      <c r="F17" s="1">
        <v>134.612076</v>
      </c>
      <c r="G17" s="1">
        <v>7.89752E7</v>
      </c>
      <c r="I17" s="1">
        <f t="shared" si="1"/>
        <v>-0.009974501996</v>
      </c>
      <c r="J17" s="1">
        <v>0.006</v>
      </c>
      <c r="K17" s="1">
        <f t="shared" si="2"/>
        <v>-0.015974502</v>
      </c>
      <c r="L17" s="1">
        <f t="shared" si="3"/>
        <v>-1.5974502</v>
      </c>
      <c r="M17" s="1">
        <v>-2.55</v>
      </c>
    </row>
    <row r="18" ht="15.75" customHeight="1">
      <c r="A18" s="7">
        <v>43914.0</v>
      </c>
      <c r="B18" s="1">
        <v>143.75</v>
      </c>
      <c r="C18" s="1">
        <v>149.600006</v>
      </c>
      <c r="D18" s="1">
        <v>141.270004</v>
      </c>
      <c r="E18" s="1">
        <v>148.339996</v>
      </c>
      <c r="F18" s="1">
        <v>146.847717</v>
      </c>
      <c r="G18" s="1">
        <v>8.25167E7</v>
      </c>
      <c r="I18" s="1">
        <f t="shared" si="1"/>
        <v>0.0908955672</v>
      </c>
      <c r="J18" s="1">
        <v>0.006</v>
      </c>
      <c r="K18" s="1">
        <f t="shared" si="2"/>
        <v>0.0848955672</v>
      </c>
      <c r="L18" s="1">
        <f t="shared" si="3"/>
        <v>8.48955672</v>
      </c>
      <c r="M18" s="1">
        <v>9.34</v>
      </c>
    </row>
    <row r="19" ht="15.75" customHeight="1">
      <c r="A19" s="7">
        <v>43915.0</v>
      </c>
      <c r="B19" s="1">
        <v>148.910004</v>
      </c>
      <c r="C19" s="1">
        <v>154.330002</v>
      </c>
      <c r="D19" s="1">
        <v>144.440002</v>
      </c>
      <c r="E19" s="1">
        <v>146.919998</v>
      </c>
      <c r="F19" s="1">
        <v>145.442017</v>
      </c>
      <c r="G19" s="1">
        <v>7.56382E7</v>
      </c>
      <c r="I19" s="1">
        <f t="shared" si="1"/>
        <v>-0.00957250156</v>
      </c>
      <c r="J19" s="1">
        <v>0.006</v>
      </c>
      <c r="K19" s="1">
        <f t="shared" si="2"/>
        <v>-0.01557250156</v>
      </c>
      <c r="L19" s="1">
        <f t="shared" si="3"/>
        <v>-1.557250156</v>
      </c>
      <c r="M19" s="1">
        <v>1.18</v>
      </c>
    </row>
    <row r="20" ht="15.75" customHeight="1">
      <c r="A20" s="7">
        <v>43916.0</v>
      </c>
      <c r="B20" s="1">
        <v>148.399994</v>
      </c>
      <c r="C20" s="1">
        <v>156.660004</v>
      </c>
      <c r="D20" s="1">
        <v>148.369995</v>
      </c>
      <c r="E20" s="1">
        <v>156.110001</v>
      </c>
      <c r="F20" s="1">
        <v>154.539566</v>
      </c>
      <c r="G20" s="1">
        <v>6.45681E7</v>
      </c>
      <c r="I20" s="1">
        <f t="shared" si="1"/>
        <v>0.06255103709</v>
      </c>
      <c r="J20" s="1">
        <v>0.006</v>
      </c>
      <c r="K20" s="1">
        <f t="shared" si="2"/>
        <v>0.05655103709</v>
      </c>
      <c r="L20" s="1">
        <f t="shared" si="3"/>
        <v>5.655103709</v>
      </c>
      <c r="M20" s="1">
        <v>6.02</v>
      </c>
    </row>
    <row r="21" ht="15.75" customHeight="1">
      <c r="A21" s="7">
        <v>43917.0</v>
      </c>
      <c r="B21" s="1">
        <v>151.75</v>
      </c>
      <c r="C21" s="1">
        <v>154.889999</v>
      </c>
      <c r="D21" s="1">
        <v>149.199997</v>
      </c>
      <c r="E21" s="1">
        <v>149.699997</v>
      </c>
      <c r="F21" s="1">
        <v>148.194046</v>
      </c>
      <c r="G21" s="1">
        <v>5.70423E7</v>
      </c>
      <c r="I21" s="1">
        <f t="shared" si="1"/>
        <v>-0.04106081157</v>
      </c>
      <c r="J21" s="1">
        <v>0.006</v>
      </c>
      <c r="K21" s="1">
        <f t="shared" si="2"/>
        <v>-0.04706081157</v>
      </c>
      <c r="L21" s="1">
        <f t="shared" si="3"/>
        <v>-4.706081157</v>
      </c>
      <c r="M21" s="1">
        <v>-3.48</v>
      </c>
    </row>
    <row r="22" ht="15.75" customHeight="1">
      <c r="A22" s="7">
        <v>43920.0</v>
      </c>
      <c r="B22" s="1">
        <v>152.440002</v>
      </c>
      <c r="C22" s="1">
        <v>160.600006</v>
      </c>
      <c r="D22" s="1">
        <v>150.009995</v>
      </c>
      <c r="E22" s="1">
        <v>160.229996</v>
      </c>
      <c r="F22" s="1">
        <v>158.618118</v>
      </c>
      <c r="G22" s="1">
        <v>6.34203E7</v>
      </c>
      <c r="I22" s="1">
        <f t="shared" si="1"/>
        <v>0.07034069371</v>
      </c>
      <c r="J22" s="1">
        <v>0.006</v>
      </c>
      <c r="K22" s="1">
        <f t="shared" si="2"/>
        <v>0.06434069371</v>
      </c>
      <c r="L22" s="1">
        <f t="shared" si="3"/>
        <v>6.434069371</v>
      </c>
      <c r="M22" s="1">
        <v>3.16</v>
      </c>
    </row>
    <row r="23" ht="15.75" customHeight="1">
      <c r="A23" s="7">
        <v>43921.0</v>
      </c>
      <c r="B23" s="1">
        <v>159.399994</v>
      </c>
      <c r="C23" s="1">
        <v>164.779999</v>
      </c>
      <c r="D23" s="1">
        <v>156.559998</v>
      </c>
      <c r="E23" s="1">
        <v>157.710007</v>
      </c>
      <c r="F23" s="1">
        <v>156.123474</v>
      </c>
      <c r="G23" s="1">
        <v>7.79272E7</v>
      </c>
      <c r="I23" s="1">
        <f t="shared" si="1"/>
        <v>-0.01572735846</v>
      </c>
      <c r="J23" s="1">
        <v>0.006</v>
      </c>
      <c r="K23" s="1">
        <f t="shared" si="2"/>
        <v>-0.02172735846</v>
      </c>
      <c r="L23" s="1">
        <f t="shared" si="3"/>
        <v>-2.172735846</v>
      </c>
      <c r="M23" s="1">
        <v>-1.44</v>
      </c>
    </row>
    <row r="24" ht="15.75" customHeight="1">
      <c r="A24" s="7">
        <v>43922.0</v>
      </c>
      <c r="B24" s="1">
        <v>153.0</v>
      </c>
      <c r="C24" s="1">
        <v>157.75</v>
      </c>
      <c r="D24" s="1">
        <v>150.820007</v>
      </c>
      <c r="E24" s="1">
        <v>152.110001</v>
      </c>
      <c r="F24" s="1">
        <v>150.579803</v>
      </c>
      <c r="G24" s="1">
        <v>5.79699E7</v>
      </c>
      <c r="I24" s="1">
        <f t="shared" si="1"/>
        <v>-0.03550824779</v>
      </c>
      <c r="J24" s="1">
        <v>0.0</v>
      </c>
      <c r="K24" s="1">
        <f t="shared" si="2"/>
        <v>-0.03550824779</v>
      </c>
      <c r="L24" s="1">
        <f t="shared" si="3"/>
        <v>-3.550824779</v>
      </c>
      <c r="M24" s="1">
        <v>-4.51</v>
      </c>
    </row>
    <row r="25" ht="15.75" customHeight="1">
      <c r="A25" s="7">
        <v>43923.0</v>
      </c>
      <c r="B25" s="1">
        <v>151.860001</v>
      </c>
      <c r="C25" s="1">
        <v>155.479996</v>
      </c>
      <c r="D25" s="1">
        <v>150.360001</v>
      </c>
      <c r="E25" s="1">
        <v>155.259995</v>
      </c>
      <c r="F25" s="1">
        <v>153.69812</v>
      </c>
      <c r="G25" s="1">
        <v>4.96307E7</v>
      </c>
      <c r="I25" s="1">
        <f t="shared" si="1"/>
        <v>0.02070873343</v>
      </c>
      <c r="J25" s="1">
        <v>0.0</v>
      </c>
      <c r="K25" s="1">
        <f t="shared" si="2"/>
        <v>0.02070873343</v>
      </c>
      <c r="L25" s="1">
        <f t="shared" si="3"/>
        <v>2.070873343</v>
      </c>
      <c r="M25" s="1">
        <v>2.1</v>
      </c>
    </row>
    <row r="26" ht="15.75" customHeight="1">
      <c r="A26" s="7">
        <v>43924.0</v>
      </c>
      <c r="B26" s="1">
        <v>155.100006</v>
      </c>
      <c r="C26" s="1">
        <v>157.380005</v>
      </c>
      <c r="D26" s="1">
        <v>152.190002</v>
      </c>
      <c r="E26" s="1">
        <v>153.830002</v>
      </c>
      <c r="F26" s="1">
        <v>152.282501</v>
      </c>
      <c r="G26" s="1">
        <v>4.12433E7</v>
      </c>
      <c r="I26" s="1">
        <f t="shared" si="1"/>
        <v>-0.009210385918</v>
      </c>
      <c r="J26" s="1">
        <v>0.0</v>
      </c>
      <c r="K26" s="1">
        <f t="shared" si="2"/>
        <v>-0.009210385918</v>
      </c>
      <c r="L26" s="1">
        <f t="shared" si="3"/>
        <v>-0.9210385918</v>
      </c>
      <c r="M26" s="1">
        <v>-1.64</v>
      </c>
    </row>
    <row r="27" ht="15.75" customHeight="1">
      <c r="A27" s="7">
        <v>43927.0</v>
      </c>
      <c r="B27" s="1">
        <v>160.320007</v>
      </c>
      <c r="C27" s="1">
        <v>166.5</v>
      </c>
      <c r="D27" s="1">
        <v>157.580002</v>
      </c>
      <c r="E27" s="1">
        <v>165.270004</v>
      </c>
      <c r="F27" s="1">
        <v>163.607422</v>
      </c>
      <c r="G27" s="1">
        <v>6.71117E7</v>
      </c>
      <c r="I27" s="1">
        <f t="shared" si="1"/>
        <v>0.07436784217</v>
      </c>
      <c r="J27" s="1">
        <v>0.0</v>
      </c>
      <c r="K27" s="1">
        <f t="shared" si="2"/>
        <v>0.07436784217</v>
      </c>
      <c r="L27" s="1">
        <f t="shared" si="3"/>
        <v>7.436784217</v>
      </c>
      <c r="M27" s="1">
        <v>7.06</v>
      </c>
    </row>
    <row r="28" ht="15.75" customHeight="1">
      <c r="A28" s="7">
        <v>43928.0</v>
      </c>
      <c r="B28" s="1">
        <v>169.589996</v>
      </c>
      <c r="C28" s="1">
        <v>170.0</v>
      </c>
      <c r="D28" s="1">
        <v>163.259995</v>
      </c>
      <c r="E28" s="1">
        <v>163.490005</v>
      </c>
      <c r="F28" s="1">
        <v>161.845322</v>
      </c>
      <c r="G28" s="1">
        <v>6.2769E7</v>
      </c>
      <c r="I28" s="1">
        <f t="shared" si="1"/>
        <v>-0.01077029378</v>
      </c>
      <c r="J28" s="1">
        <v>0.0</v>
      </c>
      <c r="K28" s="1">
        <f t="shared" si="2"/>
        <v>-0.01077029378</v>
      </c>
      <c r="L28" s="1">
        <f t="shared" si="3"/>
        <v>-1.077029378</v>
      </c>
      <c r="M28" s="1">
        <v>-0.11</v>
      </c>
    </row>
    <row r="29" ht="15.75" customHeight="1">
      <c r="A29" s="7">
        <v>43929.0</v>
      </c>
      <c r="B29" s="1">
        <v>165.669998</v>
      </c>
      <c r="C29" s="1">
        <v>166.669998</v>
      </c>
      <c r="D29" s="1">
        <v>163.5</v>
      </c>
      <c r="E29" s="1">
        <v>165.130005</v>
      </c>
      <c r="F29" s="1">
        <v>163.468811</v>
      </c>
      <c r="G29" s="1">
        <v>4.83182E7</v>
      </c>
      <c r="I29" s="1">
        <f t="shared" si="1"/>
        <v>0.01003111477</v>
      </c>
      <c r="J29" s="1">
        <v>0.0</v>
      </c>
      <c r="K29" s="1">
        <f t="shared" si="2"/>
        <v>0.01003111477</v>
      </c>
      <c r="L29" s="1">
        <f t="shared" si="3"/>
        <v>1.003111477</v>
      </c>
      <c r="M29" s="1">
        <v>3.4</v>
      </c>
    </row>
    <row r="30" ht="15.75" customHeight="1">
      <c r="A30" s="7">
        <v>43930.0</v>
      </c>
      <c r="B30" s="1">
        <v>166.360001</v>
      </c>
      <c r="C30" s="1">
        <v>167.369995</v>
      </c>
      <c r="D30" s="1">
        <v>163.330002</v>
      </c>
      <c r="E30" s="1">
        <v>165.139999</v>
      </c>
      <c r="F30" s="1">
        <v>163.478729</v>
      </c>
      <c r="G30" s="1">
        <v>5.14318E7</v>
      </c>
      <c r="I30" s="1">
        <f t="shared" si="1"/>
        <v>0.00006067212418</v>
      </c>
      <c r="J30" s="1">
        <v>0.0</v>
      </c>
      <c r="K30" s="1">
        <f t="shared" si="2"/>
        <v>0.00006067212418</v>
      </c>
      <c r="L30" s="1">
        <f t="shared" si="3"/>
        <v>0.006067212418</v>
      </c>
      <c r="M30" s="1">
        <v>1.59</v>
      </c>
    </row>
    <row r="31" ht="15.75" customHeight="1">
      <c r="A31" s="7">
        <v>43934.0</v>
      </c>
      <c r="B31" s="1">
        <v>164.350006</v>
      </c>
      <c r="C31" s="1">
        <v>165.570007</v>
      </c>
      <c r="D31" s="1">
        <v>162.300003</v>
      </c>
      <c r="E31" s="1">
        <v>165.509995</v>
      </c>
      <c r="F31" s="1">
        <v>163.844971</v>
      </c>
      <c r="G31" s="1">
        <v>4.19053E7</v>
      </c>
      <c r="I31" s="1">
        <f t="shared" si="1"/>
        <v>0.002240303691</v>
      </c>
      <c r="J31" s="1">
        <v>0.0</v>
      </c>
      <c r="K31" s="1">
        <f t="shared" si="2"/>
        <v>0.002240303691</v>
      </c>
      <c r="L31" s="1">
        <f t="shared" si="3"/>
        <v>0.2240303691</v>
      </c>
      <c r="M31" s="1">
        <v>-0.92</v>
      </c>
    </row>
    <row r="32" ht="15.75" customHeight="1">
      <c r="A32" s="7">
        <v>43935.0</v>
      </c>
      <c r="B32" s="1">
        <v>169.0</v>
      </c>
      <c r="C32" s="1">
        <v>173.75</v>
      </c>
      <c r="D32" s="1">
        <v>168.0</v>
      </c>
      <c r="E32" s="1">
        <v>173.699997</v>
      </c>
      <c r="F32" s="1">
        <v>171.952606</v>
      </c>
      <c r="G32" s="1">
        <v>5.28743E7</v>
      </c>
      <c r="I32" s="1">
        <f t="shared" si="1"/>
        <v>0.04948357554</v>
      </c>
      <c r="J32" s="1">
        <v>0.0</v>
      </c>
      <c r="K32" s="1">
        <f t="shared" si="2"/>
        <v>0.04948357554</v>
      </c>
      <c r="L32" s="1">
        <f t="shared" si="3"/>
        <v>4.948357554</v>
      </c>
      <c r="M32" s="1">
        <v>3.02</v>
      </c>
    </row>
    <row r="33" ht="15.75" customHeight="1">
      <c r="A33" s="7">
        <v>43936.0</v>
      </c>
      <c r="B33" s="1">
        <v>171.199997</v>
      </c>
      <c r="C33" s="1">
        <v>173.570007</v>
      </c>
      <c r="D33" s="1">
        <v>169.240005</v>
      </c>
      <c r="E33" s="1">
        <v>171.880005</v>
      </c>
      <c r="F33" s="1">
        <v>170.15094</v>
      </c>
      <c r="G33" s="1">
        <v>4.09408E7</v>
      </c>
      <c r="I33" s="1">
        <f t="shared" si="1"/>
        <v>-0.01047768942</v>
      </c>
      <c r="J33" s="1">
        <v>0.0</v>
      </c>
      <c r="K33" s="1">
        <f t="shared" si="2"/>
        <v>-0.01047768942</v>
      </c>
      <c r="L33" s="1">
        <f t="shared" si="3"/>
        <v>-1.047768942</v>
      </c>
      <c r="M33" s="1">
        <v>-2.15</v>
      </c>
    </row>
    <row r="34" ht="15.75" customHeight="1">
      <c r="A34" s="7">
        <v>43937.0</v>
      </c>
      <c r="B34" s="1">
        <v>174.300003</v>
      </c>
      <c r="C34" s="1">
        <v>177.279999</v>
      </c>
      <c r="D34" s="1">
        <v>172.899994</v>
      </c>
      <c r="E34" s="1">
        <v>177.039993</v>
      </c>
      <c r="F34" s="1">
        <v>175.259003</v>
      </c>
      <c r="G34" s="1">
        <v>5.04796E7</v>
      </c>
      <c r="I34" s="1">
        <f t="shared" si="1"/>
        <v>0.0300207745</v>
      </c>
      <c r="J34" s="1">
        <v>0.0</v>
      </c>
      <c r="K34" s="1">
        <f t="shared" si="2"/>
        <v>0.0300207745</v>
      </c>
      <c r="L34" s="1">
        <f t="shared" si="3"/>
        <v>3.00207745</v>
      </c>
      <c r="M34" s="1">
        <v>0.62</v>
      </c>
    </row>
    <row r="35" ht="15.75" customHeight="1">
      <c r="A35" s="7">
        <v>43938.0</v>
      </c>
      <c r="B35" s="1">
        <v>179.5</v>
      </c>
      <c r="C35" s="1">
        <v>180.0</v>
      </c>
      <c r="D35" s="1">
        <v>175.869995</v>
      </c>
      <c r="E35" s="1">
        <v>178.600006</v>
      </c>
      <c r="F35" s="1">
        <v>176.803314</v>
      </c>
      <c r="G35" s="1">
        <v>5.27656E7</v>
      </c>
      <c r="I35" s="1">
        <f t="shared" si="1"/>
        <v>0.008811592977</v>
      </c>
      <c r="J35" s="1">
        <v>0.0</v>
      </c>
      <c r="K35" s="1">
        <f t="shared" si="2"/>
        <v>0.008811592977</v>
      </c>
      <c r="L35" s="1">
        <f t="shared" si="3"/>
        <v>0.8811592977</v>
      </c>
      <c r="M35" s="1">
        <v>2.72</v>
      </c>
    </row>
    <row r="36" ht="15.75" customHeight="1">
      <c r="A36" s="7">
        <v>43941.0</v>
      </c>
      <c r="B36" s="1">
        <v>176.630005</v>
      </c>
      <c r="C36" s="1">
        <v>178.75</v>
      </c>
      <c r="D36" s="1">
        <v>174.990005</v>
      </c>
      <c r="E36" s="1">
        <v>175.059998</v>
      </c>
      <c r="F36" s="1">
        <v>173.298935</v>
      </c>
      <c r="G36" s="1">
        <v>3.66696E7</v>
      </c>
      <c r="I36" s="1">
        <f t="shared" si="1"/>
        <v>-0.01982077666</v>
      </c>
      <c r="J36" s="1">
        <v>0.0</v>
      </c>
      <c r="K36" s="1">
        <f t="shared" si="2"/>
        <v>-0.01982077666</v>
      </c>
      <c r="L36" s="1">
        <f t="shared" si="3"/>
        <v>-1.982077666</v>
      </c>
      <c r="M36" s="1">
        <v>-1.56</v>
      </c>
    </row>
    <row r="37" ht="15.75" customHeight="1">
      <c r="A37" s="7">
        <v>43942.0</v>
      </c>
      <c r="B37" s="1">
        <v>173.5</v>
      </c>
      <c r="C37" s="1">
        <v>173.669998</v>
      </c>
      <c r="D37" s="1">
        <v>166.110001</v>
      </c>
      <c r="E37" s="1">
        <v>167.820007</v>
      </c>
      <c r="F37" s="1">
        <v>166.13176</v>
      </c>
      <c r="G37" s="1">
        <v>5.62037E7</v>
      </c>
      <c r="I37" s="1">
        <f t="shared" si="1"/>
        <v>-0.04135729397</v>
      </c>
      <c r="J37" s="1">
        <v>0.0</v>
      </c>
      <c r="K37" s="1">
        <f t="shared" si="2"/>
        <v>-0.04135729397</v>
      </c>
      <c r="L37" s="1">
        <f t="shared" si="3"/>
        <v>-4.135729397</v>
      </c>
      <c r="M37" s="1">
        <v>-3.08</v>
      </c>
    </row>
    <row r="38" ht="15.75" customHeight="1">
      <c r="A38" s="7">
        <v>43943.0</v>
      </c>
      <c r="B38" s="1">
        <v>171.389999</v>
      </c>
      <c r="C38" s="1">
        <v>174.0</v>
      </c>
      <c r="D38" s="1">
        <v>170.820007</v>
      </c>
      <c r="E38" s="1">
        <v>173.520004</v>
      </c>
      <c r="F38" s="1">
        <v>171.774429</v>
      </c>
      <c r="G38" s="1">
        <v>3.46516E7</v>
      </c>
      <c r="I38" s="1">
        <f t="shared" si="1"/>
        <v>0.0339650227</v>
      </c>
      <c r="J38" s="1">
        <v>0.0</v>
      </c>
      <c r="K38" s="1">
        <f t="shared" si="2"/>
        <v>0.0339650227</v>
      </c>
      <c r="L38" s="1">
        <f t="shared" si="3"/>
        <v>3.39650227</v>
      </c>
      <c r="M38" s="1">
        <v>2.31</v>
      </c>
    </row>
    <row r="39" ht="15.75" customHeight="1">
      <c r="A39" s="7">
        <v>43944.0</v>
      </c>
      <c r="B39" s="1">
        <v>174.110001</v>
      </c>
      <c r="C39" s="1">
        <v>175.059998</v>
      </c>
      <c r="D39" s="1">
        <v>170.910004</v>
      </c>
      <c r="E39" s="1">
        <v>171.419998</v>
      </c>
      <c r="F39" s="1">
        <v>169.695557</v>
      </c>
      <c r="G39" s="1">
        <v>3.27908E7</v>
      </c>
      <c r="I39" s="1">
        <f t="shared" si="1"/>
        <v>-0.01210233684</v>
      </c>
      <c r="J39" s="1">
        <v>0.0</v>
      </c>
      <c r="K39" s="1">
        <f t="shared" si="2"/>
        <v>-0.01210233684</v>
      </c>
      <c r="L39" s="1">
        <f t="shared" si="3"/>
        <v>-1.210233684</v>
      </c>
      <c r="M39" s="1">
        <v>0.13</v>
      </c>
    </row>
    <row r="40" ht="15.75" customHeight="1">
      <c r="A40" s="7">
        <v>43945.0</v>
      </c>
      <c r="B40" s="1">
        <v>172.059998</v>
      </c>
      <c r="C40" s="1">
        <v>174.559998</v>
      </c>
      <c r="D40" s="1">
        <v>170.710007</v>
      </c>
      <c r="E40" s="1">
        <v>174.550003</v>
      </c>
      <c r="F40" s="1">
        <v>172.794067</v>
      </c>
      <c r="G40" s="1">
        <v>3.43053E7</v>
      </c>
      <c r="I40" s="1">
        <f t="shared" si="1"/>
        <v>0.01825922879</v>
      </c>
      <c r="J40" s="1">
        <v>0.0</v>
      </c>
      <c r="K40" s="1">
        <f t="shared" si="2"/>
        <v>0.01825922879</v>
      </c>
      <c r="L40" s="1">
        <f t="shared" si="3"/>
        <v>1.825922879</v>
      </c>
      <c r="M40" s="1">
        <v>1.44</v>
      </c>
    </row>
    <row r="41" ht="15.75" customHeight="1">
      <c r="A41" s="7">
        <v>43948.0</v>
      </c>
      <c r="B41" s="1">
        <v>176.589996</v>
      </c>
      <c r="C41" s="1">
        <v>176.899994</v>
      </c>
      <c r="D41" s="1">
        <v>173.300003</v>
      </c>
      <c r="E41" s="1">
        <v>174.050003</v>
      </c>
      <c r="F41" s="1">
        <v>172.299103</v>
      </c>
      <c r="G41" s="1">
        <v>3.31944E7</v>
      </c>
      <c r="I41" s="1">
        <f t="shared" si="1"/>
        <v>-0.00286447335</v>
      </c>
      <c r="J41" s="1">
        <v>0.0</v>
      </c>
      <c r="K41" s="1">
        <f t="shared" si="2"/>
        <v>-0.00286447335</v>
      </c>
      <c r="L41" s="1">
        <f t="shared" si="3"/>
        <v>-0.286447335</v>
      </c>
      <c r="M41" s="1">
        <v>1.73</v>
      </c>
    </row>
    <row r="42" ht="15.75" customHeight="1">
      <c r="A42" s="7">
        <v>43949.0</v>
      </c>
      <c r="B42" s="1">
        <v>175.589996</v>
      </c>
      <c r="C42" s="1">
        <v>175.669998</v>
      </c>
      <c r="D42" s="1">
        <v>169.389999</v>
      </c>
      <c r="E42" s="1">
        <v>169.809998</v>
      </c>
      <c r="F42" s="1">
        <v>168.10173</v>
      </c>
      <c r="G42" s="1">
        <v>3.43927E7</v>
      </c>
      <c r="I42" s="1">
        <f t="shared" si="1"/>
        <v>-0.02436096838</v>
      </c>
      <c r="J42" s="1">
        <v>0.0</v>
      </c>
      <c r="K42" s="1">
        <f t="shared" si="2"/>
        <v>-0.02436096838</v>
      </c>
      <c r="L42" s="1">
        <f t="shared" si="3"/>
        <v>-2.436096838</v>
      </c>
      <c r="M42" s="1">
        <v>-0.45</v>
      </c>
    </row>
    <row r="43" ht="15.75" customHeight="1">
      <c r="A43" s="7">
        <v>43950.0</v>
      </c>
      <c r="B43" s="1">
        <v>173.220001</v>
      </c>
      <c r="C43" s="1">
        <v>177.679993</v>
      </c>
      <c r="D43" s="1">
        <v>171.880005</v>
      </c>
      <c r="E43" s="1">
        <v>177.429993</v>
      </c>
      <c r="F43" s="1">
        <v>175.645081</v>
      </c>
      <c r="G43" s="1">
        <v>5.12866E7</v>
      </c>
      <c r="I43" s="1">
        <f t="shared" si="1"/>
        <v>0.04487372617</v>
      </c>
      <c r="J43" s="1">
        <v>0.0</v>
      </c>
      <c r="K43" s="1">
        <f t="shared" si="2"/>
        <v>0.04487372617</v>
      </c>
      <c r="L43" s="1">
        <f t="shared" si="3"/>
        <v>4.487372617</v>
      </c>
      <c r="M43" s="1">
        <v>2.92</v>
      </c>
    </row>
    <row r="44" ht="15.75" customHeight="1">
      <c r="A44" s="7">
        <v>43951.0</v>
      </c>
      <c r="B44" s="1">
        <v>180.0</v>
      </c>
      <c r="C44" s="1">
        <v>180.399994</v>
      </c>
      <c r="D44" s="1">
        <v>176.229996</v>
      </c>
      <c r="E44" s="1">
        <v>179.210007</v>
      </c>
      <c r="F44" s="1">
        <v>177.407196</v>
      </c>
      <c r="G44" s="1">
        <v>5.38759E7</v>
      </c>
      <c r="I44" s="1">
        <f t="shared" si="1"/>
        <v>0.01003224793</v>
      </c>
      <c r="J44" s="1">
        <v>0.0</v>
      </c>
      <c r="K44" s="1">
        <f t="shared" si="2"/>
        <v>0.01003224793</v>
      </c>
      <c r="L44" s="1">
        <f t="shared" si="3"/>
        <v>1.003224793</v>
      </c>
      <c r="M44" s="1">
        <v>-1.18</v>
      </c>
    </row>
    <row r="45" ht="15.75" customHeight="1">
      <c r="A45" s="7">
        <v>43952.0</v>
      </c>
      <c r="B45" s="1">
        <v>175.800003</v>
      </c>
      <c r="C45" s="1">
        <v>178.639999</v>
      </c>
      <c r="D45" s="1">
        <v>174.009995</v>
      </c>
      <c r="E45" s="1">
        <v>174.570007</v>
      </c>
      <c r="F45" s="1">
        <v>172.813858</v>
      </c>
      <c r="G45" s="1">
        <v>3.93705E7</v>
      </c>
      <c r="I45" s="1">
        <f t="shared" si="1"/>
        <v>-0.02589149766</v>
      </c>
      <c r="J45" s="1">
        <v>0.0</v>
      </c>
      <c r="K45" s="1">
        <f t="shared" si="2"/>
        <v>-0.02589149766</v>
      </c>
      <c r="L45" s="1">
        <f t="shared" si="3"/>
        <v>-2.589149766</v>
      </c>
      <c r="M45" s="1">
        <v>-2.91</v>
      </c>
    </row>
    <row r="46" ht="15.75" customHeight="1">
      <c r="A46" s="7">
        <v>43955.0</v>
      </c>
      <c r="B46" s="1">
        <v>174.490005</v>
      </c>
      <c r="C46" s="1">
        <v>179.0</v>
      </c>
      <c r="D46" s="1">
        <v>173.800003</v>
      </c>
      <c r="E46" s="1">
        <v>178.839996</v>
      </c>
      <c r="F46" s="1">
        <v>177.040894</v>
      </c>
      <c r="G46" s="1">
        <v>3.03729E7</v>
      </c>
      <c r="I46" s="1">
        <f t="shared" si="1"/>
        <v>0.02446005227</v>
      </c>
      <c r="J46" s="1">
        <v>0.0</v>
      </c>
      <c r="K46" s="1">
        <f t="shared" si="2"/>
        <v>0.02446005227</v>
      </c>
      <c r="L46" s="1">
        <f t="shared" si="3"/>
        <v>2.446005227</v>
      </c>
      <c r="M46" s="1">
        <v>0.53</v>
      </c>
    </row>
    <row r="47" ht="15.75" customHeight="1">
      <c r="A47" s="7">
        <v>43956.0</v>
      </c>
      <c r="B47" s="1">
        <v>180.619995</v>
      </c>
      <c r="C47" s="1">
        <v>183.649994</v>
      </c>
      <c r="D47" s="1">
        <v>179.899994</v>
      </c>
      <c r="E47" s="1">
        <v>180.759995</v>
      </c>
      <c r="F47" s="1">
        <v>178.941589</v>
      </c>
      <c r="G47" s="1">
        <v>3.68392E7</v>
      </c>
      <c r="I47" s="1">
        <f t="shared" si="1"/>
        <v>0.01073590941</v>
      </c>
      <c r="J47" s="1">
        <v>0.0</v>
      </c>
      <c r="K47" s="1">
        <f t="shared" si="2"/>
        <v>0.01073590941</v>
      </c>
      <c r="L47" s="1">
        <f t="shared" si="3"/>
        <v>1.073590941</v>
      </c>
      <c r="M47" s="1">
        <v>0.95</v>
      </c>
    </row>
    <row r="48" ht="15.75" customHeight="1">
      <c r="A48" s="7">
        <v>43957.0</v>
      </c>
      <c r="B48" s="1">
        <v>182.080002</v>
      </c>
      <c r="C48" s="1">
        <v>184.199997</v>
      </c>
      <c r="D48" s="1">
        <v>181.630005</v>
      </c>
      <c r="E48" s="1">
        <v>182.539993</v>
      </c>
      <c r="F48" s="1">
        <v>180.703674</v>
      </c>
      <c r="G48" s="1">
        <v>3.21393E7</v>
      </c>
      <c r="I48" s="1">
        <f t="shared" si="1"/>
        <v>0.009847263623</v>
      </c>
      <c r="J48" s="1">
        <v>0.0</v>
      </c>
      <c r="K48" s="1">
        <f t="shared" si="2"/>
        <v>0.009847263623</v>
      </c>
      <c r="L48" s="1">
        <f t="shared" si="3"/>
        <v>0.9847263623</v>
      </c>
      <c r="M48" s="1">
        <v>-0.52</v>
      </c>
    </row>
    <row r="49" ht="15.75" customHeight="1">
      <c r="A49" s="7">
        <v>43958.0</v>
      </c>
      <c r="B49" s="1">
        <v>184.169998</v>
      </c>
      <c r="C49" s="1">
        <v>184.550003</v>
      </c>
      <c r="D49" s="1">
        <v>182.580002</v>
      </c>
      <c r="E49" s="1">
        <v>183.600006</v>
      </c>
      <c r="F49" s="1">
        <v>181.753021</v>
      </c>
      <c r="G49" s="1">
        <v>2.8316E7</v>
      </c>
      <c r="I49" s="1">
        <f t="shared" si="1"/>
        <v>0.005807004234</v>
      </c>
      <c r="J49" s="1">
        <v>0.0</v>
      </c>
      <c r="K49" s="1">
        <f t="shared" si="2"/>
        <v>0.005807004234</v>
      </c>
      <c r="L49" s="1">
        <f t="shared" si="3"/>
        <v>0.5807004234</v>
      </c>
      <c r="M49" s="1">
        <v>1.33</v>
      </c>
    </row>
    <row r="50" ht="15.75" customHeight="1">
      <c r="A50" s="7">
        <v>43959.0</v>
      </c>
      <c r="B50" s="1">
        <v>184.979996</v>
      </c>
      <c r="C50" s="1">
        <v>185.0</v>
      </c>
      <c r="D50" s="1">
        <v>183.360001</v>
      </c>
      <c r="E50" s="1">
        <v>184.679993</v>
      </c>
      <c r="F50" s="1">
        <v>182.822144</v>
      </c>
      <c r="G50" s="1">
        <v>3.09126E7</v>
      </c>
      <c r="I50" s="1">
        <f t="shared" si="1"/>
        <v>0.00588228462</v>
      </c>
      <c r="J50" s="1">
        <v>0.0</v>
      </c>
      <c r="K50" s="1">
        <f t="shared" si="2"/>
        <v>0.00588228462</v>
      </c>
      <c r="L50" s="1">
        <f t="shared" si="3"/>
        <v>0.588228462</v>
      </c>
      <c r="M50" s="1">
        <v>1.9</v>
      </c>
    </row>
    <row r="51" ht="15.75" customHeight="1">
      <c r="A51" s="7">
        <v>43962.0</v>
      </c>
      <c r="B51" s="1">
        <v>183.149994</v>
      </c>
      <c r="C51" s="1">
        <v>187.509995</v>
      </c>
      <c r="D51" s="1">
        <v>182.850006</v>
      </c>
      <c r="E51" s="1">
        <v>186.740005</v>
      </c>
      <c r="F51" s="1">
        <v>184.861435</v>
      </c>
      <c r="G51" s="1">
        <v>3.08927E7</v>
      </c>
      <c r="I51" s="1">
        <f t="shared" si="1"/>
        <v>0.01115450763</v>
      </c>
      <c r="J51" s="1">
        <v>0.0</v>
      </c>
      <c r="K51" s="1">
        <f t="shared" si="2"/>
        <v>0.01115450763</v>
      </c>
      <c r="L51" s="1">
        <f t="shared" si="3"/>
        <v>1.115450763</v>
      </c>
      <c r="M51" s="1">
        <v>0.07</v>
      </c>
    </row>
    <row r="52" ht="15.75" customHeight="1">
      <c r="A52" s="7">
        <v>43963.0</v>
      </c>
      <c r="B52" s="1">
        <v>186.800003</v>
      </c>
      <c r="C52" s="1">
        <v>187.039993</v>
      </c>
      <c r="D52" s="1">
        <v>182.300003</v>
      </c>
      <c r="E52" s="1">
        <v>182.509995</v>
      </c>
      <c r="F52" s="1">
        <v>180.673965</v>
      </c>
      <c r="G52" s="1">
        <v>3.20382E7</v>
      </c>
      <c r="I52" s="1">
        <f t="shared" si="1"/>
        <v>-0.02265193928</v>
      </c>
      <c r="J52" s="1">
        <v>0.0</v>
      </c>
      <c r="K52" s="1">
        <f t="shared" si="2"/>
        <v>-0.02265193928</v>
      </c>
      <c r="L52" s="1">
        <f t="shared" si="3"/>
        <v>-2.265193928</v>
      </c>
      <c r="M52" s="1">
        <v>-2.06</v>
      </c>
    </row>
    <row r="53" ht="15.75" customHeight="1">
      <c r="A53" s="7">
        <v>43964.0</v>
      </c>
      <c r="B53" s="1">
        <v>182.550003</v>
      </c>
      <c r="C53" s="1">
        <v>184.050003</v>
      </c>
      <c r="D53" s="1">
        <v>176.539993</v>
      </c>
      <c r="E53" s="1">
        <v>179.75</v>
      </c>
      <c r="F53" s="1">
        <v>177.941742</v>
      </c>
      <c r="G53" s="1">
        <v>4.47115E7</v>
      </c>
      <c r="I53" s="1">
        <f t="shared" si="1"/>
        <v>-0.01512239464</v>
      </c>
      <c r="J53" s="1">
        <v>0.0</v>
      </c>
      <c r="K53" s="1">
        <f t="shared" si="2"/>
        <v>-0.01512239464</v>
      </c>
      <c r="L53" s="1">
        <f t="shared" si="3"/>
        <v>-1.512239464</v>
      </c>
      <c r="M53" s="1">
        <v>-1.89</v>
      </c>
    </row>
    <row r="54" ht="15.75" customHeight="1">
      <c r="A54" s="7">
        <v>43965.0</v>
      </c>
      <c r="B54" s="1">
        <v>177.539993</v>
      </c>
      <c r="C54" s="1">
        <v>180.690002</v>
      </c>
      <c r="D54" s="1">
        <v>175.679993</v>
      </c>
      <c r="E54" s="1">
        <v>180.529999</v>
      </c>
      <c r="F54" s="1">
        <v>178.713898</v>
      </c>
      <c r="G54" s="1">
        <v>4.18739E7</v>
      </c>
      <c r="I54" s="1">
        <f t="shared" si="1"/>
        <v>0.0043393753</v>
      </c>
      <c r="J54" s="1">
        <v>0.0</v>
      </c>
      <c r="K54" s="1">
        <f t="shared" si="2"/>
        <v>0.0043393753</v>
      </c>
      <c r="L54" s="1">
        <f t="shared" si="3"/>
        <v>0.43393753</v>
      </c>
      <c r="M54" s="1">
        <v>1.14</v>
      </c>
    </row>
    <row r="55" ht="15.75" customHeight="1">
      <c r="A55" s="7">
        <v>43966.0</v>
      </c>
      <c r="B55" s="1">
        <v>179.059998</v>
      </c>
      <c r="C55" s="1">
        <v>187.059998</v>
      </c>
      <c r="D55" s="1">
        <v>177.0</v>
      </c>
      <c r="E55" s="1">
        <v>183.160004</v>
      </c>
      <c r="F55" s="1">
        <v>181.317429</v>
      </c>
      <c r="G55" s="1">
        <v>4.66104E7</v>
      </c>
      <c r="I55" s="1">
        <f t="shared" si="1"/>
        <v>0.01456815071</v>
      </c>
      <c r="J55" s="1">
        <v>0.0</v>
      </c>
      <c r="K55" s="1">
        <f t="shared" si="2"/>
        <v>0.01456815071</v>
      </c>
      <c r="L55" s="1">
        <f t="shared" si="3"/>
        <v>1.456815071</v>
      </c>
      <c r="M55" s="1">
        <v>0.57</v>
      </c>
    </row>
    <row r="56" ht="15.75" customHeight="1">
      <c r="A56" s="7">
        <v>43969.0</v>
      </c>
      <c r="B56" s="1">
        <v>185.75</v>
      </c>
      <c r="C56" s="1">
        <v>186.199997</v>
      </c>
      <c r="D56" s="1">
        <v>183.960007</v>
      </c>
      <c r="E56" s="1">
        <v>184.910004</v>
      </c>
      <c r="F56" s="1">
        <v>183.04985</v>
      </c>
      <c r="G56" s="1">
        <v>3.53066E7</v>
      </c>
      <c r="I56" s="1">
        <f t="shared" si="1"/>
        <v>0.009554630294</v>
      </c>
      <c r="J56" s="1">
        <v>0.0</v>
      </c>
      <c r="K56" s="1">
        <f t="shared" si="2"/>
        <v>0.009554630294</v>
      </c>
      <c r="L56" s="1">
        <f t="shared" si="3"/>
        <v>0.9554630294</v>
      </c>
      <c r="M56" s="1">
        <v>3.24</v>
      </c>
    </row>
    <row r="57" ht="15.75" customHeight="1">
      <c r="A57" s="7">
        <v>43970.0</v>
      </c>
      <c r="B57" s="1">
        <v>185.029999</v>
      </c>
      <c r="C57" s="1">
        <v>186.600006</v>
      </c>
      <c r="D57" s="1">
        <v>183.490005</v>
      </c>
      <c r="E57" s="1">
        <v>183.630005</v>
      </c>
      <c r="F57" s="1">
        <v>181.78273</v>
      </c>
      <c r="G57" s="1">
        <v>2.67991E7</v>
      </c>
      <c r="I57" s="1">
        <f t="shared" si="1"/>
        <v>-0.00692226735</v>
      </c>
      <c r="J57" s="1">
        <v>0.0</v>
      </c>
      <c r="K57" s="1">
        <f t="shared" si="2"/>
        <v>-0.00692226735</v>
      </c>
      <c r="L57" s="1">
        <f t="shared" si="3"/>
        <v>-0.692226735</v>
      </c>
      <c r="M57" s="1">
        <v>-1.01</v>
      </c>
    </row>
    <row r="58" ht="15.75" customHeight="1">
      <c r="A58" s="7">
        <v>43971.0</v>
      </c>
      <c r="B58" s="1">
        <v>184.809998</v>
      </c>
      <c r="C58" s="1">
        <v>185.850006</v>
      </c>
      <c r="D58" s="1">
        <v>183.940002</v>
      </c>
      <c r="E58" s="1">
        <v>185.660004</v>
      </c>
      <c r="F58" s="1">
        <v>184.304169</v>
      </c>
      <c r="G58" s="1">
        <v>3.12613E7</v>
      </c>
      <c r="I58" s="1">
        <f t="shared" si="1"/>
        <v>0.01387061906</v>
      </c>
      <c r="J58" s="1">
        <v>0.0</v>
      </c>
      <c r="K58" s="1">
        <f t="shared" si="2"/>
        <v>0.01387061906</v>
      </c>
      <c r="L58" s="1">
        <f t="shared" si="3"/>
        <v>1.387061906</v>
      </c>
      <c r="M58" s="1">
        <v>1.8</v>
      </c>
    </row>
    <row r="59" ht="15.75" customHeight="1">
      <c r="A59" s="7">
        <v>43972.0</v>
      </c>
      <c r="B59" s="1">
        <v>185.399994</v>
      </c>
      <c r="C59" s="1">
        <v>186.669998</v>
      </c>
      <c r="D59" s="1">
        <v>183.289993</v>
      </c>
      <c r="E59" s="1">
        <v>183.429993</v>
      </c>
      <c r="F59" s="1">
        <v>182.090454</v>
      </c>
      <c r="G59" s="1">
        <v>2.91195E7</v>
      </c>
      <c r="I59" s="1">
        <f t="shared" si="1"/>
        <v>-0.01201120415</v>
      </c>
      <c r="J59" s="1">
        <v>0.0</v>
      </c>
      <c r="K59" s="1">
        <f t="shared" si="2"/>
        <v>-0.01201120415</v>
      </c>
      <c r="L59" s="1">
        <f t="shared" si="3"/>
        <v>-1.201120415</v>
      </c>
      <c r="M59" s="1">
        <v>-0.7</v>
      </c>
    </row>
    <row r="60" ht="15.75" customHeight="1">
      <c r="A60" s="7">
        <v>43973.0</v>
      </c>
      <c r="B60" s="1">
        <v>183.190002</v>
      </c>
      <c r="C60" s="1">
        <v>184.460007</v>
      </c>
      <c r="D60" s="1">
        <v>182.539993</v>
      </c>
      <c r="E60" s="1">
        <v>183.509995</v>
      </c>
      <c r="F60" s="1">
        <v>182.169861</v>
      </c>
      <c r="G60" s="1">
        <v>2.08269E7</v>
      </c>
      <c r="I60" s="1">
        <f t="shared" si="1"/>
        <v>0.0004360854633</v>
      </c>
      <c r="J60" s="1">
        <v>0.0</v>
      </c>
      <c r="K60" s="1">
        <f t="shared" si="2"/>
        <v>0.0004360854633</v>
      </c>
      <c r="L60" s="1">
        <f t="shared" si="3"/>
        <v>0.04360854633</v>
      </c>
      <c r="M60" s="1">
        <v>0.27</v>
      </c>
    </row>
    <row r="61" ht="15.75" customHeight="1">
      <c r="A61" s="7">
        <v>43977.0</v>
      </c>
      <c r="B61" s="1">
        <v>186.339996</v>
      </c>
      <c r="C61" s="1">
        <v>186.5</v>
      </c>
      <c r="D61" s="1">
        <v>181.100006</v>
      </c>
      <c r="E61" s="1">
        <v>181.570007</v>
      </c>
      <c r="F61" s="1">
        <v>180.244049</v>
      </c>
      <c r="G61" s="1">
        <v>3.60736E7</v>
      </c>
      <c r="I61" s="1">
        <f t="shared" si="1"/>
        <v>-0.01057151819</v>
      </c>
      <c r="J61" s="1">
        <v>0.0</v>
      </c>
      <c r="K61" s="1">
        <f t="shared" si="2"/>
        <v>-0.01057151819</v>
      </c>
      <c r="L61" s="1">
        <f t="shared" si="3"/>
        <v>-1.057151819</v>
      </c>
      <c r="M61" s="1">
        <v>1.23</v>
      </c>
    </row>
    <row r="62" ht="15.75" customHeight="1">
      <c r="A62" s="7">
        <v>43978.0</v>
      </c>
      <c r="B62" s="1">
        <v>180.199997</v>
      </c>
      <c r="C62" s="1">
        <v>181.990005</v>
      </c>
      <c r="D62" s="1">
        <v>176.600006</v>
      </c>
      <c r="E62" s="1">
        <v>181.809998</v>
      </c>
      <c r="F62" s="1">
        <v>180.482285</v>
      </c>
      <c r="G62" s="1">
        <v>3.95171E7</v>
      </c>
      <c r="I62" s="1">
        <f t="shared" si="1"/>
        <v>0.00132174128</v>
      </c>
      <c r="J62" s="1">
        <v>0.0</v>
      </c>
      <c r="K62" s="1">
        <f t="shared" si="2"/>
        <v>0.00132174128</v>
      </c>
      <c r="L62" s="1">
        <f t="shared" si="3"/>
        <v>0.132174128</v>
      </c>
      <c r="M62" s="1">
        <v>1.54</v>
      </c>
    </row>
    <row r="63" ht="15.75" customHeight="1">
      <c r="A63" s="7">
        <v>43979.0</v>
      </c>
      <c r="B63" s="1">
        <v>180.740005</v>
      </c>
      <c r="C63" s="1">
        <v>184.149994</v>
      </c>
      <c r="D63" s="1">
        <v>180.380005</v>
      </c>
      <c r="E63" s="1">
        <v>181.399994</v>
      </c>
      <c r="F63" s="1">
        <v>180.075272</v>
      </c>
      <c r="G63" s="1">
        <v>3.38102E7</v>
      </c>
      <c r="I63" s="1">
        <f t="shared" si="1"/>
        <v>-0.002255140996</v>
      </c>
      <c r="J63" s="1">
        <v>0.0</v>
      </c>
      <c r="K63" s="1">
        <f t="shared" si="2"/>
        <v>-0.002255140996</v>
      </c>
      <c r="L63" s="1">
        <f t="shared" si="3"/>
        <v>-0.2255140996</v>
      </c>
      <c r="M63" s="1">
        <v>-0.41</v>
      </c>
    </row>
    <row r="64" ht="15.75" customHeight="1">
      <c r="A64" s="7">
        <v>43980.0</v>
      </c>
      <c r="B64" s="1">
        <v>182.729996</v>
      </c>
      <c r="C64" s="1">
        <v>184.270004</v>
      </c>
      <c r="D64" s="1">
        <v>180.410004</v>
      </c>
      <c r="E64" s="1">
        <v>183.25</v>
      </c>
      <c r="F64" s="1">
        <v>181.911774</v>
      </c>
      <c r="G64" s="1">
        <v>4.21467E7</v>
      </c>
      <c r="I64" s="1">
        <f t="shared" si="1"/>
        <v>0.01019852409</v>
      </c>
      <c r="J64" s="1">
        <v>0.0</v>
      </c>
      <c r="K64" s="1">
        <f t="shared" si="2"/>
        <v>0.01019852409</v>
      </c>
      <c r="L64" s="1">
        <f t="shared" si="3"/>
        <v>1.019852409</v>
      </c>
      <c r="M64" s="1">
        <v>0.6</v>
      </c>
    </row>
    <row r="65" ht="15.75" customHeight="1">
      <c r="A65" s="7">
        <v>43983.0</v>
      </c>
      <c r="B65" s="1">
        <v>182.539993</v>
      </c>
      <c r="C65" s="1">
        <v>183.0</v>
      </c>
      <c r="D65" s="1">
        <v>181.460007</v>
      </c>
      <c r="E65" s="1">
        <v>182.830002</v>
      </c>
      <c r="F65" s="1">
        <v>181.494843</v>
      </c>
      <c r="G65" s="1">
        <v>2.26224E7</v>
      </c>
      <c r="I65" s="1">
        <f t="shared" si="1"/>
        <v>-0.002291940707</v>
      </c>
      <c r="J65" s="1">
        <v>0.0</v>
      </c>
      <c r="K65" s="1">
        <f t="shared" si="2"/>
        <v>-0.002291940707</v>
      </c>
      <c r="L65" s="1">
        <f t="shared" si="3"/>
        <v>-0.2291940707</v>
      </c>
      <c r="M65" s="1">
        <v>0.52</v>
      </c>
    </row>
    <row r="66" ht="15.75" customHeight="1">
      <c r="A66" s="7">
        <v>43984.0</v>
      </c>
      <c r="B66" s="1">
        <v>184.25</v>
      </c>
      <c r="C66" s="1">
        <v>185.0</v>
      </c>
      <c r="D66" s="1">
        <v>181.350006</v>
      </c>
      <c r="E66" s="1">
        <v>184.910004</v>
      </c>
      <c r="F66" s="1">
        <v>183.559647</v>
      </c>
      <c r="G66" s="1">
        <v>3.07946E7</v>
      </c>
      <c r="I66" s="1">
        <f t="shared" si="1"/>
        <v>0.01137665383</v>
      </c>
      <c r="J66" s="1">
        <v>0.0</v>
      </c>
      <c r="K66" s="1">
        <f t="shared" si="2"/>
        <v>0.01137665383</v>
      </c>
      <c r="L66" s="1">
        <f t="shared" si="3"/>
        <v>1.137665383</v>
      </c>
      <c r="M66" s="1">
        <v>0.81</v>
      </c>
    </row>
    <row r="67" ht="15.75" customHeight="1">
      <c r="A67" s="7">
        <v>43985.0</v>
      </c>
      <c r="B67" s="1">
        <v>184.820007</v>
      </c>
      <c r="C67" s="1">
        <v>185.940002</v>
      </c>
      <c r="D67" s="1">
        <v>183.580002</v>
      </c>
      <c r="E67" s="1">
        <v>185.360001</v>
      </c>
      <c r="F67" s="1">
        <v>184.006378</v>
      </c>
      <c r="G67" s="1">
        <v>2.7311E7</v>
      </c>
      <c r="I67" s="1">
        <f t="shared" si="1"/>
        <v>0.002433710281</v>
      </c>
      <c r="J67" s="1">
        <v>0.0</v>
      </c>
      <c r="K67" s="1">
        <f t="shared" si="2"/>
        <v>0.002433710281</v>
      </c>
      <c r="L67" s="1">
        <f t="shared" si="3"/>
        <v>0.2433710281</v>
      </c>
      <c r="M67" s="1">
        <v>1.42</v>
      </c>
    </row>
    <row r="68" ht="15.75" customHeight="1">
      <c r="A68" s="7">
        <v>43986.0</v>
      </c>
      <c r="B68" s="1">
        <v>184.300003</v>
      </c>
      <c r="C68" s="1">
        <v>185.839996</v>
      </c>
      <c r="D68" s="1">
        <v>182.300003</v>
      </c>
      <c r="E68" s="1">
        <v>182.919998</v>
      </c>
      <c r="F68" s="1">
        <v>181.584167</v>
      </c>
      <c r="G68" s="1">
        <v>2.87618E7</v>
      </c>
      <c r="I68" s="1">
        <f t="shared" si="1"/>
        <v>-0.01316373392</v>
      </c>
      <c r="J68" s="1">
        <v>0.0</v>
      </c>
      <c r="K68" s="1">
        <f t="shared" si="2"/>
        <v>-0.01316373392</v>
      </c>
      <c r="L68" s="1">
        <f t="shared" si="3"/>
        <v>-1.316373392</v>
      </c>
      <c r="M68" s="1">
        <v>-0.34</v>
      </c>
    </row>
    <row r="69" ht="15.75" customHeight="1">
      <c r="A69" s="7">
        <v>43987.0</v>
      </c>
      <c r="B69" s="1">
        <v>182.619995</v>
      </c>
      <c r="C69" s="1">
        <v>187.729996</v>
      </c>
      <c r="D69" s="1">
        <v>182.009995</v>
      </c>
      <c r="E69" s="1">
        <v>187.199997</v>
      </c>
      <c r="F69" s="1">
        <v>185.832916</v>
      </c>
      <c r="G69" s="1">
        <v>3.98936E7</v>
      </c>
      <c r="I69" s="1">
        <f t="shared" si="1"/>
        <v>0.02339823494</v>
      </c>
      <c r="J69" s="1">
        <v>0.0</v>
      </c>
      <c r="K69" s="1">
        <f t="shared" si="2"/>
        <v>0.02339823494</v>
      </c>
      <c r="L69" s="1">
        <f t="shared" si="3"/>
        <v>2.339823494</v>
      </c>
      <c r="M69" s="1">
        <v>2.5</v>
      </c>
    </row>
    <row r="70" ht="15.75" customHeight="1">
      <c r="A70" s="7">
        <v>43990.0</v>
      </c>
      <c r="B70" s="1">
        <v>185.940002</v>
      </c>
      <c r="C70" s="1">
        <v>188.550003</v>
      </c>
      <c r="D70" s="1">
        <v>184.440002</v>
      </c>
      <c r="E70" s="1">
        <v>188.360001</v>
      </c>
      <c r="F70" s="1">
        <v>186.984451</v>
      </c>
      <c r="G70" s="1">
        <v>3.32116E7</v>
      </c>
      <c r="I70" s="1">
        <f t="shared" si="1"/>
        <v>0.006196614813</v>
      </c>
      <c r="J70" s="1">
        <v>0.0</v>
      </c>
      <c r="K70" s="1">
        <f t="shared" si="2"/>
        <v>0.006196614813</v>
      </c>
      <c r="L70" s="1">
        <f t="shared" si="3"/>
        <v>0.6196614813</v>
      </c>
      <c r="M70" s="1">
        <v>1.39</v>
      </c>
    </row>
    <row r="71" ht="15.75" customHeight="1">
      <c r="A71" s="7">
        <v>43991.0</v>
      </c>
      <c r="B71" s="1">
        <v>188.0</v>
      </c>
      <c r="C71" s="1">
        <v>190.699997</v>
      </c>
      <c r="D71" s="1">
        <v>187.259995</v>
      </c>
      <c r="E71" s="1">
        <v>189.800003</v>
      </c>
      <c r="F71" s="1">
        <v>188.41394</v>
      </c>
      <c r="G71" s="1">
        <v>2.97839E7</v>
      </c>
      <c r="I71" s="1">
        <f t="shared" si="1"/>
        <v>0.00764496188</v>
      </c>
      <c r="J71" s="1">
        <v>0.0</v>
      </c>
      <c r="K71" s="1">
        <f t="shared" si="2"/>
        <v>0.00764496188</v>
      </c>
      <c r="L71" s="1">
        <f t="shared" si="3"/>
        <v>0.764496188</v>
      </c>
      <c r="M71" s="1">
        <v>-0.85</v>
      </c>
    </row>
    <row r="72" ht="15.75" customHeight="1">
      <c r="A72" s="7">
        <v>43992.0</v>
      </c>
      <c r="B72" s="1">
        <v>191.130005</v>
      </c>
      <c r="C72" s="1">
        <v>198.520004</v>
      </c>
      <c r="D72" s="1">
        <v>191.009995</v>
      </c>
      <c r="E72" s="1">
        <v>196.839996</v>
      </c>
      <c r="F72" s="1">
        <v>195.402527</v>
      </c>
      <c r="G72" s="1">
        <v>4.38723E7</v>
      </c>
      <c r="I72" s="1">
        <f t="shared" si="1"/>
        <v>0.03709166636</v>
      </c>
      <c r="J72" s="1">
        <v>0.0</v>
      </c>
      <c r="K72" s="1">
        <f t="shared" si="2"/>
        <v>0.03709166636</v>
      </c>
      <c r="L72" s="1">
        <f t="shared" si="3"/>
        <v>3.709166636</v>
      </c>
      <c r="M72" s="1">
        <v>-0.56</v>
      </c>
    </row>
    <row r="73" ht="15.75" customHeight="1">
      <c r="A73" s="7">
        <v>43993.0</v>
      </c>
      <c r="B73" s="1">
        <v>193.130005</v>
      </c>
      <c r="C73" s="1">
        <v>195.759995</v>
      </c>
      <c r="D73" s="1">
        <v>186.070007</v>
      </c>
      <c r="E73" s="1">
        <v>186.270004</v>
      </c>
      <c r="F73" s="1">
        <v>184.909714</v>
      </c>
      <c r="G73" s="1">
        <v>5.28547E7</v>
      </c>
      <c r="I73" s="1">
        <f t="shared" si="1"/>
        <v>-0.05369845089</v>
      </c>
      <c r="J73" s="1">
        <v>0.0</v>
      </c>
      <c r="K73" s="1">
        <f t="shared" si="2"/>
        <v>-0.05369845089</v>
      </c>
      <c r="L73" s="1">
        <f t="shared" si="3"/>
        <v>-5.369845089</v>
      </c>
      <c r="M73" s="1">
        <v>-5.91</v>
      </c>
    </row>
    <row r="74" ht="15.75" customHeight="1">
      <c r="A74" s="7">
        <v>43994.0</v>
      </c>
      <c r="B74" s="1">
        <v>190.539993</v>
      </c>
      <c r="C74" s="1">
        <v>191.720001</v>
      </c>
      <c r="D74" s="1">
        <v>185.179993</v>
      </c>
      <c r="E74" s="1">
        <v>187.740005</v>
      </c>
      <c r="F74" s="1">
        <v>186.368973</v>
      </c>
      <c r="G74" s="1">
        <v>4.33736E7</v>
      </c>
      <c r="I74" s="1">
        <f t="shared" si="1"/>
        <v>0.007891737911</v>
      </c>
      <c r="J74" s="1">
        <v>0.0</v>
      </c>
      <c r="K74" s="1">
        <f t="shared" si="2"/>
        <v>0.007891737911</v>
      </c>
      <c r="L74" s="1">
        <f t="shared" si="3"/>
        <v>0.7891737911</v>
      </c>
      <c r="M74" s="1">
        <v>1.29</v>
      </c>
    </row>
    <row r="75" ht="15.75" customHeight="1">
      <c r="A75" s="7">
        <v>43997.0</v>
      </c>
      <c r="B75" s="1">
        <v>184.580002</v>
      </c>
      <c r="C75" s="1">
        <v>190.820007</v>
      </c>
      <c r="D75" s="1">
        <v>184.009995</v>
      </c>
      <c r="E75" s="1">
        <v>188.940002</v>
      </c>
      <c r="F75" s="1">
        <v>187.560226</v>
      </c>
      <c r="G75" s="1">
        <v>3.27702E7</v>
      </c>
      <c r="I75" s="1">
        <f t="shared" si="1"/>
        <v>0.006391906232</v>
      </c>
      <c r="J75" s="1">
        <v>0.0</v>
      </c>
      <c r="K75" s="1">
        <f t="shared" si="2"/>
        <v>0.006391906232</v>
      </c>
      <c r="L75" s="1">
        <f t="shared" si="3"/>
        <v>0.6391906232</v>
      </c>
      <c r="M75" s="1">
        <v>1.09</v>
      </c>
    </row>
    <row r="76" ht="15.75" customHeight="1">
      <c r="A76" s="7">
        <v>43998.0</v>
      </c>
      <c r="B76" s="1">
        <v>192.889999</v>
      </c>
      <c r="C76" s="1">
        <v>195.580002</v>
      </c>
      <c r="D76" s="1">
        <v>191.460007</v>
      </c>
      <c r="E76" s="1">
        <v>193.570007</v>
      </c>
      <c r="F76" s="1">
        <v>192.156418</v>
      </c>
      <c r="G76" s="1">
        <v>4.25567E7</v>
      </c>
      <c r="I76" s="1">
        <f t="shared" si="1"/>
        <v>0.02450515281</v>
      </c>
      <c r="J76" s="1">
        <v>0.0</v>
      </c>
      <c r="K76" s="1">
        <f t="shared" si="2"/>
        <v>0.02450515281</v>
      </c>
      <c r="L76" s="1">
        <f t="shared" si="3"/>
        <v>2.450515281</v>
      </c>
      <c r="M76" s="1">
        <v>1.86</v>
      </c>
    </row>
    <row r="77" ht="15.75" customHeight="1">
      <c r="A77" s="7">
        <v>43999.0</v>
      </c>
      <c r="B77" s="1">
        <v>195.029999</v>
      </c>
      <c r="C77" s="1">
        <v>196.320007</v>
      </c>
      <c r="D77" s="1">
        <v>193.690002</v>
      </c>
      <c r="E77" s="1">
        <v>194.240005</v>
      </c>
      <c r="F77" s="1">
        <v>192.821518</v>
      </c>
      <c r="G77" s="1">
        <v>2.56878E7</v>
      </c>
      <c r="I77" s="1">
        <f t="shared" si="1"/>
        <v>0.003461242705</v>
      </c>
      <c r="J77" s="1">
        <v>0.0</v>
      </c>
      <c r="K77" s="1">
        <f t="shared" si="2"/>
        <v>0.003461242705</v>
      </c>
      <c r="L77" s="1">
        <f t="shared" si="3"/>
        <v>0.3461242705</v>
      </c>
      <c r="M77" s="1">
        <v>-0.4</v>
      </c>
    </row>
    <row r="78" ht="15.75" customHeight="1">
      <c r="A78" s="7">
        <v>44000.0</v>
      </c>
      <c r="B78" s="1">
        <v>194.0</v>
      </c>
      <c r="C78" s="1">
        <v>196.490005</v>
      </c>
      <c r="D78" s="1">
        <v>194.0</v>
      </c>
      <c r="E78" s="1">
        <v>196.320007</v>
      </c>
      <c r="F78" s="1">
        <v>194.886337</v>
      </c>
      <c r="G78" s="1">
        <v>2.30616E7</v>
      </c>
      <c r="I78" s="1">
        <f t="shared" si="1"/>
        <v>0.01070844697</v>
      </c>
      <c r="J78" s="1">
        <v>0.0</v>
      </c>
      <c r="K78" s="1">
        <f t="shared" si="2"/>
        <v>0.01070844697</v>
      </c>
      <c r="L78" s="1">
        <f t="shared" si="3"/>
        <v>1.070844697</v>
      </c>
      <c r="M78" s="1">
        <v>0.19</v>
      </c>
    </row>
    <row r="79" ht="15.75" customHeight="1">
      <c r="A79" s="7">
        <v>44001.0</v>
      </c>
      <c r="B79" s="1">
        <v>198.589996</v>
      </c>
      <c r="C79" s="1">
        <v>199.289993</v>
      </c>
      <c r="D79" s="1">
        <v>194.369995</v>
      </c>
      <c r="E79" s="1">
        <v>195.149994</v>
      </c>
      <c r="F79" s="1">
        <v>193.724854</v>
      </c>
      <c r="G79" s="1">
        <v>4.44411E7</v>
      </c>
      <c r="I79" s="1">
        <f t="shared" si="1"/>
        <v>-0.005959796966</v>
      </c>
      <c r="J79" s="1">
        <v>0.0</v>
      </c>
      <c r="K79" s="1">
        <f t="shared" si="2"/>
        <v>-0.005959796966</v>
      </c>
      <c r="L79" s="1">
        <f t="shared" si="3"/>
        <v>-0.5959796966</v>
      </c>
      <c r="M79" s="1">
        <v>-0.45</v>
      </c>
    </row>
    <row r="80" ht="15.75" customHeight="1">
      <c r="A80" s="7">
        <v>44004.0</v>
      </c>
      <c r="B80" s="1">
        <v>195.789993</v>
      </c>
      <c r="C80" s="1">
        <v>200.759995</v>
      </c>
      <c r="D80" s="1">
        <v>195.229996</v>
      </c>
      <c r="E80" s="1">
        <v>200.570007</v>
      </c>
      <c r="F80" s="1">
        <v>199.105301</v>
      </c>
      <c r="G80" s="1">
        <v>3.28189E7</v>
      </c>
      <c r="I80" s="1">
        <f t="shared" si="1"/>
        <v>0.02777365366</v>
      </c>
      <c r="J80" s="1">
        <v>0.0</v>
      </c>
      <c r="K80" s="1">
        <f t="shared" si="2"/>
        <v>0.02777365366</v>
      </c>
      <c r="L80" s="1">
        <f t="shared" si="3"/>
        <v>2.777365366</v>
      </c>
      <c r="M80" s="1">
        <v>0.71</v>
      </c>
    </row>
    <row r="81" ht="15.75" customHeight="1">
      <c r="A81" s="7">
        <v>44005.0</v>
      </c>
      <c r="B81" s="1">
        <v>202.089996</v>
      </c>
      <c r="C81" s="1">
        <v>203.949997</v>
      </c>
      <c r="D81" s="1">
        <v>201.429993</v>
      </c>
      <c r="E81" s="1">
        <v>201.910004</v>
      </c>
      <c r="F81" s="1">
        <v>200.435501</v>
      </c>
      <c r="G81" s="1">
        <v>3.09174E7</v>
      </c>
      <c r="I81" s="1">
        <f t="shared" si="1"/>
        <v>0.006680886914</v>
      </c>
      <c r="J81" s="1">
        <v>0.0</v>
      </c>
      <c r="K81" s="1">
        <f t="shared" si="2"/>
        <v>0.006680886914</v>
      </c>
      <c r="L81" s="1">
        <f t="shared" si="3"/>
        <v>0.6680886914</v>
      </c>
      <c r="M81" s="1">
        <v>0.42</v>
      </c>
    </row>
    <row r="82" ht="15.75" customHeight="1">
      <c r="A82" s="7">
        <v>44006.0</v>
      </c>
      <c r="B82" s="1">
        <v>201.600006</v>
      </c>
      <c r="C82" s="1">
        <v>203.25</v>
      </c>
      <c r="D82" s="1">
        <v>196.559998</v>
      </c>
      <c r="E82" s="1">
        <v>197.839996</v>
      </c>
      <c r="F82" s="1">
        <v>196.395218</v>
      </c>
      <c r="G82" s="1">
        <v>3.67406E7</v>
      </c>
      <c r="I82" s="1">
        <f t="shared" si="1"/>
        <v>-0.0201575219</v>
      </c>
      <c r="J82" s="1">
        <v>0.0</v>
      </c>
      <c r="K82" s="1">
        <f t="shared" si="2"/>
        <v>-0.0201575219</v>
      </c>
      <c r="L82" s="1">
        <f t="shared" si="3"/>
        <v>-2.01575219</v>
      </c>
      <c r="M82" s="1">
        <v>-2.61</v>
      </c>
    </row>
    <row r="83" ht="15.75" customHeight="1">
      <c r="A83" s="7">
        <v>44007.0</v>
      </c>
      <c r="B83" s="1">
        <v>197.800003</v>
      </c>
      <c r="C83" s="1">
        <v>200.610001</v>
      </c>
      <c r="D83" s="1">
        <v>195.470001</v>
      </c>
      <c r="E83" s="1">
        <v>200.339996</v>
      </c>
      <c r="F83" s="1">
        <v>198.876968</v>
      </c>
      <c r="G83" s="1">
        <v>2.78039E7</v>
      </c>
      <c r="I83" s="1">
        <f t="shared" si="1"/>
        <v>0.01263650931</v>
      </c>
      <c r="J83" s="1">
        <v>0.0</v>
      </c>
      <c r="K83" s="1">
        <f t="shared" si="2"/>
        <v>0.01263650931</v>
      </c>
      <c r="L83" s="1">
        <f t="shared" si="3"/>
        <v>1.263650931</v>
      </c>
      <c r="M83" s="1">
        <v>1.12</v>
      </c>
    </row>
    <row r="84" ht="15.75" customHeight="1">
      <c r="A84" s="7">
        <v>44008.0</v>
      </c>
      <c r="B84" s="1">
        <v>199.729996</v>
      </c>
      <c r="C84" s="1">
        <v>199.889999</v>
      </c>
      <c r="D84" s="1">
        <v>194.880005</v>
      </c>
      <c r="E84" s="1">
        <v>196.330002</v>
      </c>
      <c r="F84" s="1">
        <v>194.89624</v>
      </c>
      <c r="G84" s="1">
        <v>5.46758E7</v>
      </c>
      <c r="I84" s="1">
        <f t="shared" si="1"/>
        <v>-0.02001603323</v>
      </c>
      <c r="J84" s="1">
        <v>0.0</v>
      </c>
      <c r="K84" s="1">
        <f t="shared" si="2"/>
        <v>-0.02001603323</v>
      </c>
      <c r="L84" s="1">
        <f t="shared" si="3"/>
        <v>-2.001603323</v>
      </c>
      <c r="M84" s="1">
        <v>-2.44</v>
      </c>
    </row>
    <row r="85" ht="15.75" customHeight="1">
      <c r="A85" s="7">
        <v>44011.0</v>
      </c>
      <c r="B85" s="1">
        <v>195.779999</v>
      </c>
      <c r="C85" s="1">
        <v>198.529999</v>
      </c>
      <c r="D85" s="1">
        <v>193.550003</v>
      </c>
      <c r="E85" s="1">
        <v>198.440002</v>
      </c>
      <c r="F85" s="1">
        <v>196.990829</v>
      </c>
      <c r="G85" s="1">
        <v>2.67016E7</v>
      </c>
      <c r="I85" s="1">
        <f t="shared" si="1"/>
        <v>0.01074720066</v>
      </c>
      <c r="J85" s="1">
        <v>0.0</v>
      </c>
      <c r="K85" s="1">
        <f t="shared" si="2"/>
        <v>0.01074720066</v>
      </c>
      <c r="L85" s="1">
        <f t="shared" si="3"/>
        <v>1.074720066</v>
      </c>
      <c r="M85" s="1">
        <v>1.51</v>
      </c>
    </row>
    <row r="86" ht="15.75" customHeight="1">
      <c r="A86" s="7">
        <v>44012.0</v>
      </c>
      <c r="B86" s="1">
        <v>197.880005</v>
      </c>
      <c r="C86" s="1">
        <v>204.399994</v>
      </c>
      <c r="D86" s="1">
        <v>197.740005</v>
      </c>
      <c r="E86" s="1">
        <v>203.509995</v>
      </c>
      <c r="F86" s="1">
        <v>202.023819</v>
      </c>
      <c r="G86" s="1">
        <v>3.43103E7</v>
      </c>
      <c r="I86" s="1">
        <f t="shared" si="1"/>
        <v>0.025549362</v>
      </c>
      <c r="J86" s="1">
        <v>0.0</v>
      </c>
      <c r="K86" s="1">
        <f t="shared" si="2"/>
        <v>0.025549362</v>
      </c>
      <c r="L86" s="1">
        <f t="shared" si="3"/>
        <v>2.5549362</v>
      </c>
      <c r="M86" s="1">
        <v>1.58</v>
      </c>
    </row>
    <row r="87" ht="15.75" customHeight="1">
      <c r="A87" s="7">
        <v>44013.0</v>
      </c>
      <c r="B87" s="1">
        <v>203.139999</v>
      </c>
      <c r="C87" s="1">
        <v>206.350006</v>
      </c>
      <c r="D87" s="1">
        <v>201.770004</v>
      </c>
      <c r="E87" s="1">
        <v>204.699997</v>
      </c>
      <c r="F87" s="1">
        <v>203.205124</v>
      </c>
      <c r="G87" s="1">
        <v>3.20612E7</v>
      </c>
      <c r="I87" s="1">
        <f t="shared" si="1"/>
        <v>0.005847355059</v>
      </c>
      <c r="J87" s="1">
        <v>0.0</v>
      </c>
      <c r="K87" s="1">
        <f t="shared" si="2"/>
        <v>0.005847355059</v>
      </c>
      <c r="L87" s="1">
        <f t="shared" si="3"/>
        <v>0.5847355059</v>
      </c>
      <c r="M87" s="1">
        <v>0.41</v>
      </c>
    </row>
    <row r="88" ht="15.75" customHeight="1">
      <c r="A88" s="7">
        <v>44014.0</v>
      </c>
      <c r="B88" s="1">
        <v>205.679993</v>
      </c>
      <c r="C88" s="1">
        <v>208.020004</v>
      </c>
      <c r="D88" s="1">
        <v>205.0</v>
      </c>
      <c r="E88" s="1">
        <v>206.259995</v>
      </c>
      <c r="F88" s="1">
        <v>204.753738</v>
      </c>
      <c r="G88" s="1">
        <v>2.93158E7</v>
      </c>
      <c r="I88" s="1">
        <f t="shared" si="1"/>
        <v>0.007620939716</v>
      </c>
      <c r="J88" s="1">
        <v>0.0</v>
      </c>
      <c r="K88" s="1">
        <f t="shared" si="2"/>
        <v>0.007620939716</v>
      </c>
      <c r="L88" s="1">
        <f t="shared" si="3"/>
        <v>0.7620939716</v>
      </c>
      <c r="M88" s="1">
        <v>0.5</v>
      </c>
    </row>
    <row r="89" ht="15.75" customHeight="1">
      <c r="A89" s="7">
        <v>44018.0</v>
      </c>
      <c r="B89" s="1">
        <v>208.830002</v>
      </c>
      <c r="C89" s="1">
        <v>211.130005</v>
      </c>
      <c r="D89" s="1">
        <v>208.089996</v>
      </c>
      <c r="E89" s="1">
        <v>210.699997</v>
      </c>
      <c r="F89" s="1">
        <v>209.161301</v>
      </c>
      <c r="G89" s="1">
        <v>3.18976E7</v>
      </c>
      <c r="I89" s="1">
        <f t="shared" si="1"/>
        <v>0.02152616623</v>
      </c>
      <c r="J89" s="1">
        <v>0.0</v>
      </c>
      <c r="K89" s="1">
        <f t="shared" si="2"/>
        <v>0.02152616623</v>
      </c>
      <c r="L89" s="1">
        <f t="shared" si="3"/>
        <v>2.152616623</v>
      </c>
      <c r="M89" s="1">
        <v>1.65</v>
      </c>
    </row>
    <row r="90" ht="15.75" customHeight="1">
      <c r="A90" s="7">
        <v>44019.0</v>
      </c>
      <c r="B90" s="1">
        <v>210.449997</v>
      </c>
      <c r="C90" s="1">
        <v>214.669998</v>
      </c>
      <c r="D90" s="1">
        <v>207.990005</v>
      </c>
      <c r="E90" s="1">
        <v>208.25</v>
      </c>
      <c r="F90" s="1">
        <v>206.729202</v>
      </c>
      <c r="G90" s="1">
        <v>3.36007E7</v>
      </c>
      <c r="I90" s="1">
        <f t="shared" si="1"/>
        <v>-0.01162786323</v>
      </c>
      <c r="J90" s="1">
        <v>0.0</v>
      </c>
      <c r="K90" s="1">
        <f t="shared" si="2"/>
        <v>-0.01162786323</v>
      </c>
      <c r="L90" s="1">
        <f t="shared" si="3"/>
        <v>-1.162786323</v>
      </c>
      <c r="M90" s="1">
        <v>-1.03</v>
      </c>
    </row>
    <row r="91" ht="15.75" customHeight="1">
      <c r="A91" s="7">
        <v>44020.0</v>
      </c>
      <c r="B91" s="1">
        <v>210.070007</v>
      </c>
      <c r="C91" s="1">
        <v>213.259995</v>
      </c>
      <c r="D91" s="1">
        <v>208.690002</v>
      </c>
      <c r="E91" s="1">
        <v>212.830002</v>
      </c>
      <c r="F91" s="1">
        <v>211.275757</v>
      </c>
      <c r="G91" s="1">
        <v>3.36E7</v>
      </c>
      <c r="I91" s="1">
        <f t="shared" si="1"/>
        <v>0.02199280487</v>
      </c>
      <c r="J91" s="1">
        <v>0.0</v>
      </c>
      <c r="K91" s="1">
        <f t="shared" si="2"/>
        <v>0.02199280487</v>
      </c>
      <c r="L91" s="1">
        <f t="shared" si="3"/>
        <v>2.199280487</v>
      </c>
      <c r="M91" s="1">
        <v>0.91</v>
      </c>
    </row>
    <row r="92" ht="15.75" customHeight="1">
      <c r="A92" s="7">
        <v>44021.0</v>
      </c>
      <c r="B92" s="1">
        <v>216.330002</v>
      </c>
      <c r="C92" s="1">
        <v>216.380005</v>
      </c>
      <c r="D92" s="1">
        <v>211.470001</v>
      </c>
      <c r="E92" s="1">
        <v>214.320007</v>
      </c>
      <c r="F92" s="1">
        <v>212.754883</v>
      </c>
      <c r="G92" s="1">
        <v>3.31217E7</v>
      </c>
      <c r="I92" s="1">
        <f t="shared" si="1"/>
        <v>0.007000926282</v>
      </c>
      <c r="J92" s="1">
        <v>0.0</v>
      </c>
      <c r="K92" s="1">
        <f t="shared" si="2"/>
        <v>0.007000926282</v>
      </c>
      <c r="L92" s="1">
        <f t="shared" si="3"/>
        <v>0.7000926282</v>
      </c>
      <c r="M92" s="1">
        <v>-0.53</v>
      </c>
    </row>
    <row r="93" ht="15.75" customHeight="1">
      <c r="A93" s="7">
        <v>44022.0</v>
      </c>
      <c r="B93" s="1">
        <v>213.619995</v>
      </c>
      <c r="C93" s="1">
        <v>214.080002</v>
      </c>
      <c r="D93" s="1">
        <v>211.080002</v>
      </c>
      <c r="E93" s="1">
        <v>213.669998</v>
      </c>
      <c r="F93" s="1">
        <v>212.109619</v>
      </c>
      <c r="G93" s="1">
        <v>2.61776E7</v>
      </c>
      <c r="I93" s="1">
        <f t="shared" si="1"/>
        <v>-0.003032898662</v>
      </c>
      <c r="J93" s="1">
        <v>0.0</v>
      </c>
      <c r="K93" s="1">
        <f t="shared" si="2"/>
        <v>-0.003032898662</v>
      </c>
      <c r="L93" s="1">
        <f t="shared" si="3"/>
        <v>-0.3032898662</v>
      </c>
      <c r="M93" s="1">
        <v>1.11</v>
      </c>
    </row>
    <row r="94" ht="15.75" customHeight="1">
      <c r="A94" s="7">
        <v>44025.0</v>
      </c>
      <c r="B94" s="1">
        <v>214.479996</v>
      </c>
      <c r="C94" s="1">
        <v>215.800003</v>
      </c>
      <c r="D94" s="1">
        <v>206.5</v>
      </c>
      <c r="E94" s="1">
        <v>207.070007</v>
      </c>
      <c r="F94" s="1">
        <v>205.557816</v>
      </c>
      <c r="G94" s="1">
        <v>3.81356E7</v>
      </c>
      <c r="I94" s="1">
        <f t="shared" si="1"/>
        <v>-0.03088875946</v>
      </c>
      <c r="J94" s="1">
        <v>0.0</v>
      </c>
      <c r="K94" s="1">
        <f t="shared" si="2"/>
        <v>-0.03088875946</v>
      </c>
      <c r="L94" s="1">
        <f t="shared" si="3"/>
        <v>-3.088875946</v>
      </c>
      <c r="M94" s="1">
        <v>-1.2</v>
      </c>
    </row>
    <row r="95" ht="15.75" customHeight="1">
      <c r="A95" s="7">
        <v>44026.0</v>
      </c>
      <c r="B95" s="1">
        <v>206.130005</v>
      </c>
      <c r="C95" s="1">
        <v>208.850006</v>
      </c>
      <c r="D95" s="1">
        <v>202.029999</v>
      </c>
      <c r="E95" s="1">
        <v>208.350006</v>
      </c>
      <c r="F95" s="1">
        <v>206.828476</v>
      </c>
      <c r="G95" s="1">
        <v>3.75918E7</v>
      </c>
      <c r="I95" s="1">
        <f t="shared" si="1"/>
        <v>0.006181521213</v>
      </c>
      <c r="J95" s="1">
        <v>0.0</v>
      </c>
      <c r="K95" s="1">
        <f t="shared" si="2"/>
        <v>0.006181521213</v>
      </c>
      <c r="L95" s="1">
        <f t="shared" si="3"/>
        <v>0.6181521213</v>
      </c>
      <c r="M95" s="1">
        <v>1.35</v>
      </c>
    </row>
    <row r="96" ht="15.75" customHeight="1">
      <c r="A96" s="7">
        <v>44027.0</v>
      </c>
      <c r="B96" s="1">
        <v>209.559998</v>
      </c>
      <c r="C96" s="1">
        <v>211.330002</v>
      </c>
      <c r="D96" s="1">
        <v>205.029999</v>
      </c>
      <c r="E96" s="1">
        <v>208.039993</v>
      </c>
      <c r="F96" s="1">
        <v>206.520721</v>
      </c>
      <c r="G96" s="1">
        <v>3.21794E7</v>
      </c>
      <c r="I96" s="1">
        <f t="shared" si="1"/>
        <v>-0.001487972091</v>
      </c>
      <c r="J96" s="1">
        <v>0.0</v>
      </c>
      <c r="K96" s="1">
        <f t="shared" si="2"/>
        <v>-0.001487972091</v>
      </c>
      <c r="L96" s="1">
        <f t="shared" si="3"/>
        <v>-0.1487972091</v>
      </c>
      <c r="M96" s="1">
        <v>1.14</v>
      </c>
    </row>
    <row r="97" ht="15.75" customHeight="1">
      <c r="A97" s="7">
        <v>44028.0</v>
      </c>
      <c r="B97" s="1">
        <v>205.399994</v>
      </c>
      <c r="C97" s="1">
        <v>205.699997</v>
      </c>
      <c r="D97" s="1">
        <v>202.309998</v>
      </c>
      <c r="E97" s="1">
        <v>203.919998</v>
      </c>
      <c r="F97" s="1">
        <v>202.430817</v>
      </c>
      <c r="G97" s="1">
        <v>2.99407E7</v>
      </c>
      <c r="I97" s="1">
        <f t="shared" si="1"/>
        <v>-0.01980384332</v>
      </c>
      <c r="J97" s="1">
        <v>0.0</v>
      </c>
      <c r="K97" s="1">
        <f t="shared" si="2"/>
        <v>-0.01980384332</v>
      </c>
      <c r="L97" s="1">
        <f t="shared" si="3"/>
        <v>-1.980384332</v>
      </c>
      <c r="M97" s="1">
        <v>-0.37</v>
      </c>
    </row>
    <row r="98" ht="15.75" customHeight="1">
      <c r="A98" s="7">
        <v>44029.0</v>
      </c>
      <c r="B98" s="1">
        <v>204.470001</v>
      </c>
      <c r="C98" s="1">
        <v>205.039993</v>
      </c>
      <c r="D98" s="1">
        <v>201.389999</v>
      </c>
      <c r="E98" s="1">
        <v>202.880005</v>
      </c>
      <c r="F98" s="1">
        <v>201.398407</v>
      </c>
      <c r="G98" s="1">
        <v>3.16353E7</v>
      </c>
      <c r="I98" s="1">
        <f t="shared" si="1"/>
        <v>-0.005100063396</v>
      </c>
      <c r="J98" s="1">
        <v>0.0</v>
      </c>
      <c r="K98" s="1">
        <f t="shared" si="2"/>
        <v>-0.005100063396</v>
      </c>
      <c r="L98" s="1">
        <f t="shared" si="3"/>
        <v>-0.5100063396</v>
      </c>
      <c r="M98" s="1">
        <v>0.3</v>
      </c>
    </row>
    <row r="99" ht="15.75" customHeight="1">
      <c r="A99" s="7">
        <v>44032.0</v>
      </c>
      <c r="B99" s="1">
        <v>205.0</v>
      </c>
      <c r="C99" s="1">
        <v>212.300003</v>
      </c>
      <c r="D99" s="1">
        <v>203.009995</v>
      </c>
      <c r="E99" s="1">
        <v>211.600006</v>
      </c>
      <c r="F99" s="1">
        <v>210.054749</v>
      </c>
      <c r="G99" s="1">
        <v>3.68848E7</v>
      </c>
      <c r="I99" s="1">
        <f t="shared" si="1"/>
        <v>0.04298118406</v>
      </c>
      <c r="J99" s="1">
        <v>0.0</v>
      </c>
      <c r="K99" s="1">
        <f t="shared" si="2"/>
        <v>0.04298118406</v>
      </c>
      <c r="L99" s="1">
        <f t="shared" si="3"/>
        <v>4.298118406</v>
      </c>
      <c r="M99" s="1">
        <v>1.01</v>
      </c>
    </row>
    <row r="100" ht="15.75" customHeight="1">
      <c r="A100" s="7">
        <v>44033.0</v>
      </c>
      <c r="B100" s="1">
        <v>213.660004</v>
      </c>
      <c r="C100" s="1">
        <v>213.940002</v>
      </c>
      <c r="D100" s="1">
        <v>208.029999</v>
      </c>
      <c r="E100" s="1">
        <v>208.75</v>
      </c>
      <c r="F100" s="1">
        <v>207.225555</v>
      </c>
      <c r="G100" s="1">
        <v>3.81058E7</v>
      </c>
      <c r="I100" s="1">
        <f t="shared" si="1"/>
        <v>-0.01346884093</v>
      </c>
      <c r="J100" s="1">
        <v>0.0</v>
      </c>
      <c r="K100" s="1">
        <f t="shared" si="2"/>
        <v>-0.01346884093</v>
      </c>
      <c r="L100" s="1">
        <f t="shared" si="3"/>
        <v>-1.346884093</v>
      </c>
      <c r="M100" s="1">
        <v>0.16</v>
      </c>
    </row>
    <row r="101" ht="15.75" customHeight="1">
      <c r="A101" s="7">
        <v>44034.0</v>
      </c>
      <c r="B101" s="1">
        <v>209.199997</v>
      </c>
      <c r="C101" s="1">
        <v>212.300003</v>
      </c>
      <c r="D101" s="1">
        <v>208.389999</v>
      </c>
      <c r="E101" s="1">
        <v>211.75</v>
      </c>
      <c r="F101" s="1">
        <v>210.203629</v>
      </c>
      <c r="G101" s="1">
        <v>4.96057E7</v>
      </c>
      <c r="I101" s="1">
        <f t="shared" si="1"/>
        <v>0.01437117155</v>
      </c>
      <c r="J101" s="1">
        <v>0.0</v>
      </c>
      <c r="K101" s="1">
        <f t="shared" si="2"/>
        <v>0.01437117155</v>
      </c>
      <c r="L101" s="1">
        <f t="shared" si="3"/>
        <v>1.437117155</v>
      </c>
      <c r="M101" s="1">
        <v>0.49</v>
      </c>
    </row>
    <row r="102" ht="15.75" customHeight="1">
      <c r="A102" s="7">
        <v>44035.0</v>
      </c>
      <c r="B102" s="1">
        <v>207.190002</v>
      </c>
      <c r="C102" s="1">
        <v>210.919998</v>
      </c>
      <c r="D102" s="1">
        <v>202.149994</v>
      </c>
      <c r="E102" s="1">
        <v>202.539993</v>
      </c>
      <c r="F102" s="1">
        <v>201.060898</v>
      </c>
      <c r="G102" s="1">
        <v>6.7457E7</v>
      </c>
      <c r="I102" s="1">
        <f t="shared" si="1"/>
        <v>-0.04349463919</v>
      </c>
      <c r="J102" s="1">
        <v>0.0</v>
      </c>
      <c r="K102" s="1">
        <f t="shared" si="2"/>
        <v>-0.04349463919</v>
      </c>
      <c r="L102" s="1">
        <f t="shared" si="3"/>
        <v>-4.349463919</v>
      </c>
      <c r="M102" s="1">
        <v>-1.2</v>
      </c>
    </row>
    <row r="103" ht="15.75" customHeight="1">
      <c r="A103" s="7">
        <v>44036.0</v>
      </c>
      <c r="B103" s="1">
        <v>200.419998</v>
      </c>
      <c r="C103" s="1">
        <v>202.860001</v>
      </c>
      <c r="D103" s="1">
        <v>197.509995</v>
      </c>
      <c r="E103" s="1">
        <v>201.300003</v>
      </c>
      <c r="F103" s="1">
        <v>199.829971</v>
      </c>
      <c r="G103" s="1">
        <v>3.9827E7</v>
      </c>
      <c r="I103" s="1">
        <f t="shared" si="1"/>
        <v>-0.006122160063</v>
      </c>
      <c r="J103" s="1">
        <v>0.0</v>
      </c>
      <c r="K103" s="1">
        <f t="shared" si="2"/>
        <v>-0.006122160063</v>
      </c>
      <c r="L103" s="1">
        <f t="shared" si="3"/>
        <v>-0.6122160063</v>
      </c>
      <c r="M103" s="1">
        <v>-0.75</v>
      </c>
    </row>
    <row r="104" ht="15.75" customHeight="1">
      <c r="A104" s="7">
        <v>44039.0</v>
      </c>
      <c r="B104" s="1">
        <v>201.470001</v>
      </c>
      <c r="C104" s="1">
        <v>203.970001</v>
      </c>
      <c r="D104" s="1">
        <v>200.860001</v>
      </c>
      <c r="E104" s="1">
        <v>203.850006</v>
      </c>
      <c r="F104" s="1">
        <v>202.361343</v>
      </c>
      <c r="G104" s="1">
        <v>3.01609E7</v>
      </c>
      <c r="I104" s="1">
        <f t="shared" si="1"/>
        <v>0.01266762932</v>
      </c>
      <c r="J104" s="1">
        <v>0.0</v>
      </c>
      <c r="K104" s="1">
        <f t="shared" si="2"/>
        <v>0.01266762932</v>
      </c>
      <c r="L104" s="1">
        <f t="shared" si="3"/>
        <v>1.266762932</v>
      </c>
      <c r="M104" s="1">
        <v>0.88</v>
      </c>
    </row>
    <row r="105" ht="15.75" customHeight="1">
      <c r="A105" s="7">
        <v>44040.0</v>
      </c>
      <c r="B105" s="1">
        <v>203.610001</v>
      </c>
      <c r="C105" s="1">
        <v>204.699997</v>
      </c>
      <c r="D105" s="1">
        <v>201.740005</v>
      </c>
      <c r="E105" s="1">
        <v>202.020004</v>
      </c>
      <c r="F105" s="1">
        <v>200.544693</v>
      </c>
      <c r="G105" s="1">
        <v>2.32514E7</v>
      </c>
      <c r="I105" s="1">
        <f t="shared" si="1"/>
        <v>-0.008977258072</v>
      </c>
      <c r="J105" s="1">
        <v>0.0</v>
      </c>
      <c r="K105" s="1">
        <f t="shared" si="2"/>
        <v>-0.008977258072</v>
      </c>
      <c r="L105" s="1">
        <f t="shared" si="3"/>
        <v>-0.8977258072</v>
      </c>
      <c r="M105" s="1">
        <v>-0.81</v>
      </c>
    </row>
    <row r="106" ht="15.75" customHeight="1">
      <c r="A106" s="7">
        <v>44041.0</v>
      </c>
      <c r="B106" s="1">
        <v>202.5</v>
      </c>
      <c r="C106" s="1">
        <v>204.649994</v>
      </c>
      <c r="D106" s="1">
        <v>202.009995</v>
      </c>
      <c r="E106" s="1">
        <v>204.059998</v>
      </c>
      <c r="F106" s="1">
        <v>202.569794</v>
      </c>
      <c r="G106" s="1">
        <v>1.96326E7</v>
      </c>
      <c r="I106" s="1">
        <f t="shared" si="1"/>
        <v>0.01009800344</v>
      </c>
      <c r="J106" s="1">
        <v>0.0</v>
      </c>
      <c r="K106" s="1">
        <f t="shared" si="2"/>
        <v>0.01009800344</v>
      </c>
      <c r="L106" s="1">
        <f t="shared" si="3"/>
        <v>1.009800344</v>
      </c>
      <c r="M106" s="1">
        <v>1.35</v>
      </c>
    </row>
    <row r="107" ht="15.75" customHeight="1">
      <c r="A107" s="7">
        <v>44042.0</v>
      </c>
      <c r="B107" s="1">
        <v>201.0</v>
      </c>
      <c r="C107" s="1">
        <v>204.460007</v>
      </c>
      <c r="D107" s="1">
        <v>199.570007</v>
      </c>
      <c r="E107" s="1">
        <v>203.899994</v>
      </c>
      <c r="F107" s="1">
        <v>202.410965</v>
      </c>
      <c r="G107" s="1">
        <v>2.50796E7</v>
      </c>
      <c r="I107" s="1">
        <f t="shared" si="1"/>
        <v>-0.0007840705016</v>
      </c>
      <c r="J107" s="1">
        <v>0.0</v>
      </c>
      <c r="K107" s="1">
        <f t="shared" si="2"/>
        <v>-0.0007840705016</v>
      </c>
      <c r="L107" s="1">
        <f t="shared" si="3"/>
        <v>-0.07840705016</v>
      </c>
      <c r="M107" s="1">
        <v>-0.29</v>
      </c>
    </row>
    <row r="108" ht="15.75" customHeight="1">
      <c r="A108" s="7">
        <v>44043.0</v>
      </c>
      <c r="B108" s="1">
        <v>204.399994</v>
      </c>
      <c r="C108" s="1">
        <v>205.100006</v>
      </c>
      <c r="D108" s="1">
        <v>199.009995</v>
      </c>
      <c r="E108" s="1">
        <v>205.009995</v>
      </c>
      <c r="F108" s="1">
        <v>203.512848</v>
      </c>
      <c r="G108" s="1">
        <v>5.1248E7</v>
      </c>
      <c r="I108" s="1">
        <f t="shared" si="1"/>
        <v>0.005443791052</v>
      </c>
      <c r="J108" s="1">
        <v>0.0</v>
      </c>
      <c r="K108" s="1">
        <f t="shared" si="2"/>
        <v>0.005443791052</v>
      </c>
      <c r="L108" s="1">
        <f t="shared" si="3"/>
        <v>0.5443791052</v>
      </c>
      <c r="M108" s="1">
        <v>0.61</v>
      </c>
    </row>
    <row r="109" ht="15.75" customHeight="1">
      <c r="A109" s="7">
        <v>44046.0</v>
      </c>
      <c r="B109" s="1">
        <v>211.520004</v>
      </c>
      <c r="C109" s="1">
        <v>217.639999</v>
      </c>
      <c r="D109" s="1">
        <v>210.440002</v>
      </c>
      <c r="E109" s="1">
        <v>216.539993</v>
      </c>
      <c r="F109" s="1">
        <v>214.958664</v>
      </c>
      <c r="G109" s="1">
        <v>7.8983E7</v>
      </c>
      <c r="I109" s="1">
        <f t="shared" si="1"/>
        <v>0.05624124527</v>
      </c>
      <c r="J109" s="1">
        <v>0.0</v>
      </c>
      <c r="K109" s="1">
        <f t="shared" si="2"/>
        <v>0.05624124527</v>
      </c>
      <c r="L109" s="1">
        <f t="shared" si="3"/>
        <v>5.624124527</v>
      </c>
      <c r="M109" s="1">
        <v>0.98</v>
      </c>
    </row>
    <row r="110" ht="15.75" customHeight="1">
      <c r="A110" s="7">
        <v>44047.0</v>
      </c>
      <c r="B110" s="1">
        <v>214.169998</v>
      </c>
      <c r="C110" s="1">
        <v>214.770004</v>
      </c>
      <c r="D110" s="1">
        <v>210.309998</v>
      </c>
      <c r="E110" s="1">
        <v>213.289993</v>
      </c>
      <c r="F110" s="1">
        <v>211.732391</v>
      </c>
      <c r="G110" s="1">
        <v>4.92801E7</v>
      </c>
      <c r="I110" s="1">
        <f t="shared" si="1"/>
        <v>-0.01500880653</v>
      </c>
      <c r="J110" s="1">
        <v>0.0</v>
      </c>
      <c r="K110" s="1">
        <f t="shared" si="2"/>
        <v>-0.01500880653</v>
      </c>
      <c r="L110" s="1">
        <f t="shared" si="3"/>
        <v>-1.500880653</v>
      </c>
      <c r="M110" s="1">
        <v>0.37</v>
      </c>
    </row>
    <row r="111" ht="15.75" customHeight="1">
      <c r="A111" s="7">
        <v>44048.0</v>
      </c>
      <c r="B111" s="1">
        <v>214.899994</v>
      </c>
      <c r="C111" s="1">
        <v>215.0</v>
      </c>
      <c r="D111" s="1">
        <v>211.570007</v>
      </c>
      <c r="E111" s="1">
        <v>212.940002</v>
      </c>
      <c r="F111" s="1">
        <v>211.384949</v>
      </c>
      <c r="G111" s="1">
        <v>2.88586E7</v>
      </c>
      <c r="I111" s="1">
        <f t="shared" si="1"/>
        <v>-0.001640948739</v>
      </c>
      <c r="J111" s="1">
        <v>0.0</v>
      </c>
      <c r="K111" s="1">
        <f t="shared" si="2"/>
        <v>-0.001640948739</v>
      </c>
      <c r="L111" s="1">
        <f t="shared" si="3"/>
        <v>-0.1640948739</v>
      </c>
      <c r="M111" s="1">
        <v>0.78</v>
      </c>
    </row>
    <row r="112" ht="15.75" customHeight="1">
      <c r="A112" s="7">
        <v>44049.0</v>
      </c>
      <c r="B112" s="1">
        <v>212.339996</v>
      </c>
      <c r="C112" s="1">
        <v>216.369995</v>
      </c>
      <c r="D112" s="1">
        <v>211.550003</v>
      </c>
      <c r="E112" s="1">
        <v>216.350006</v>
      </c>
      <c r="F112" s="1">
        <v>214.77005</v>
      </c>
      <c r="G112" s="1">
        <v>3.26568E7</v>
      </c>
      <c r="I112" s="1">
        <f t="shared" si="1"/>
        <v>0.01601391687</v>
      </c>
      <c r="J112" s="1">
        <v>0.0</v>
      </c>
      <c r="K112" s="1">
        <f t="shared" si="2"/>
        <v>0.01601391687</v>
      </c>
      <c r="L112" s="1">
        <f t="shared" si="3"/>
        <v>1.601391687</v>
      </c>
      <c r="M112" s="1">
        <v>0.53</v>
      </c>
    </row>
    <row r="113" ht="15.75" customHeight="1">
      <c r="A113" s="7">
        <v>44050.0</v>
      </c>
      <c r="B113" s="1">
        <v>214.850006</v>
      </c>
      <c r="C113" s="1">
        <v>215.699997</v>
      </c>
      <c r="D113" s="1">
        <v>210.929993</v>
      </c>
      <c r="E113" s="1">
        <v>212.479996</v>
      </c>
      <c r="F113" s="1">
        <v>210.928314</v>
      </c>
      <c r="G113" s="1">
        <v>2.78204E7</v>
      </c>
      <c r="I113" s="1">
        <f t="shared" si="1"/>
        <v>-0.01788767102</v>
      </c>
      <c r="J113" s="1">
        <v>0.0</v>
      </c>
      <c r="K113" s="1">
        <f t="shared" si="2"/>
        <v>-0.01788767102</v>
      </c>
      <c r="L113" s="1">
        <f t="shared" si="3"/>
        <v>-1.788767102</v>
      </c>
      <c r="M113" s="1">
        <v>0.02</v>
      </c>
    </row>
    <row r="114" ht="15.75" customHeight="1">
      <c r="A114" s="7">
        <v>44053.0</v>
      </c>
      <c r="B114" s="1">
        <v>211.669998</v>
      </c>
      <c r="C114" s="1">
        <v>211.880005</v>
      </c>
      <c r="D114" s="1">
        <v>206.350006</v>
      </c>
      <c r="E114" s="1">
        <v>208.25</v>
      </c>
      <c r="F114" s="1">
        <v>206.729202</v>
      </c>
      <c r="G114" s="1">
        <v>3.67165E7</v>
      </c>
      <c r="I114" s="1">
        <f t="shared" si="1"/>
        <v>-0.01990776829</v>
      </c>
      <c r="J114" s="1">
        <v>0.0</v>
      </c>
      <c r="K114" s="1">
        <f t="shared" si="2"/>
        <v>-0.01990776829</v>
      </c>
      <c r="L114" s="1">
        <f t="shared" si="3"/>
        <v>-1.990776829</v>
      </c>
      <c r="M114" s="1">
        <v>0.24</v>
      </c>
    </row>
    <row r="115" ht="15.75" customHeight="1">
      <c r="A115" s="7">
        <v>44054.0</v>
      </c>
      <c r="B115" s="1">
        <v>207.160004</v>
      </c>
      <c r="C115" s="1">
        <v>207.649994</v>
      </c>
      <c r="D115" s="1">
        <v>203.139999</v>
      </c>
      <c r="E115" s="1">
        <v>203.380005</v>
      </c>
      <c r="F115" s="1">
        <v>201.894775</v>
      </c>
      <c r="G115" s="1">
        <v>3.64465E7</v>
      </c>
      <c r="I115" s="1">
        <f t="shared" si="1"/>
        <v>-0.02338531254</v>
      </c>
      <c r="J115" s="1">
        <v>0.0</v>
      </c>
      <c r="K115" s="1">
        <f t="shared" si="2"/>
        <v>-0.02338531254</v>
      </c>
      <c r="L115" s="1">
        <f t="shared" si="3"/>
        <v>-2.338531254</v>
      </c>
      <c r="M115" s="1">
        <v>-0.83</v>
      </c>
    </row>
    <row r="116" ht="15.75" customHeight="1">
      <c r="A116" s="7">
        <v>44055.0</v>
      </c>
      <c r="B116" s="1">
        <v>205.289993</v>
      </c>
      <c r="C116" s="1">
        <v>210.279999</v>
      </c>
      <c r="D116" s="1">
        <v>204.75</v>
      </c>
      <c r="E116" s="1">
        <v>209.190002</v>
      </c>
      <c r="F116" s="1">
        <v>207.662354</v>
      </c>
      <c r="G116" s="1">
        <v>2.80414E7</v>
      </c>
      <c r="I116" s="1">
        <f t="shared" si="1"/>
        <v>0.02856725242</v>
      </c>
      <c r="J116" s="1">
        <v>0.0</v>
      </c>
      <c r="K116" s="1">
        <f t="shared" si="2"/>
        <v>0.02856725242</v>
      </c>
      <c r="L116" s="1">
        <f t="shared" si="3"/>
        <v>2.856725242</v>
      </c>
      <c r="M116" s="1">
        <v>1.4</v>
      </c>
    </row>
    <row r="117" ht="15.75" customHeight="1">
      <c r="A117" s="7">
        <v>44056.0</v>
      </c>
      <c r="B117" s="1">
        <v>209.440002</v>
      </c>
      <c r="C117" s="1">
        <v>211.350006</v>
      </c>
      <c r="D117" s="1">
        <v>208.149994</v>
      </c>
      <c r="E117" s="1">
        <v>208.699997</v>
      </c>
      <c r="F117" s="1">
        <v>207.175903</v>
      </c>
      <c r="G117" s="1">
        <v>2.25889E7</v>
      </c>
      <c r="I117" s="1">
        <f t="shared" si="1"/>
        <v>-0.002342509322</v>
      </c>
      <c r="J117" s="1">
        <v>0.0</v>
      </c>
      <c r="K117" s="1">
        <f t="shared" si="2"/>
        <v>-0.002342509322</v>
      </c>
      <c r="L117" s="1">
        <f t="shared" si="3"/>
        <v>-0.2342509322</v>
      </c>
      <c r="M117" s="1">
        <v>-0.01</v>
      </c>
    </row>
    <row r="118" ht="15.75" customHeight="1">
      <c r="A118" s="7">
        <v>44057.0</v>
      </c>
      <c r="B118" s="1">
        <v>208.759995</v>
      </c>
      <c r="C118" s="1">
        <v>209.589996</v>
      </c>
      <c r="D118" s="1">
        <v>207.509995</v>
      </c>
      <c r="E118" s="1">
        <v>208.899994</v>
      </c>
      <c r="F118" s="1">
        <v>207.374451</v>
      </c>
      <c r="G118" s="1">
        <v>1.79589E7</v>
      </c>
      <c r="I118" s="1">
        <f t="shared" si="1"/>
        <v>0.0009583546982</v>
      </c>
      <c r="J118" s="1">
        <v>0.0</v>
      </c>
      <c r="K118" s="1">
        <f t="shared" si="2"/>
        <v>0.0009583546982</v>
      </c>
      <c r="L118" s="1">
        <f t="shared" si="3"/>
        <v>0.09583546982</v>
      </c>
      <c r="M118" s="1">
        <v>-0.04</v>
      </c>
    </row>
    <row r="119" ht="15.75" customHeight="1">
      <c r="A119" s="7">
        <v>44060.0</v>
      </c>
      <c r="B119" s="1">
        <v>209.600006</v>
      </c>
      <c r="C119" s="1">
        <v>211.190002</v>
      </c>
      <c r="D119" s="1">
        <v>208.919998</v>
      </c>
      <c r="E119" s="1">
        <v>210.279999</v>
      </c>
      <c r="F119" s="1">
        <v>208.74437</v>
      </c>
      <c r="G119" s="1">
        <v>2.01848E7</v>
      </c>
      <c r="I119" s="1">
        <f t="shared" si="1"/>
        <v>0.006606016283</v>
      </c>
      <c r="J119" s="1">
        <v>0.0</v>
      </c>
      <c r="K119" s="1">
        <f t="shared" si="2"/>
        <v>0.006606016283</v>
      </c>
      <c r="L119" s="1">
        <f t="shared" si="3"/>
        <v>0.6606016283</v>
      </c>
      <c r="M119" s="1">
        <v>0.45</v>
      </c>
    </row>
    <row r="120" ht="15.75" customHeight="1">
      <c r="A120" s="7">
        <v>44061.0</v>
      </c>
      <c r="B120" s="1">
        <v>210.529999</v>
      </c>
      <c r="C120" s="1">
        <v>212.360001</v>
      </c>
      <c r="D120" s="1">
        <v>209.210007</v>
      </c>
      <c r="E120" s="1">
        <v>211.490005</v>
      </c>
      <c r="F120" s="1">
        <v>209.945541</v>
      </c>
      <c r="G120" s="1">
        <v>2.13362E7</v>
      </c>
      <c r="I120" s="1">
        <f t="shared" si="1"/>
        <v>0.005754267768</v>
      </c>
      <c r="J120" s="1">
        <v>0.0</v>
      </c>
      <c r="K120" s="1">
        <f t="shared" si="2"/>
        <v>0.005754267768</v>
      </c>
      <c r="L120" s="1">
        <f t="shared" si="3"/>
        <v>0.5754267768</v>
      </c>
      <c r="M120" s="1">
        <v>0.22</v>
      </c>
    </row>
    <row r="121" ht="15.75" customHeight="1">
      <c r="A121" s="7">
        <v>44062.0</v>
      </c>
      <c r="B121" s="1">
        <v>211.490005</v>
      </c>
      <c r="C121" s="1">
        <v>212.100006</v>
      </c>
      <c r="D121" s="1">
        <v>209.25</v>
      </c>
      <c r="E121" s="1">
        <v>209.699997</v>
      </c>
      <c r="F121" s="1">
        <v>208.671814</v>
      </c>
      <c r="G121" s="1">
        <v>2.76276E7</v>
      </c>
      <c r="I121" s="1">
        <f t="shared" si="1"/>
        <v>-0.006066939998</v>
      </c>
      <c r="J121" s="1">
        <v>0.0</v>
      </c>
      <c r="K121" s="1">
        <f t="shared" si="2"/>
        <v>-0.006066939998</v>
      </c>
      <c r="L121" s="1">
        <f t="shared" si="3"/>
        <v>-0.6066939998</v>
      </c>
      <c r="M121" s="1">
        <v>-0.38</v>
      </c>
    </row>
    <row r="122" ht="15.75" customHeight="1">
      <c r="A122" s="7">
        <v>44063.0</v>
      </c>
      <c r="B122" s="1">
        <v>209.539993</v>
      </c>
      <c r="C122" s="1">
        <v>215.0</v>
      </c>
      <c r="D122" s="1">
        <v>208.910004</v>
      </c>
      <c r="E122" s="1">
        <v>214.580002</v>
      </c>
      <c r="F122" s="1">
        <v>213.527893</v>
      </c>
      <c r="G122" s="1">
        <v>2.69815E7</v>
      </c>
      <c r="I122" s="1">
        <f t="shared" si="1"/>
        <v>0.02327137004</v>
      </c>
      <c r="J122" s="1">
        <v>0.0</v>
      </c>
      <c r="K122" s="1">
        <f t="shared" si="2"/>
        <v>0.02327137004</v>
      </c>
      <c r="L122" s="1">
        <f t="shared" si="3"/>
        <v>2.327137004</v>
      </c>
      <c r="M122" s="1">
        <v>0.31</v>
      </c>
    </row>
    <row r="123" ht="15.75" customHeight="1">
      <c r="A123" s="7">
        <v>44064.0</v>
      </c>
      <c r="B123" s="1">
        <v>213.860001</v>
      </c>
      <c r="C123" s="1">
        <v>216.25</v>
      </c>
      <c r="D123" s="1">
        <v>212.850006</v>
      </c>
      <c r="E123" s="1">
        <v>213.020004</v>
      </c>
      <c r="F123" s="1">
        <v>211.97554</v>
      </c>
      <c r="G123" s="1">
        <v>3.62493E7</v>
      </c>
      <c r="I123" s="1">
        <f t="shared" si="1"/>
        <v>-0.007270024437</v>
      </c>
      <c r="J123" s="1">
        <v>0.0</v>
      </c>
      <c r="K123" s="1">
        <f t="shared" si="2"/>
        <v>-0.007270024437</v>
      </c>
      <c r="L123" s="1">
        <f t="shared" si="3"/>
        <v>-0.7270024437</v>
      </c>
      <c r="M123" s="1">
        <v>0.25</v>
      </c>
    </row>
    <row r="124" ht="15.75" customHeight="1">
      <c r="A124" s="7">
        <v>44067.0</v>
      </c>
      <c r="B124" s="1">
        <v>214.789993</v>
      </c>
      <c r="C124" s="1">
        <v>215.520004</v>
      </c>
      <c r="D124" s="1">
        <v>212.429993</v>
      </c>
      <c r="E124" s="1">
        <v>213.690002</v>
      </c>
      <c r="F124" s="1">
        <v>212.642258</v>
      </c>
      <c r="G124" s="1">
        <v>2.54601E7</v>
      </c>
      <c r="I124" s="1">
        <f t="shared" si="1"/>
        <v>0.003145259118</v>
      </c>
      <c r="J124" s="1">
        <v>0.0</v>
      </c>
      <c r="K124" s="1">
        <f t="shared" si="2"/>
        <v>0.003145259118</v>
      </c>
      <c r="L124" s="1">
        <f t="shared" si="3"/>
        <v>0.3145259118</v>
      </c>
      <c r="M124" s="1">
        <v>0.92</v>
      </c>
    </row>
    <row r="125" ht="15.75" customHeight="1">
      <c r="A125" s="7">
        <v>44068.0</v>
      </c>
      <c r="B125" s="1">
        <v>213.100006</v>
      </c>
      <c r="C125" s="1">
        <v>216.610001</v>
      </c>
      <c r="D125" s="1">
        <v>213.100006</v>
      </c>
      <c r="E125" s="1">
        <v>216.470001</v>
      </c>
      <c r="F125" s="1">
        <v>215.40863</v>
      </c>
      <c r="G125" s="1">
        <v>2.30437E7</v>
      </c>
      <c r="I125" s="1">
        <f t="shared" si="1"/>
        <v>0.01300951197</v>
      </c>
      <c r="J125" s="1">
        <v>0.0</v>
      </c>
      <c r="K125" s="1">
        <f t="shared" si="2"/>
        <v>0.01300951197</v>
      </c>
      <c r="L125" s="1">
        <f t="shared" si="3"/>
        <v>1.300951197</v>
      </c>
      <c r="M125" s="1">
        <v>0.36</v>
      </c>
    </row>
    <row r="126" ht="15.75" customHeight="1">
      <c r="A126" s="7">
        <v>44069.0</v>
      </c>
      <c r="B126" s="1">
        <v>217.880005</v>
      </c>
      <c r="C126" s="1">
        <v>222.089996</v>
      </c>
      <c r="D126" s="1">
        <v>217.360001</v>
      </c>
      <c r="E126" s="1">
        <v>221.149994</v>
      </c>
      <c r="F126" s="1">
        <v>220.065674</v>
      </c>
      <c r="G126" s="1">
        <v>3.96008E7</v>
      </c>
      <c r="I126" s="1">
        <f t="shared" si="1"/>
        <v>0.02161957949</v>
      </c>
      <c r="J126" s="1">
        <v>0.0</v>
      </c>
      <c r="K126" s="1">
        <f t="shared" si="2"/>
        <v>0.02161957949</v>
      </c>
      <c r="L126" s="1">
        <f t="shared" si="3"/>
        <v>2.161957949</v>
      </c>
      <c r="M126" s="1">
        <v>1.0</v>
      </c>
    </row>
    <row r="127" ht="15.75" customHeight="1">
      <c r="A127" s="7">
        <v>44070.0</v>
      </c>
      <c r="B127" s="1">
        <v>222.889999</v>
      </c>
      <c r="C127" s="1">
        <v>231.149994</v>
      </c>
      <c r="D127" s="1">
        <v>219.399994</v>
      </c>
      <c r="E127" s="1">
        <v>226.580002</v>
      </c>
      <c r="F127" s="1">
        <v>225.46907</v>
      </c>
      <c r="G127" s="1">
        <v>5.76022E7</v>
      </c>
      <c r="I127" s="1">
        <f t="shared" si="1"/>
        <v>0.02455356122</v>
      </c>
      <c r="J127" s="1">
        <v>0.0</v>
      </c>
      <c r="K127" s="1">
        <f t="shared" si="2"/>
        <v>0.02455356122</v>
      </c>
      <c r="L127" s="1">
        <f t="shared" si="3"/>
        <v>2.455356122</v>
      </c>
      <c r="M127" s="1">
        <v>0.18</v>
      </c>
    </row>
    <row r="128" ht="15.75" customHeight="1">
      <c r="A128" s="7">
        <v>44071.0</v>
      </c>
      <c r="B128" s="1">
        <v>228.179993</v>
      </c>
      <c r="C128" s="1">
        <v>230.639999</v>
      </c>
      <c r="D128" s="1">
        <v>226.580002</v>
      </c>
      <c r="E128" s="1">
        <v>228.910004</v>
      </c>
      <c r="F128" s="1">
        <v>227.787643</v>
      </c>
      <c r="G128" s="1">
        <v>2.62929E7</v>
      </c>
      <c r="I128" s="1">
        <f t="shared" si="1"/>
        <v>0.01028333066</v>
      </c>
      <c r="J128" s="1">
        <v>0.0</v>
      </c>
      <c r="K128" s="1">
        <f t="shared" si="2"/>
        <v>0.01028333066</v>
      </c>
      <c r="L128" s="1">
        <f t="shared" si="3"/>
        <v>1.028333066</v>
      </c>
      <c r="M128" s="1">
        <v>0.7</v>
      </c>
    </row>
    <row r="129" ht="15.75" customHeight="1">
      <c r="A129" s="7">
        <v>44074.0</v>
      </c>
      <c r="B129" s="1">
        <v>227.0</v>
      </c>
      <c r="C129" s="1">
        <v>228.699997</v>
      </c>
      <c r="D129" s="1">
        <v>224.309998</v>
      </c>
      <c r="E129" s="1">
        <v>225.529999</v>
      </c>
      <c r="F129" s="1">
        <v>224.424194</v>
      </c>
      <c r="G129" s="1">
        <v>2.87742E7</v>
      </c>
      <c r="I129" s="1">
        <f t="shared" si="1"/>
        <v>-0.01476572195</v>
      </c>
      <c r="J129" s="1">
        <v>0.0</v>
      </c>
      <c r="K129" s="1">
        <f t="shared" si="2"/>
        <v>-0.01476572195</v>
      </c>
      <c r="L129" s="1">
        <f t="shared" si="3"/>
        <v>-1.476572195</v>
      </c>
      <c r="M129" s="1">
        <v>-0.04</v>
      </c>
    </row>
    <row r="130" ht="15.75" customHeight="1">
      <c r="A130" s="7">
        <v>44075.0</v>
      </c>
      <c r="B130" s="1">
        <v>225.509995</v>
      </c>
      <c r="C130" s="1">
        <v>227.449997</v>
      </c>
      <c r="D130" s="1">
        <v>224.429993</v>
      </c>
      <c r="E130" s="1">
        <v>227.270004</v>
      </c>
      <c r="F130" s="1">
        <v>226.155685</v>
      </c>
      <c r="G130" s="1">
        <v>2.57912E7</v>
      </c>
      <c r="I130" s="1">
        <f t="shared" si="1"/>
        <v>0.007715259969</v>
      </c>
      <c r="J130" s="1">
        <v>0.0</v>
      </c>
      <c r="K130" s="1">
        <f t="shared" si="2"/>
        <v>0.007715259969</v>
      </c>
      <c r="L130" s="1">
        <f t="shared" si="3"/>
        <v>0.7715259969</v>
      </c>
      <c r="M130" s="1">
        <v>0.92</v>
      </c>
    </row>
    <row r="131" ht="15.75" customHeight="1">
      <c r="A131" s="7">
        <v>44076.0</v>
      </c>
      <c r="B131" s="1">
        <v>227.970001</v>
      </c>
      <c r="C131" s="1">
        <v>232.860001</v>
      </c>
      <c r="D131" s="1">
        <v>227.350006</v>
      </c>
      <c r="E131" s="1">
        <v>231.649994</v>
      </c>
      <c r="F131" s="1">
        <v>230.514191</v>
      </c>
      <c r="G131" s="1">
        <v>3.40808E7</v>
      </c>
      <c r="I131" s="1">
        <f t="shared" si="1"/>
        <v>0.01927214874</v>
      </c>
      <c r="J131" s="1">
        <v>0.0</v>
      </c>
      <c r="K131" s="1">
        <f t="shared" si="2"/>
        <v>0.01927214874</v>
      </c>
      <c r="L131" s="1">
        <f t="shared" si="3"/>
        <v>1.927214874</v>
      </c>
      <c r="M131" s="1">
        <v>1.27</v>
      </c>
    </row>
    <row r="132" ht="15.75" customHeight="1">
      <c r="A132" s="7">
        <v>44077.0</v>
      </c>
      <c r="B132" s="1">
        <v>229.270004</v>
      </c>
      <c r="C132" s="1">
        <v>229.309998</v>
      </c>
      <c r="D132" s="1">
        <v>214.960007</v>
      </c>
      <c r="E132" s="1">
        <v>217.300003</v>
      </c>
      <c r="F132" s="1">
        <v>216.234558</v>
      </c>
      <c r="G132" s="1">
        <v>5.84003E7</v>
      </c>
      <c r="I132" s="1">
        <f t="shared" si="1"/>
        <v>-0.06194687164</v>
      </c>
      <c r="J132" s="1">
        <v>0.0</v>
      </c>
      <c r="K132" s="1">
        <f t="shared" si="2"/>
        <v>-0.06194687164</v>
      </c>
      <c r="L132" s="1">
        <f t="shared" si="3"/>
        <v>-6.194687164</v>
      </c>
      <c r="M132" s="1">
        <v>-3.7</v>
      </c>
    </row>
    <row r="133" ht="15.75" customHeight="1">
      <c r="A133" s="7">
        <v>44078.0</v>
      </c>
      <c r="B133" s="1">
        <v>215.100006</v>
      </c>
      <c r="C133" s="1">
        <v>218.360001</v>
      </c>
      <c r="D133" s="1">
        <v>205.190002</v>
      </c>
      <c r="E133" s="1">
        <v>214.25</v>
      </c>
      <c r="F133" s="1">
        <v>213.199524</v>
      </c>
      <c r="G133" s="1">
        <v>5.96641E7</v>
      </c>
      <c r="I133" s="1">
        <f t="shared" si="1"/>
        <v>-0.01403584158</v>
      </c>
      <c r="J133" s="1">
        <v>0.0</v>
      </c>
      <c r="K133" s="1">
        <f t="shared" si="2"/>
        <v>-0.01403584158</v>
      </c>
      <c r="L133" s="1">
        <f t="shared" si="3"/>
        <v>-1.403584158</v>
      </c>
      <c r="M133" s="1">
        <v>-0.87</v>
      </c>
    </row>
    <row r="134" ht="15.75" customHeight="1">
      <c r="A134" s="7">
        <v>44082.0</v>
      </c>
      <c r="B134" s="1">
        <v>206.5</v>
      </c>
      <c r="C134" s="1">
        <v>210.029999</v>
      </c>
      <c r="D134" s="1">
        <v>202.199997</v>
      </c>
      <c r="E134" s="1">
        <v>202.660004</v>
      </c>
      <c r="F134" s="1">
        <v>201.666336</v>
      </c>
      <c r="G134" s="1">
        <v>5.29243E7</v>
      </c>
      <c r="I134" s="1">
        <f t="shared" si="1"/>
        <v>-0.05409574929</v>
      </c>
      <c r="J134" s="1">
        <v>0.0</v>
      </c>
      <c r="K134" s="1">
        <f t="shared" si="2"/>
        <v>-0.05409574929</v>
      </c>
      <c r="L134" s="1">
        <f t="shared" si="3"/>
        <v>-5.409574929</v>
      </c>
      <c r="M134" s="1">
        <v>-2.91</v>
      </c>
    </row>
    <row r="135" ht="15.75" customHeight="1">
      <c r="A135" s="7">
        <v>44083.0</v>
      </c>
      <c r="B135" s="1">
        <v>207.600006</v>
      </c>
      <c r="C135" s="1">
        <v>214.839996</v>
      </c>
      <c r="D135" s="1">
        <v>206.699997</v>
      </c>
      <c r="E135" s="1">
        <v>211.289993</v>
      </c>
      <c r="F135" s="1">
        <v>210.254013</v>
      </c>
      <c r="G135" s="1">
        <v>4.5679E7</v>
      </c>
      <c r="I135" s="1">
        <f t="shared" si="1"/>
        <v>0.04258359214</v>
      </c>
      <c r="J135" s="1">
        <v>0.0</v>
      </c>
      <c r="K135" s="1">
        <f t="shared" si="2"/>
        <v>0.04258359214</v>
      </c>
      <c r="L135" s="1">
        <f t="shared" si="3"/>
        <v>4.258359214</v>
      </c>
      <c r="M135" s="1">
        <v>2.07</v>
      </c>
    </row>
    <row r="136" ht="15.75" customHeight="1">
      <c r="A136" s="7">
        <v>44084.0</v>
      </c>
      <c r="B136" s="1">
        <v>213.399994</v>
      </c>
      <c r="C136" s="1">
        <v>214.740005</v>
      </c>
      <c r="D136" s="1">
        <v>204.110001</v>
      </c>
      <c r="E136" s="1">
        <v>205.369995</v>
      </c>
      <c r="F136" s="1">
        <v>204.363037</v>
      </c>
      <c r="G136" s="1">
        <v>3.54615E7</v>
      </c>
      <c r="I136" s="1">
        <f t="shared" si="1"/>
        <v>-0.02801837604</v>
      </c>
      <c r="J136" s="1">
        <v>0.0</v>
      </c>
      <c r="K136" s="1">
        <f t="shared" si="2"/>
        <v>-0.02801837604</v>
      </c>
      <c r="L136" s="1">
        <f t="shared" si="3"/>
        <v>-2.801837604</v>
      </c>
      <c r="M136" s="1">
        <v>-1.64</v>
      </c>
    </row>
    <row r="137" ht="15.75" customHeight="1">
      <c r="A137" s="7">
        <v>44085.0</v>
      </c>
      <c r="B137" s="1">
        <v>207.199997</v>
      </c>
      <c r="C137" s="1">
        <v>208.630005</v>
      </c>
      <c r="D137" s="1">
        <v>201.240005</v>
      </c>
      <c r="E137" s="1">
        <v>204.029999</v>
      </c>
      <c r="F137" s="1">
        <v>203.029633</v>
      </c>
      <c r="G137" s="1">
        <v>3.36201E7</v>
      </c>
      <c r="I137" s="1">
        <f t="shared" si="1"/>
        <v>-0.006524682837</v>
      </c>
      <c r="J137" s="1">
        <v>0.0</v>
      </c>
      <c r="K137" s="1">
        <f t="shared" si="2"/>
        <v>-0.006524682837</v>
      </c>
      <c r="L137" s="1">
        <f t="shared" si="3"/>
        <v>-0.6524682837</v>
      </c>
      <c r="M137" s="1">
        <v>-0.06</v>
      </c>
    </row>
    <row r="138" ht="15.75" customHeight="1">
      <c r="A138" s="7">
        <v>44088.0</v>
      </c>
      <c r="B138" s="1">
        <v>204.240005</v>
      </c>
      <c r="C138" s="1">
        <v>209.199997</v>
      </c>
      <c r="D138" s="1">
        <v>204.029999</v>
      </c>
      <c r="E138" s="1">
        <v>205.410004</v>
      </c>
      <c r="F138" s="1">
        <v>204.402847</v>
      </c>
      <c r="G138" s="1">
        <v>3.03758E7</v>
      </c>
      <c r="I138" s="1">
        <f t="shared" si="1"/>
        <v>0.006763613664</v>
      </c>
      <c r="J138" s="1">
        <v>0.0</v>
      </c>
      <c r="K138" s="1">
        <f t="shared" si="2"/>
        <v>0.006763613664</v>
      </c>
      <c r="L138" s="1">
        <f t="shared" si="3"/>
        <v>0.6763613664</v>
      </c>
      <c r="M138" s="1">
        <v>1.59</v>
      </c>
    </row>
    <row r="139" ht="15.75" customHeight="1">
      <c r="A139" s="7">
        <v>44089.0</v>
      </c>
      <c r="B139" s="1">
        <v>208.419998</v>
      </c>
      <c r="C139" s="1">
        <v>209.779999</v>
      </c>
      <c r="D139" s="1">
        <v>206.929993</v>
      </c>
      <c r="E139" s="1">
        <v>208.779999</v>
      </c>
      <c r="F139" s="1">
        <v>207.756332</v>
      </c>
      <c r="G139" s="1">
        <v>2.18239E7</v>
      </c>
      <c r="I139" s="1">
        <f t="shared" si="1"/>
        <v>0.01640625387</v>
      </c>
      <c r="J139" s="1">
        <v>0.0</v>
      </c>
      <c r="K139" s="1">
        <f t="shared" si="2"/>
        <v>0.01640625387</v>
      </c>
      <c r="L139" s="1">
        <f t="shared" si="3"/>
        <v>1.640625387</v>
      </c>
      <c r="M139" s="1">
        <v>0.57</v>
      </c>
    </row>
    <row r="140" ht="15.75" customHeight="1">
      <c r="A140" s="7">
        <v>44090.0</v>
      </c>
      <c r="B140" s="1">
        <v>210.619995</v>
      </c>
      <c r="C140" s="1">
        <v>210.649994</v>
      </c>
      <c r="D140" s="1">
        <v>204.639999</v>
      </c>
      <c r="E140" s="1">
        <v>205.050003</v>
      </c>
      <c r="F140" s="1">
        <v>204.044617</v>
      </c>
      <c r="G140" s="1">
        <v>2.63281E7</v>
      </c>
      <c r="I140" s="1">
        <f t="shared" si="1"/>
        <v>-0.01786571299</v>
      </c>
      <c r="J140" s="1">
        <v>0.0</v>
      </c>
      <c r="K140" s="1">
        <f t="shared" si="2"/>
        <v>-0.01786571299</v>
      </c>
      <c r="L140" s="1">
        <f t="shared" si="3"/>
        <v>-1.786571299</v>
      </c>
      <c r="M140" s="1">
        <v>-0.39</v>
      </c>
    </row>
    <row r="141" ht="15.75" customHeight="1">
      <c r="A141" s="7">
        <v>44091.0</v>
      </c>
      <c r="B141" s="1">
        <v>200.050003</v>
      </c>
      <c r="C141" s="1">
        <v>204.330002</v>
      </c>
      <c r="D141" s="1">
        <v>199.960007</v>
      </c>
      <c r="E141" s="1">
        <v>202.910004</v>
      </c>
      <c r="F141" s="1">
        <v>201.915115</v>
      </c>
      <c r="G141" s="1">
        <v>3.40113E7</v>
      </c>
      <c r="I141" s="1">
        <f t="shared" si="1"/>
        <v>-0.01043645273</v>
      </c>
      <c r="J141" s="1">
        <v>0.0</v>
      </c>
      <c r="K141" s="1">
        <f t="shared" si="2"/>
        <v>-0.01043645273</v>
      </c>
      <c r="L141" s="1">
        <f t="shared" si="3"/>
        <v>-1.043645273</v>
      </c>
      <c r="M141" s="1">
        <v>-0.85</v>
      </c>
    </row>
    <row r="142" ht="15.75" customHeight="1">
      <c r="A142" s="7">
        <v>44092.0</v>
      </c>
      <c r="B142" s="1">
        <v>202.800003</v>
      </c>
      <c r="C142" s="1">
        <v>203.649994</v>
      </c>
      <c r="D142" s="1">
        <v>196.25</v>
      </c>
      <c r="E142" s="1">
        <v>200.389999</v>
      </c>
      <c r="F142" s="1">
        <v>199.407455</v>
      </c>
      <c r="G142" s="1">
        <v>5.52253E7</v>
      </c>
      <c r="I142" s="1">
        <f t="shared" si="1"/>
        <v>-0.01241937732</v>
      </c>
      <c r="J142" s="1">
        <v>0.0</v>
      </c>
      <c r="K142" s="1">
        <f t="shared" si="2"/>
        <v>-0.01241937732</v>
      </c>
      <c r="L142" s="1">
        <f t="shared" si="3"/>
        <v>-1.241937732</v>
      </c>
      <c r="M142" s="1">
        <v>-0.88</v>
      </c>
    </row>
    <row r="143" ht="15.75" customHeight="1">
      <c r="A143" s="7">
        <v>44095.0</v>
      </c>
      <c r="B143" s="1">
        <v>197.190002</v>
      </c>
      <c r="C143" s="1">
        <v>202.710007</v>
      </c>
      <c r="D143" s="1">
        <v>196.380005</v>
      </c>
      <c r="E143" s="1">
        <v>202.539993</v>
      </c>
      <c r="F143" s="1">
        <v>201.546921</v>
      </c>
      <c r="G143" s="1">
        <v>3.98397E7</v>
      </c>
      <c r="I143" s="1">
        <f t="shared" si="1"/>
        <v>0.01072911742</v>
      </c>
      <c r="J143" s="1">
        <v>0.0</v>
      </c>
      <c r="K143" s="1">
        <f t="shared" si="2"/>
        <v>0.01072911742</v>
      </c>
      <c r="L143" s="1">
        <f t="shared" si="3"/>
        <v>1.072911742</v>
      </c>
      <c r="M143" s="1">
        <v>-1.08</v>
      </c>
    </row>
    <row r="144" ht="15.75" customHeight="1">
      <c r="A144" s="7">
        <v>44096.0</v>
      </c>
      <c r="B144" s="1">
        <v>205.059998</v>
      </c>
      <c r="C144" s="1">
        <v>208.100006</v>
      </c>
      <c r="D144" s="1">
        <v>202.080002</v>
      </c>
      <c r="E144" s="1">
        <v>207.419998</v>
      </c>
      <c r="F144" s="1">
        <v>206.402985</v>
      </c>
      <c r="G144" s="1">
        <v>3.35171E7</v>
      </c>
      <c r="I144" s="1">
        <f t="shared" si="1"/>
        <v>0.02409396272</v>
      </c>
      <c r="J144" s="1">
        <v>0.0</v>
      </c>
      <c r="K144" s="1">
        <f t="shared" si="2"/>
        <v>0.02409396272</v>
      </c>
      <c r="L144" s="1">
        <f t="shared" si="3"/>
        <v>2.409396272</v>
      </c>
      <c r="M144" s="1">
        <v>1.02</v>
      </c>
    </row>
    <row r="145" ht="15.75" customHeight="1">
      <c r="A145" s="7">
        <v>44097.0</v>
      </c>
      <c r="B145" s="1">
        <v>207.899994</v>
      </c>
      <c r="C145" s="1">
        <v>208.100006</v>
      </c>
      <c r="D145" s="1">
        <v>200.029999</v>
      </c>
      <c r="E145" s="1">
        <v>200.589996</v>
      </c>
      <c r="F145" s="1">
        <v>199.606476</v>
      </c>
      <c r="G145" s="1">
        <v>3.08038E7</v>
      </c>
      <c r="I145" s="1">
        <f t="shared" si="1"/>
        <v>-0.03292834646</v>
      </c>
      <c r="J145" s="1">
        <v>0.0</v>
      </c>
      <c r="K145" s="1">
        <f t="shared" si="2"/>
        <v>-0.03292834646</v>
      </c>
      <c r="L145" s="1">
        <f t="shared" si="3"/>
        <v>-3.292834646</v>
      </c>
      <c r="M145" s="1">
        <v>-2.48</v>
      </c>
    </row>
    <row r="146" ht="15.75" customHeight="1">
      <c r="A146" s="7">
        <v>44098.0</v>
      </c>
      <c r="B146" s="1">
        <v>199.850006</v>
      </c>
      <c r="C146" s="1">
        <v>205.570007</v>
      </c>
      <c r="D146" s="1">
        <v>199.199997</v>
      </c>
      <c r="E146" s="1">
        <v>203.190002</v>
      </c>
      <c r="F146" s="1">
        <v>202.193741</v>
      </c>
      <c r="G146" s="1">
        <v>3.12025E7</v>
      </c>
      <c r="I146" s="1">
        <f t="shared" si="1"/>
        <v>0.01296182895</v>
      </c>
      <c r="J146" s="1">
        <v>0.0</v>
      </c>
      <c r="K146" s="1">
        <f t="shared" si="2"/>
        <v>0.01296182895</v>
      </c>
      <c r="L146" s="1">
        <f t="shared" si="3"/>
        <v>1.296182895</v>
      </c>
      <c r="M146" s="1">
        <v>0.25</v>
      </c>
    </row>
    <row r="147" ht="15.75" customHeight="1">
      <c r="A147" s="7">
        <v>44099.0</v>
      </c>
      <c r="B147" s="1">
        <v>203.550003</v>
      </c>
      <c r="C147" s="1">
        <v>209.039993</v>
      </c>
      <c r="D147" s="1">
        <v>202.539993</v>
      </c>
      <c r="E147" s="1">
        <v>207.820007</v>
      </c>
      <c r="F147" s="1">
        <v>206.801041</v>
      </c>
      <c r="G147" s="1">
        <v>2.94373E7</v>
      </c>
      <c r="I147" s="1">
        <f t="shared" si="1"/>
        <v>0.02278656094</v>
      </c>
      <c r="J147" s="1">
        <v>0.0</v>
      </c>
      <c r="K147" s="1">
        <f t="shared" si="2"/>
        <v>0.02278656094</v>
      </c>
      <c r="L147" s="1">
        <f t="shared" si="3"/>
        <v>2.278656094</v>
      </c>
      <c r="M147" s="1">
        <v>1.72</v>
      </c>
    </row>
    <row r="148" ht="15.75" customHeight="1">
      <c r="A148" s="7">
        <v>44102.0</v>
      </c>
      <c r="B148" s="1">
        <v>210.880005</v>
      </c>
      <c r="C148" s="1">
        <v>212.570007</v>
      </c>
      <c r="D148" s="1">
        <v>208.059998</v>
      </c>
      <c r="E148" s="1">
        <v>209.440002</v>
      </c>
      <c r="F148" s="1">
        <v>208.413101</v>
      </c>
      <c r="G148" s="1">
        <v>3.20049E7</v>
      </c>
      <c r="I148" s="1">
        <f t="shared" si="1"/>
        <v>0.007795221882</v>
      </c>
      <c r="J148" s="1">
        <v>0.0</v>
      </c>
      <c r="K148" s="1">
        <f t="shared" si="2"/>
        <v>0.007795221882</v>
      </c>
      <c r="L148" s="1">
        <f t="shared" si="3"/>
        <v>0.7795221882</v>
      </c>
      <c r="M148" s="1">
        <v>1.66</v>
      </c>
    </row>
    <row r="149" ht="15.75" customHeight="1">
      <c r="A149" s="7">
        <v>44103.0</v>
      </c>
      <c r="B149" s="1">
        <v>209.350006</v>
      </c>
      <c r="C149" s="1">
        <v>210.070007</v>
      </c>
      <c r="D149" s="1">
        <v>206.809998</v>
      </c>
      <c r="E149" s="1">
        <v>207.259995</v>
      </c>
      <c r="F149" s="1">
        <v>206.243774</v>
      </c>
      <c r="G149" s="1">
        <v>2.42219E7</v>
      </c>
      <c r="I149" s="1">
        <f t="shared" si="1"/>
        <v>-0.01040878423</v>
      </c>
      <c r="J149" s="1">
        <v>0.0</v>
      </c>
      <c r="K149" s="1">
        <f t="shared" si="2"/>
        <v>-0.01040878423</v>
      </c>
      <c r="L149" s="1">
        <f t="shared" si="3"/>
        <v>-1.040878423</v>
      </c>
      <c r="M149" s="1">
        <v>-0.42</v>
      </c>
    </row>
    <row r="150" ht="15.75" customHeight="1">
      <c r="A150" s="7">
        <v>44104.0</v>
      </c>
      <c r="B150" s="1">
        <v>207.729996</v>
      </c>
      <c r="C150" s="1">
        <v>211.979996</v>
      </c>
      <c r="D150" s="1">
        <v>206.539993</v>
      </c>
      <c r="E150" s="1">
        <v>210.330002</v>
      </c>
      <c r="F150" s="1">
        <v>209.298721</v>
      </c>
      <c r="G150" s="1">
        <v>3.38291E7</v>
      </c>
      <c r="I150" s="1">
        <f t="shared" si="1"/>
        <v>0.01481231138</v>
      </c>
      <c r="J150" s="1">
        <v>0.0</v>
      </c>
      <c r="K150" s="1">
        <f t="shared" si="2"/>
        <v>0.01481231138</v>
      </c>
      <c r="L150" s="1">
        <f t="shared" si="3"/>
        <v>1.481231138</v>
      </c>
      <c r="M150" s="1">
        <v>0.79</v>
      </c>
    </row>
    <row r="151" ht="15.75" customHeight="1">
      <c r="A151" s="7">
        <v>44105.0</v>
      </c>
      <c r="B151" s="1">
        <v>213.490005</v>
      </c>
      <c r="C151" s="1">
        <v>213.990005</v>
      </c>
      <c r="D151" s="1">
        <v>211.320007</v>
      </c>
      <c r="E151" s="1">
        <v>212.460007</v>
      </c>
      <c r="F151" s="1">
        <v>211.418289</v>
      </c>
      <c r="G151" s="1">
        <v>2.71584E7</v>
      </c>
      <c r="I151" s="1">
        <f t="shared" si="1"/>
        <v>0.01012699929</v>
      </c>
      <c r="J151" s="1">
        <v>0.0</v>
      </c>
      <c r="K151" s="1">
        <f t="shared" si="2"/>
        <v>0.01012699929</v>
      </c>
      <c r="L151" s="1">
        <f t="shared" si="3"/>
        <v>1.012699929</v>
      </c>
      <c r="M151" s="1">
        <v>0.79</v>
      </c>
    </row>
    <row r="152" ht="15.75" customHeight="1">
      <c r="A152" s="7">
        <v>44106.0</v>
      </c>
      <c r="B152" s="1">
        <v>208.0</v>
      </c>
      <c r="C152" s="1">
        <v>210.990005</v>
      </c>
      <c r="D152" s="1">
        <v>205.539993</v>
      </c>
      <c r="E152" s="1">
        <v>206.190002</v>
      </c>
      <c r="F152" s="1">
        <v>205.179031</v>
      </c>
      <c r="G152" s="1">
        <v>3.31548E7</v>
      </c>
      <c r="I152" s="1">
        <f t="shared" si="1"/>
        <v>-0.02951143929</v>
      </c>
      <c r="J152" s="1">
        <v>0.0</v>
      </c>
      <c r="K152" s="1">
        <f t="shared" si="2"/>
        <v>-0.02951143929</v>
      </c>
      <c r="L152" s="1">
        <f t="shared" si="3"/>
        <v>-2.951143929</v>
      </c>
      <c r="M152" s="1">
        <v>-0.96</v>
      </c>
    </row>
    <row r="153" ht="15.75" customHeight="1">
      <c r="A153" s="7">
        <v>44109.0</v>
      </c>
      <c r="B153" s="1">
        <v>207.220001</v>
      </c>
      <c r="C153" s="1">
        <v>210.410004</v>
      </c>
      <c r="D153" s="1">
        <v>206.979996</v>
      </c>
      <c r="E153" s="1">
        <v>210.380005</v>
      </c>
      <c r="F153" s="1">
        <v>209.348495</v>
      </c>
      <c r="G153" s="1">
        <v>2.13316E7</v>
      </c>
      <c r="I153" s="1">
        <f t="shared" si="1"/>
        <v>0.02032110192</v>
      </c>
      <c r="J153" s="1">
        <v>0.0</v>
      </c>
      <c r="K153" s="1">
        <f t="shared" si="2"/>
        <v>0.02032110192</v>
      </c>
      <c r="L153" s="1">
        <f t="shared" si="3"/>
        <v>2.032110192</v>
      </c>
      <c r="M153" s="1">
        <v>1.93</v>
      </c>
    </row>
    <row r="154" ht="15.75" customHeight="1">
      <c r="A154" s="7">
        <v>44110.0</v>
      </c>
      <c r="B154" s="1">
        <v>208.820007</v>
      </c>
      <c r="C154" s="1">
        <v>210.179993</v>
      </c>
      <c r="D154" s="1">
        <v>204.820007</v>
      </c>
      <c r="E154" s="1">
        <v>205.910004</v>
      </c>
      <c r="F154" s="1">
        <v>204.900406</v>
      </c>
      <c r="G154" s="1">
        <v>2.85543E7</v>
      </c>
      <c r="I154" s="1">
        <f t="shared" si="1"/>
        <v>-0.0212472939</v>
      </c>
      <c r="J154" s="1">
        <v>0.0</v>
      </c>
      <c r="K154" s="1">
        <f t="shared" si="2"/>
        <v>-0.0212472939</v>
      </c>
      <c r="L154" s="1">
        <f t="shared" si="3"/>
        <v>-2.12472939</v>
      </c>
      <c r="M154" s="1">
        <v>-1.28</v>
      </c>
    </row>
    <row r="155" ht="15.75" customHeight="1">
      <c r="A155" s="7">
        <v>44111.0</v>
      </c>
      <c r="B155" s="1">
        <v>207.059998</v>
      </c>
      <c r="C155" s="1">
        <v>210.110001</v>
      </c>
      <c r="D155" s="1">
        <v>206.720001</v>
      </c>
      <c r="E155" s="1">
        <v>209.830002</v>
      </c>
      <c r="F155" s="1">
        <v>208.801178</v>
      </c>
      <c r="G155" s="1">
        <v>2.56811E7</v>
      </c>
      <c r="I155" s="1">
        <f t="shared" si="1"/>
        <v>0.01903740493</v>
      </c>
      <c r="J155" s="1">
        <v>0.0</v>
      </c>
      <c r="K155" s="1">
        <f t="shared" si="2"/>
        <v>0.01903740493</v>
      </c>
      <c r="L155" s="1">
        <f t="shared" si="3"/>
        <v>1.903740493</v>
      </c>
      <c r="M155" s="1">
        <v>1.84</v>
      </c>
    </row>
    <row r="156" ht="15.75" customHeight="1">
      <c r="A156" s="7">
        <v>44112.0</v>
      </c>
      <c r="B156" s="1">
        <v>210.509995</v>
      </c>
      <c r="C156" s="1">
        <v>211.190002</v>
      </c>
      <c r="D156" s="1">
        <v>208.320007</v>
      </c>
      <c r="E156" s="1">
        <v>210.580002</v>
      </c>
      <c r="F156" s="1">
        <v>209.547516</v>
      </c>
      <c r="G156" s="1">
        <v>1.99258E7</v>
      </c>
      <c r="I156" s="1">
        <f t="shared" si="1"/>
        <v>0.003574395543</v>
      </c>
      <c r="J156" s="1">
        <v>0.0</v>
      </c>
      <c r="K156" s="1">
        <f t="shared" si="2"/>
        <v>0.003574395543</v>
      </c>
      <c r="L156" s="1">
        <f t="shared" si="3"/>
        <v>0.3574395543</v>
      </c>
      <c r="M156" s="1">
        <v>0.8</v>
      </c>
    </row>
    <row r="157" ht="15.75" customHeight="1">
      <c r="A157" s="7">
        <v>44113.0</v>
      </c>
      <c r="B157" s="1">
        <v>211.229996</v>
      </c>
      <c r="C157" s="1">
        <v>215.860001</v>
      </c>
      <c r="D157" s="1">
        <v>211.229996</v>
      </c>
      <c r="E157" s="1">
        <v>215.809998</v>
      </c>
      <c r="F157" s="1">
        <v>214.751862</v>
      </c>
      <c r="G157" s="1">
        <v>2.6458E7</v>
      </c>
      <c r="I157" s="1">
        <f t="shared" si="1"/>
        <v>0.02483611402</v>
      </c>
      <c r="J157" s="1">
        <v>0.0</v>
      </c>
      <c r="K157" s="1">
        <f t="shared" si="2"/>
        <v>0.02483611402</v>
      </c>
      <c r="L157" s="1">
        <f t="shared" si="3"/>
        <v>2.483611402</v>
      </c>
      <c r="M157" s="1">
        <v>0.93</v>
      </c>
    </row>
    <row r="158" ht="15.75" customHeight="1">
      <c r="A158" s="7">
        <v>44116.0</v>
      </c>
      <c r="B158" s="1">
        <v>218.789993</v>
      </c>
      <c r="C158" s="1">
        <v>223.860001</v>
      </c>
      <c r="D158" s="1">
        <v>216.809998</v>
      </c>
      <c r="E158" s="1">
        <v>221.399994</v>
      </c>
      <c r="F158" s="1">
        <v>220.314453</v>
      </c>
      <c r="G158" s="1">
        <v>4.04614E7</v>
      </c>
      <c r="I158" s="1">
        <f t="shared" si="1"/>
        <v>0.02590241103</v>
      </c>
      <c r="J158" s="1">
        <v>0.0</v>
      </c>
      <c r="K158" s="1">
        <f t="shared" si="2"/>
        <v>0.02590241103</v>
      </c>
      <c r="L158" s="1">
        <f t="shared" si="3"/>
        <v>2.590241103</v>
      </c>
      <c r="M158" s="1">
        <v>1.53</v>
      </c>
    </row>
    <row r="159" ht="15.75" customHeight="1">
      <c r="A159" s="7">
        <v>44117.0</v>
      </c>
      <c r="B159" s="1">
        <v>222.720001</v>
      </c>
      <c r="C159" s="1">
        <v>225.210007</v>
      </c>
      <c r="D159" s="1">
        <v>220.429993</v>
      </c>
      <c r="E159" s="1">
        <v>222.860001</v>
      </c>
      <c r="F159" s="1">
        <v>221.767288</v>
      </c>
      <c r="G159" s="1">
        <v>2.89508E7</v>
      </c>
      <c r="I159" s="1">
        <f t="shared" si="1"/>
        <v>0.006594369912</v>
      </c>
      <c r="J159" s="1">
        <v>0.0</v>
      </c>
      <c r="K159" s="1">
        <f t="shared" si="2"/>
        <v>0.006594369912</v>
      </c>
      <c r="L159" s="1">
        <f t="shared" si="3"/>
        <v>0.6594369912</v>
      </c>
      <c r="M159" s="1">
        <v>-0.41</v>
      </c>
    </row>
    <row r="160" ht="15.75" customHeight="1">
      <c r="A160" s="7">
        <v>44118.0</v>
      </c>
      <c r="B160" s="1">
        <v>223.0</v>
      </c>
      <c r="C160" s="1">
        <v>224.220001</v>
      </c>
      <c r="D160" s="1">
        <v>219.130005</v>
      </c>
      <c r="E160" s="1">
        <v>220.860001</v>
      </c>
      <c r="F160" s="1">
        <v>219.7771</v>
      </c>
      <c r="G160" s="1">
        <v>2.34517E7</v>
      </c>
      <c r="I160" s="1">
        <f t="shared" si="1"/>
        <v>-0.008974218055</v>
      </c>
      <c r="J160" s="1">
        <v>0.0</v>
      </c>
      <c r="K160" s="1">
        <f t="shared" si="2"/>
        <v>-0.008974218055</v>
      </c>
      <c r="L160" s="1">
        <f t="shared" si="3"/>
        <v>-0.8974218055</v>
      </c>
      <c r="M160" s="1">
        <v>-0.65</v>
      </c>
    </row>
    <row r="161" ht="15.75" customHeight="1">
      <c r="A161" s="7">
        <v>44119.0</v>
      </c>
      <c r="B161" s="1">
        <v>217.100006</v>
      </c>
      <c r="C161" s="1">
        <v>220.360001</v>
      </c>
      <c r="D161" s="1">
        <v>216.009995</v>
      </c>
      <c r="E161" s="1">
        <v>219.660004</v>
      </c>
      <c r="F161" s="1">
        <v>218.582993</v>
      </c>
      <c r="G161" s="1">
        <v>2.27331E7</v>
      </c>
      <c r="I161" s="1">
        <f t="shared" si="1"/>
        <v>-0.005433263975</v>
      </c>
      <c r="J161" s="1">
        <v>0.0</v>
      </c>
      <c r="K161" s="1">
        <f t="shared" si="2"/>
        <v>-0.005433263975</v>
      </c>
      <c r="L161" s="1">
        <f t="shared" si="3"/>
        <v>-0.5433263975</v>
      </c>
      <c r="M161" s="1">
        <v>-0.08</v>
      </c>
    </row>
    <row r="162" ht="15.75" customHeight="1">
      <c r="A162" s="7">
        <v>44120.0</v>
      </c>
      <c r="B162" s="1">
        <v>220.149994</v>
      </c>
      <c r="C162" s="1">
        <v>222.289993</v>
      </c>
      <c r="D162" s="1">
        <v>219.320007</v>
      </c>
      <c r="E162" s="1">
        <v>219.660004</v>
      </c>
      <c r="F162" s="1">
        <v>218.582993</v>
      </c>
      <c r="G162" s="1">
        <v>2.60579E7</v>
      </c>
      <c r="I162" s="1">
        <f t="shared" si="1"/>
        <v>0</v>
      </c>
      <c r="J162" s="1">
        <v>0.0</v>
      </c>
      <c r="K162" s="1">
        <f t="shared" si="2"/>
        <v>0</v>
      </c>
      <c r="L162" s="1">
        <f t="shared" si="3"/>
        <v>0</v>
      </c>
      <c r="M162" s="1">
        <v>-0.06</v>
      </c>
    </row>
    <row r="163" ht="15.75" customHeight="1">
      <c r="A163" s="7">
        <v>44123.0</v>
      </c>
      <c r="B163" s="1">
        <v>220.419998</v>
      </c>
      <c r="C163" s="1">
        <v>222.300003</v>
      </c>
      <c r="D163" s="1">
        <v>213.720001</v>
      </c>
      <c r="E163" s="1">
        <v>214.220001</v>
      </c>
      <c r="F163" s="1">
        <v>213.169662</v>
      </c>
      <c r="G163" s="1">
        <v>2.76258E7</v>
      </c>
      <c r="I163" s="1">
        <f t="shared" si="1"/>
        <v>-0.02476556353</v>
      </c>
      <c r="J163" s="1">
        <v>0.0</v>
      </c>
      <c r="K163" s="1">
        <f t="shared" si="2"/>
        <v>-0.02476556353</v>
      </c>
      <c r="L163" s="1">
        <f t="shared" si="3"/>
        <v>-2.476556353</v>
      </c>
      <c r="M163" s="1">
        <v>-1.53</v>
      </c>
    </row>
    <row r="164" ht="15.75" customHeight="1">
      <c r="A164" s="7">
        <v>44124.0</v>
      </c>
      <c r="B164" s="1">
        <v>215.800003</v>
      </c>
      <c r="C164" s="1">
        <v>217.369995</v>
      </c>
      <c r="D164" s="1">
        <v>213.089996</v>
      </c>
      <c r="E164" s="1">
        <v>214.649994</v>
      </c>
      <c r="F164" s="1">
        <v>213.597534</v>
      </c>
      <c r="G164" s="1">
        <v>2.27535E7</v>
      </c>
      <c r="I164" s="1">
        <f t="shared" si="1"/>
        <v>0.002007189935</v>
      </c>
      <c r="J164" s="1">
        <v>0.0</v>
      </c>
      <c r="K164" s="1">
        <f t="shared" si="2"/>
        <v>0.002007189935</v>
      </c>
      <c r="L164" s="1">
        <f t="shared" si="3"/>
        <v>0.2007189935</v>
      </c>
      <c r="M164" s="1">
        <v>0.34</v>
      </c>
    </row>
    <row r="165" ht="15.75" customHeight="1">
      <c r="A165" s="7">
        <v>44125.0</v>
      </c>
      <c r="B165" s="1">
        <v>213.119995</v>
      </c>
      <c r="C165" s="1">
        <v>216.919998</v>
      </c>
      <c r="D165" s="1">
        <v>213.119995</v>
      </c>
      <c r="E165" s="1">
        <v>214.800003</v>
      </c>
      <c r="F165" s="1">
        <v>213.746826</v>
      </c>
      <c r="G165" s="1">
        <v>2.27249E7</v>
      </c>
      <c r="I165" s="1">
        <f t="shared" si="1"/>
        <v>0.0006989406535</v>
      </c>
      <c r="J165" s="1">
        <v>0.0</v>
      </c>
      <c r="K165" s="1">
        <f t="shared" si="2"/>
        <v>0.0006989406535</v>
      </c>
      <c r="L165" s="1">
        <f t="shared" si="3"/>
        <v>0.06989406535</v>
      </c>
      <c r="M165" s="1">
        <v>-0.36</v>
      </c>
    </row>
    <row r="166" ht="15.75" customHeight="1">
      <c r="A166" s="7">
        <v>44126.0</v>
      </c>
      <c r="B166" s="1">
        <v>213.929993</v>
      </c>
      <c r="C166" s="1">
        <v>216.059998</v>
      </c>
      <c r="D166" s="1">
        <v>211.699997</v>
      </c>
      <c r="E166" s="1">
        <v>214.889999</v>
      </c>
      <c r="F166" s="1">
        <v>213.836365</v>
      </c>
      <c r="G166" s="1">
        <v>2.23515E7</v>
      </c>
      <c r="I166" s="1">
        <f t="shared" si="1"/>
        <v>0.0004189021268</v>
      </c>
      <c r="J166" s="1">
        <v>0.0</v>
      </c>
      <c r="K166" s="1">
        <f t="shared" si="2"/>
        <v>0.0004189021268</v>
      </c>
      <c r="L166" s="1">
        <f t="shared" si="3"/>
        <v>0.04189021268</v>
      </c>
      <c r="M166" s="1">
        <v>0.67</v>
      </c>
    </row>
    <row r="167" ht="15.75" customHeight="1">
      <c r="A167" s="7">
        <v>44127.0</v>
      </c>
      <c r="B167" s="1">
        <v>215.029999</v>
      </c>
      <c r="C167" s="1">
        <v>216.279999</v>
      </c>
      <c r="D167" s="1">
        <v>213.160004</v>
      </c>
      <c r="E167" s="1">
        <v>216.229996</v>
      </c>
      <c r="F167" s="1">
        <v>215.1698</v>
      </c>
      <c r="G167" s="1">
        <v>1.88796E7</v>
      </c>
      <c r="I167" s="1">
        <f t="shared" si="1"/>
        <v>0.006235772854</v>
      </c>
      <c r="J167" s="1">
        <v>0.0</v>
      </c>
      <c r="K167" s="1">
        <f t="shared" si="2"/>
        <v>0.006235772854</v>
      </c>
      <c r="L167" s="1">
        <f t="shared" si="3"/>
        <v>0.6235772854</v>
      </c>
      <c r="M167" s="1">
        <v>0.38</v>
      </c>
    </row>
    <row r="168" ht="15.75" customHeight="1">
      <c r="A168" s="7">
        <v>44130.0</v>
      </c>
      <c r="B168" s="1">
        <v>213.850006</v>
      </c>
      <c r="C168" s="1">
        <v>216.339996</v>
      </c>
      <c r="D168" s="1">
        <v>208.100006</v>
      </c>
      <c r="E168" s="1">
        <v>210.080002</v>
      </c>
      <c r="F168" s="1">
        <v>209.049957</v>
      </c>
      <c r="G168" s="1">
        <v>3.71116E7</v>
      </c>
      <c r="I168" s="1">
        <f t="shared" si="1"/>
        <v>-0.02844192354</v>
      </c>
      <c r="J168" s="1">
        <v>0.0</v>
      </c>
      <c r="K168" s="1">
        <f t="shared" si="2"/>
        <v>-0.02844192354</v>
      </c>
      <c r="L168" s="1">
        <f t="shared" si="3"/>
        <v>-2.844192354</v>
      </c>
      <c r="M168" s="1">
        <v>-1.85</v>
      </c>
    </row>
    <row r="169" ht="15.75" customHeight="1">
      <c r="A169" s="7">
        <v>44131.0</v>
      </c>
      <c r="B169" s="1">
        <v>211.589996</v>
      </c>
      <c r="C169" s="1">
        <v>214.669998</v>
      </c>
      <c r="D169" s="1">
        <v>210.330002</v>
      </c>
      <c r="E169" s="1">
        <v>213.25</v>
      </c>
      <c r="F169" s="1">
        <v>212.204422</v>
      </c>
      <c r="G169" s="1">
        <v>3.67003E7</v>
      </c>
      <c r="I169" s="1">
        <f t="shared" si="1"/>
        <v>0.01508952714</v>
      </c>
      <c r="J169" s="1">
        <v>0.0</v>
      </c>
      <c r="K169" s="1">
        <f t="shared" si="2"/>
        <v>0.01508952714</v>
      </c>
      <c r="L169" s="1">
        <f t="shared" si="3"/>
        <v>1.508952714</v>
      </c>
      <c r="M169" s="1">
        <v>-0.23</v>
      </c>
    </row>
    <row r="170" ht="15.75" customHeight="1">
      <c r="A170" s="7">
        <v>44132.0</v>
      </c>
      <c r="B170" s="1">
        <v>207.669998</v>
      </c>
      <c r="C170" s="1">
        <v>208.839996</v>
      </c>
      <c r="D170" s="1">
        <v>202.100006</v>
      </c>
      <c r="E170" s="1">
        <v>202.679993</v>
      </c>
      <c r="F170" s="1">
        <v>201.686234</v>
      </c>
      <c r="G170" s="1">
        <v>5.11956E7</v>
      </c>
      <c r="I170" s="1">
        <f t="shared" si="1"/>
        <v>-0.0495662998</v>
      </c>
      <c r="J170" s="1">
        <v>0.0</v>
      </c>
      <c r="K170" s="1">
        <f t="shared" si="2"/>
        <v>-0.0495662998</v>
      </c>
      <c r="L170" s="1">
        <f t="shared" si="3"/>
        <v>-4.95662998</v>
      </c>
      <c r="M170" s="1">
        <v>-3.41</v>
      </c>
    </row>
    <row r="171" ht="15.75" customHeight="1">
      <c r="A171" s="7">
        <v>44133.0</v>
      </c>
      <c r="B171" s="1">
        <v>204.070007</v>
      </c>
      <c r="C171" s="1">
        <v>207.360001</v>
      </c>
      <c r="D171" s="1">
        <v>203.369995</v>
      </c>
      <c r="E171" s="1">
        <v>204.720001</v>
      </c>
      <c r="F171" s="1">
        <v>203.716232</v>
      </c>
      <c r="G171" s="1">
        <v>3.14326E7</v>
      </c>
      <c r="I171" s="1">
        <f t="shared" si="1"/>
        <v>0.01006512918</v>
      </c>
      <c r="J171" s="1">
        <v>0.0</v>
      </c>
      <c r="K171" s="1">
        <f t="shared" si="2"/>
        <v>0.01006512918</v>
      </c>
      <c r="L171" s="1">
        <f t="shared" si="3"/>
        <v>1.006512918</v>
      </c>
      <c r="M171" s="1">
        <v>1.13</v>
      </c>
    </row>
    <row r="172" ht="15.75" customHeight="1">
      <c r="A172" s="7">
        <v>44134.0</v>
      </c>
      <c r="B172" s="1">
        <v>203.5</v>
      </c>
      <c r="C172" s="1">
        <v>204.289993</v>
      </c>
      <c r="D172" s="1">
        <v>199.619995</v>
      </c>
      <c r="E172" s="1">
        <v>202.470001</v>
      </c>
      <c r="F172" s="1">
        <v>201.47728</v>
      </c>
      <c r="G172" s="1">
        <v>3.69537E7</v>
      </c>
      <c r="I172" s="1">
        <f t="shared" si="1"/>
        <v>-0.01099054296</v>
      </c>
      <c r="J172" s="1">
        <v>0.0</v>
      </c>
      <c r="K172" s="1">
        <f t="shared" si="2"/>
        <v>-0.01099054296</v>
      </c>
      <c r="L172" s="1">
        <f t="shared" si="3"/>
        <v>-1.099054296</v>
      </c>
      <c r="M172" s="1">
        <v>-1.45</v>
      </c>
    </row>
    <row r="173" ht="15.75" customHeight="1">
      <c r="A173" s="7">
        <v>44137.0</v>
      </c>
      <c r="B173" s="1">
        <v>204.289993</v>
      </c>
      <c r="C173" s="1">
        <v>205.279999</v>
      </c>
      <c r="D173" s="1">
        <v>200.119995</v>
      </c>
      <c r="E173" s="1">
        <v>202.330002</v>
      </c>
      <c r="F173" s="1">
        <v>201.337952</v>
      </c>
      <c r="G173" s="1">
        <v>3.08422E7</v>
      </c>
      <c r="I173" s="1">
        <f t="shared" si="1"/>
        <v>-0.0006915320675</v>
      </c>
      <c r="J173" s="1">
        <v>0.0</v>
      </c>
      <c r="K173" s="1">
        <f t="shared" si="2"/>
        <v>-0.0006915320675</v>
      </c>
      <c r="L173" s="1">
        <f t="shared" si="3"/>
        <v>-0.06915320675</v>
      </c>
      <c r="M173" s="1">
        <v>1.17</v>
      </c>
    </row>
    <row r="174" ht="15.75" customHeight="1">
      <c r="A174" s="7">
        <v>44138.0</v>
      </c>
      <c r="B174" s="1">
        <v>203.889999</v>
      </c>
      <c r="C174" s="1">
        <v>208.119995</v>
      </c>
      <c r="D174" s="1">
        <v>203.119995</v>
      </c>
      <c r="E174" s="1">
        <v>206.429993</v>
      </c>
      <c r="F174" s="1">
        <v>205.417847</v>
      </c>
      <c r="G174" s="1">
        <v>2.7512E7</v>
      </c>
      <c r="I174" s="1">
        <f t="shared" si="1"/>
        <v>0.02026391428</v>
      </c>
      <c r="J174" s="1">
        <v>0.0</v>
      </c>
      <c r="K174" s="1">
        <f t="shared" si="2"/>
        <v>0.02026391428</v>
      </c>
      <c r="L174" s="1">
        <f t="shared" si="3"/>
        <v>2.026391428</v>
      </c>
      <c r="M174" s="1">
        <v>1.93</v>
      </c>
    </row>
    <row r="175" ht="15.75" customHeight="1">
      <c r="A175" s="7">
        <v>44139.0</v>
      </c>
      <c r="B175" s="1">
        <v>214.020004</v>
      </c>
      <c r="C175" s="1">
        <v>218.320007</v>
      </c>
      <c r="D175" s="1">
        <v>212.419998</v>
      </c>
      <c r="E175" s="1">
        <v>216.389999</v>
      </c>
      <c r="F175" s="1">
        <v>215.32901</v>
      </c>
      <c r="G175" s="1">
        <v>4.23118E7</v>
      </c>
      <c r="I175" s="1">
        <f t="shared" si="1"/>
        <v>0.04824879213</v>
      </c>
      <c r="J175" s="1">
        <v>0.0</v>
      </c>
      <c r="K175" s="1">
        <f t="shared" si="2"/>
        <v>0.04824879213</v>
      </c>
      <c r="L175" s="1">
        <f t="shared" si="3"/>
        <v>4.824879213</v>
      </c>
      <c r="M175" s="1">
        <v>2.25</v>
      </c>
    </row>
    <row r="176" ht="15.75" customHeight="1">
      <c r="A176" s="7">
        <v>44140.0</v>
      </c>
      <c r="B176" s="1">
        <v>222.039993</v>
      </c>
      <c r="C176" s="1">
        <v>224.119995</v>
      </c>
      <c r="D176" s="1">
        <v>221.149994</v>
      </c>
      <c r="E176" s="1">
        <v>223.289993</v>
      </c>
      <c r="F176" s="1">
        <v>222.19519</v>
      </c>
      <c r="G176" s="1">
        <v>3.60801E7</v>
      </c>
      <c r="I176" s="1">
        <f t="shared" si="1"/>
        <v>0.03188692504</v>
      </c>
      <c r="J176" s="1">
        <v>0.0</v>
      </c>
      <c r="K176" s="1">
        <f t="shared" si="2"/>
        <v>0.03188692504</v>
      </c>
      <c r="L176" s="1">
        <f t="shared" si="3"/>
        <v>3.188692504</v>
      </c>
      <c r="M176" s="1">
        <v>2.13</v>
      </c>
    </row>
    <row r="177" ht="15.75" customHeight="1">
      <c r="A177" s="7">
        <v>44141.0</v>
      </c>
      <c r="B177" s="1">
        <v>222.259995</v>
      </c>
      <c r="C177" s="1">
        <v>224.360001</v>
      </c>
      <c r="D177" s="1">
        <v>218.029999</v>
      </c>
      <c r="E177" s="1">
        <v>223.720001</v>
      </c>
      <c r="F177" s="1">
        <v>222.623077</v>
      </c>
      <c r="G177" s="1">
        <v>2.52319E7</v>
      </c>
      <c r="I177" s="1">
        <f t="shared" si="1"/>
        <v>0.001925725755</v>
      </c>
      <c r="J177" s="1">
        <v>0.0</v>
      </c>
      <c r="K177" s="1">
        <f t="shared" si="2"/>
        <v>0.001925725755</v>
      </c>
      <c r="L177" s="1">
        <f t="shared" si="3"/>
        <v>0.1925725755</v>
      </c>
      <c r="M177" s="1">
        <v>0.01</v>
      </c>
    </row>
    <row r="178" ht="15.75" customHeight="1">
      <c r="A178" s="7">
        <v>44144.0</v>
      </c>
      <c r="B178" s="1">
        <v>224.440002</v>
      </c>
      <c r="C178" s="1">
        <v>228.119995</v>
      </c>
      <c r="D178" s="1">
        <v>217.880005</v>
      </c>
      <c r="E178" s="1">
        <v>218.389999</v>
      </c>
      <c r="F178" s="1">
        <v>217.319214</v>
      </c>
      <c r="G178" s="1">
        <v>4.4395E7</v>
      </c>
      <c r="I178" s="1">
        <f t="shared" si="1"/>
        <v>-0.02382440793</v>
      </c>
      <c r="J178" s="1">
        <v>0.0</v>
      </c>
      <c r="K178" s="1">
        <f t="shared" si="2"/>
        <v>-0.02382440793</v>
      </c>
      <c r="L178" s="1">
        <f t="shared" si="3"/>
        <v>-2.382440793</v>
      </c>
      <c r="M178" s="1">
        <v>0.82</v>
      </c>
    </row>
    <row r="179" ht="15.75" customHeight="1">
      <c r="A179" s="7">
        <v>44145.0</v>
      </c>
      <c r="B179" s="1">
        <v>214.5</v>
      </c>
      <c r="C179" s="1">
        <v>216.5</v>
      </c>
      <c r="D179" s="1">
        <v>209.720001</v>
      </c>
      <c r="E179" s="1">
        <v>211.009995</v>
      </c>
      <c r="F179" s="1">
        <v>209.975388</v>
      </c>
      <c r="G179" s="1">
        <v>4.40451E7</v>
      </c>
      <c r="I179" s="1">
        <f t="shared" si="1"/>
        <v>-0.03379280582</v>
      </c>
      <c r="J179" s="1">
        <v>0.0</v>
      </c>
      <c r="K179" s="1">
        <f t="shared" si="2"/>
        <v>-0.03379280582</v>
      </c>
      <c r="L179" s="1">
        <f t="shared" si="3"/>
        <v>-3.379280582</v>
      </c>
      <c r="M179" s="1">
        <v>-0.17</v>
      </c>
    </row>
    <row r="180" ht="15.75" customHeight="1">
      <c r="A180" s="7">
        <v>44146.0</v>
      </c>
      <c r="B180" s="1">
        <v>212.389999</v>
      </c>
      <c r="C180" s="1">
        <v>218.039993</v>
      </c>
      <c r="D180" s="1">
        <v>212.199997</v>
      </c>
      <c r="E180" s="1">
        <v>216.550003</v>
      </c>
      <c r="F180" s="1">
        <v>215.488235</v>
      </c>
      <c r="G180" s="1">
        <v>2.94408E7</v>
      </c>
      <c r="I180" s="1">
        <f t="shared" si="1"/>
        <v>0.02625472944</v>
      </c>
      <c r="J180" s="1">
        <v>0.0</v>
      </c>
      <c r="K180" s="1">
        <f t="shared" si="2"/>
        <v>0.02625472944</v>
      </c>
      <c r="L180" s="1">
        <f t="shared" si="3"/>
        <v>2.625472944</v>
      </c>
      <c r="M180" s="1">
        <v>0.88</v>
      </c>
    </row>
    <row r="181" ht="15.75" customHeight="1">
      <c r="A181" s="7">
        <v>44147.0</v>
      </c>
      <c r="B181" s="1">
        <v>217.210007</v>
      </c>
      <c r="C181" s="1">
        <v>219.110001</v>
      </c>
      <c r="D181" s="1">
        <v>214.460007</v>
      </c>
      <c r="E181" s="1">
        <v>215.440002</v>
      </c>
      <c r="F181" s="1">
        <v>214.383682</v>
      </c>
      <c r="G181" s="1">
        <v>2.15939E7</v>
      </c>
      <c r="I181" s="1">
        <f t="shared" si="1"/>
        <v>-0.005125815801</v>
      </c>
      <c r="J181" s="1">
        <v>0.0</v>
      </c>
      <c r="K181" s="1">
        <f t="shared" si="2"/>
        <v>-0.005125815801</v>
      </c>
      <c r="L181" s="1">
        <f t="shared" si="3"/>
        <v>-0.5125815801</v>
      </c>
      <c r="M181" s="1">
        <v>-0.94</v>
      </c>
    </row>
    <row r="182" ht="15.75" customHeight="1">
      <c r="A182" s="7">
        <v>44148.0</v>
      </c>
      <c r="B182" s="1">
        <v>216.360001</v>
      </c>
      <c r="C182" s="1">
        <v>217.419998</v>
      </c>
      <c r="D182" s="1">
        <v>214.160004</v>
      </c>
      <c r="E182" s="1">
        <v>216.509995</v>
      </c>
      <c r="F182" s="1">
        <v>215.448425</v>
      </c>
      <c r="G182" s="1">
        <v>1.86211E7</v>
      </c>
      <c r="I182" s="1">
        <f t="shared" si="1"/>
        <v>0.004966530055</v>
      </c>
      <c r="J182" s="1">
        <v>0.0</v>
      </c>
      <c r="K182" s="1">
        <f t="shared" si="2"/>
        <v>0.004966530055</v>
      </c>
      <c r="L182" s="1">
        <f t="shared" si="3"/>
        <v>0.4966530055</v>
      </c>
      <c r="M182" s="1">
        <v>1.31</v>
      </c>
    </row>
    <row r="183" ht="15.75" customHeight="1">
      <c r="A183" s="7">
        <v>44151.0</v>
      </c>
      <c r="B183" s="1">
        <v>214.869995</v>
      </c>
      <c r="C183" s="1">
        <v>217.740005</v>
      </c>
      <c r="D183" s="1">
        <v>214.520004</v>
      </c>
      <c r="E183" s="1">
        <v>217.229996</v>
      </c>
      <c r="F183" s="1">
        <v>216.164902</v>
      </c>
      <c r="G183" s="1">
        <v>2.49533E7</v>
      </c>
      <c r="I183" s="1">
        <f t="shared" si="1"/>
        <v>0.003325515144</v>
      </c>
      <c r="J183" s="1">
        <v>0.0</v>
      </c>
      <c r="K183" s="1">
        <f t="shared" si="2"/>
        <v>0.003325515144</v>
      </c>
      <c r="L183" s="1">
        <f t="shared" si="3"/>
        <v>0.3325515144</v>
      </c>
      <c r="M183" s="1">
        <v>1.22</v>
      </c>
    </row>
    <row r="184" ht="15.75" customHeight="1">
      <c r="A184" s="7">
        <v>44152.0</v>
      </c>
      <c r="B184" s="1">
        <v>216.100006</v>
      </c>
      <c r="C184" s="1">
        <v>217.679993</v>
      </c>
      <c r="D184" s="1">
        <v>214.080002</v>
      </c>
      <c r="E184" s="1">
        <v>214.460007</v>
      </c>
      <c r="F184" s="1">
        <v>213.408493</v>
      </c>
      <c r="G184" s="1">
        <v>2.41541E7</v>
      </c>
      <c r="I184" s="1">
        <f t="shared" si="1"/>
        <v>-0.0127514179</v>
      </c>
      <c r="J184" s="1">
        <v>0.0</v>
      </c>
      <c r="K184" s="1">
        <f t="shared" si="2"/>
        <v>-0.0127514179</v>
      </c>
      <c r="L184" s="1">
        <f t="shared" si="3"/>
        <v>-1.27514179</v>
      </c>
      <c r="M184" s="1">
        <v>-0.19</v>
      </c>
    </row>
    <row r="185" ht="15.75" customHeight="1">
      <c r="A185" s="7">
        <v>44153.0</v>
      </c>
      <c r="B185" s="1">
        <v>213.649994</v>
      </c>
      <c r="C185" s="1">
        <v>215.169998</v>
      </c>
      <c r="D185" s="1">
        <v>210.929993</v>
      </c>
      <c r="E185" s="1">
        <v>211.080002</v>
      </c>
      <c r="F185" s="1">
        <v>210.594971</v>
      </c>
      <c r="G185" s="1">
        <v>2.83728E7</v>
      </c>
      <c r="I185" s="1">
        <f t="shared" si="1"/>
        <v>-0.0131837396</v>
      </c>
      <c r="J185" s="1">
        <v>0.0</v>
      </c>
      <c r="K185" s="1">
        <f t="shared" si="2"/>
        <v>-0.0131837396</v>
      </c>
      <c r="L185" s="1">
        <f t="shared" si="3"/>
        <v>-1.31837396</v>
      </c>
      <c r="M185" s="1">
        <v>-0.93</v>
      </c>
    </row>
    <row r="186" ht="15.75" customHeight="1">
      <c r="A186" s="7">
        <v>44154.0</v>
      </c>
      <c r="B186" s="1">
        <v>211.380005</v>
      </c>
      <c r="C186" s="1">
        <v>213.029999</v>
      </c>
      <c r="D186" s="1">
        <v>209.929993</v>
      </c>
      <c r="E186" s="1">
        <v>212.419998</v>
      </c>
      <c r="F186" s="1">
        <v>211.931885</v>
      </c>
      <c r="G186" s="1">
        <v>2.47927E7</v>
      </c>
      <c r="I186" s="1">
        <f t="shared" si="1"/>
        <v>0.006348271251</v>
      </c>
      <c r="J186" s="1">
        <v>0.0</v>
      </c>
      <c r="K186" s="1">
        <f t="shared" si="2"/>
        <v>0.006348271251</v>
      </c>
      <c r="L186" s="1">
        <f t="shared" si="3"/>
        <v>0.6348271251</v>
      </c>
      <c r="M186" s="1">
        <v>0.59</v>
      </c>
    </row>
    <row r="187" ht="15.75" customHeight="1">
      <c r="A187" s="7">
        <v>44155.0</v>
      </c>
      <c r="B187" s="1">
        <v>212.199997</v>
      </c>
      <c r="C187" s="1">
        <v>213.289993</v>
      </c>
      <c r="D187" s="1">
        <v>210.0</v>
      </c>
      <c r="E187" s="1">
        <v>210.389999</v>
      </c>
      <c r="F187" s="1">
        <v>209.906555</v>
      </c>
      <c r="G187" s="1">
        <v>2.28431E7</v>
      </c>
      <c r="I187" s="1">
        <f t="shared" si="1"/>
        <v>-0.009556513877</v>
      </c>
      <c r="J187" s="1">
        <v>0.0</v>
      </c>
      <c r="K187" s="1">
        <f t="shared" si="2"/>
        <v>-0.009556513877</v>
      </c>
      <c r="L187" s="1">
        <f t="shared" si="3"/>
        <v>-0.9556513877</v>
      </c>
      <c r="M187" s="1">
        <v>-0.51</v>
      </c>
    </row>
    <row r="188" ht="15.75" customHeight="1">
      <c r="A188" s="7">
        <v>44158.0</v>
      </c>
      <c r="B188" s="1">
        <v>210.949997</v>
      </c>
      <c r="C188" s="1">
        <v>212.289993</v>
      </c>
      <c r="D188" s="1">
        <v>208.160004</v>
      </c>
      <c r="E188" s="1">
        <v>210.110001</v>
      </c>
      <c r="F188" s="1">
        <v>209.627197</v>
      </c>
      <c r="G188" s="1">
        <v>2.56835E7</v>
      </c>
      <c r="I188" s="1">
        <f t="shared" si="1"/>
        <v>-0.001330868395</v>
      </c>
      <c r="J188" s="1">
        <v>0.0</v>
      </c>
      <c r="K188" s="1">
        <f t="shared" si="2"/>
        <v>-0.001330868395</v>
      </c>
      <c r="L188" s="1">
        <f t="shared" si="3"/>
        <v>-0.1330868395</v>
      </c>
      <c r="M188" s="1">
        <v>0.83</v>
      </c>
    </row>
    <row r="189" ht="15.75" customHeight="1">
      <c r="A189" s="7">
        <v>44159.0</v>
      </c>
      <c r="B189" s="1">
        <v>209.589996</v>
      </c>
      <c r="C189" s="1">
        <v>214.25</v>
      </c>
      <c r="D189" s="1">
        <v>208.860001</v>
      </c>
      <c r="E189" s="1">
        <v>213.860001</v>
      </c>
      <c r="F189" s="1">
        <v>213.368576</v>
      </c>
      <c r="G189" s="1">
        <v>3.39797E7</v>
      </c>
      <c r="I189" s="1">
        <f t="shared" si="1"/>
        <v>0.01784777478</v>
      </c>
      <c r="J189" s="1">
        <v>0.0</v>
      </c>
      <c r="K189" s="1">
        <f t="shared" si="2"/>
        <v>0.01784777478</v>
      </c>
      <c r="L189" s="1">
        <f t="shared" si="3"/>
        <v>1.784777478</v>
      </c>
      <c r="M189" s="1">
        <v>1.56</v>
      </c>
    </row>
    <row r="190" ht="15.75" customHeight="1">
      <c r="A190" s="7">
        <v>44160.0</v>
      </c>
      <c r="B190" s="1">
        <v>215.110001</v>
      </c>
      <c r="C190" s="1">
        <v>215.289993</v>
      </c>
      <c r="D190" s="1">
        <v>212.460007</v>
      </c>
      <c r="E190" s="1">
        <v>213.869995</v>
      </c>
      <c r="F190" s="1">
        <v>213.378555</v>
      </c>
      <c r="G190" s="1">
        <v>2.10129E7</v>
      </c>
      <c r="I190" s="1">
        <f t="shared" si="1"/>
        <v>0.00004676883629</v>
      </c>
      <c r="J190" s="1">
        <v>0.0</v>
      </c>
      <c r="K190" s="1">
        <f t="shared" si="2"/>
        <v>0.00004676883629</v>
      </c>
      <c r="L190" s="1">
        <f t="shared" si="3"/>
        <v>0.004676883629</v>
      </c>
      <c r="M190" s="1">
        <v>0.03</v>
      </c>
    </row>
    <row r="191" ht="15.75" customHeight="1">
      <c r="A191" s="7">
        <v>44162.0</v>
      </c>
      <c r="B191" s="1">
        <v>214.850006</v>
      </c>
      <c r="C191" s="1">
        <v>216.270004</v>
      </c>
      <c r="D191" s="1">
        <v>214.039993</v>
      </c>
      <c r="E191" s="1">
        <v>215.229996</v>
      </c>
      <c r="F191" s="1">
        <v>214.735428</v>
      </c>
      <c r="G191" s="1">
        <v>1.45122E7</v>
      </c>
      <c r="I191" s="1">
        <f t="shared" si="1"/>
        <v>0.00635899423</v>
      </c>
      <c r="J191" s="1">
        <v>0.0</v>
      </c>
      <c r="K191" s="1">
        <f t="shared" si="2"/>
        <v>0.00635899423</v>
      </c>
      <c r="L191" s="1">
        <f t="shared" si="3"/>
        <v>0.635899423</v>
      </c>
      <c r="M191" s="1">
        <v>0.43</v>
      </c>
    </row>
    <row r="192" ht="15.75" customHeight="1">
      <c r="A192" s="7">
        <v>44165.0</v>
      </c>
      <c r="B192" s="1">
        <v>214.100006</v>
      </c>
      <c r="C192" s="1">
        <v>214.759995</v>
      </c>
      <c r="D192" s="1">
        <v>210.839996</v>
      </c>
      <c r="E192" s="1">
        <v>214.070007</v>
      </c>
      <c r="F192" s="1">
        <v>213.578094</v>
      </c>
      <c r="G192" s="1">
        <v>3.30648E7</v>
      </c>
      <c r="I192" s="1">
        <f t="shared" si="1"/>
        <v>-0.00538958108</v>
      </c>
      <c r="J192" s="1">
        <v>0.0</v>
      </c>
      <c r="K192" s="1">
        <f t="shared" si="2"/>
        <v>-0.00538958108</v>
      </c>
      <c r="L192" s="1">
        <f t="shared" si="3"/>
        <v>-0.538958108</v>
      </c>
      <c r="M192" s="1">
        <v>-0.53</v>
      </c>
    </row>
    <row r="193" ht="15.75" customHeight="1">
      <c r="A193" s="7">
        <v>44166.0</v>
      </c>
      <c r="B193" s="1">
        <v>214.509995</v>
      </c>
      <c r="C193" s="1">
        <v>217.320007</v>
      </c>
      <c r="D193" s="1">
        <v>213.350006</v>
      </c>
      <c r="E193" s="1">
        <v>216.210007</v>
      </c>
      <c r="F193" s="1">
        <v>215.713181</v>
      </c>
      <c r="G193" s="1">
        <v>3.09313E7</v>
      </c>
      <c r="I193" s="1">
        <f t="shared" si="1"/>
        <v>0.009996750884</v>
      </c>
      <c r="J193" s="1">
        <v>0.0</v>
      </c>
      <c r="K193" s="1">
        <f t="shared" si="2"/>
        <v>0.009996750884</v>
      </c>
      <c r="L193" s="1">
        <f t="shared" si="3"/>
        <v>0.9996750884</v>
      </c>
      <c r="M193" s="1">
        <v>0.98</v>
      </c>
    </row>
    <row r="194" ht="15.75" customHeight="1">
      <c r="A194" s="7">
        <v>44167.0</v>
      </c>
      <c r="B194" s="1">
        <v>214.880005</v>
      </c>
      <c r="C194" s="1">
        <v>215.470001</v>
      </c>
      <c r="D194" s="1">
        <v>212.800003</v>
      </c>
      <c r="E194" s="1">
        <v>215.369995</v>
      </c>
      <c r="F194" s="1">
        <v>214.875107</v>
      </c>
      <c r="G194" s="1">
        <v>2.37245E7</v>
      </c>
      <c r="I194" s="1">
        <f t="shared" si="1"/>
        <v>-0.003885131155</v>
      </c>
      <c r="J194" s="1">
        <v>0.0</v>
      </c>
      <c r="K194" s="1">
        <f t="shared" si="2"/>
        <v>-0.003885131155</v>
      </c>
      <c r="L194" s="1">
        <f t="shared" si="3"/>
        <v>-0.3885131155</v>
      </c>
      <c r="M194" s="1">
        <v>0.11</v>
      </c>
    </row>
    <row r="195" ht="15.75" customHeight="1">
      <c r="A195" s="7">
        <v>44168.0</v>
      </c>
      <c r="B195" s="1">
        <v>214.610001</v>
      </c>
      <c r="C195" s="1">
        <v>216.380005</v>
      </c>
      <c r="D195" s="1">
        <v>213.649994</v>
      </c>
      <c r="E195" s="1">
        <v>214.240005</v>
      </c>
      <c r="F195" s="1">
        <v>213.747711</v>
      </c>
      <c r="G195" s="1">
        <v>2.51209E7</v>
      </c>
      <c r="I195" s="1">
        <f t="shared" si="1"/>
        <v>-0.005246750151</v>
      </c>
      <c r="J195" s="1">
        <v>0.0</v>
      </c>
      <c r="K195" s="1">
        <f t="shared" si="2"/>
        <v>-0.005246750151</v>
      </c>
      <c r="L195" s="1">
        <f t="shared" si="3"/>
        <v>-0.5246750151</v>
      </c>
      <c r="M195" s="1">
        <v>0.18</v>
      </c>
    </row>
    <row r="196" ht="15.75" customHeight="1">
      <c r="A196" s="7">
        <v>44169.0</v>
      </c>
      <c r="B196" s="1">
        <v>214.220001</v>
      </c>
      <c r="C196" s="1">
        <v>215.380005</v>
      </c>
      <c r="D196" s="1">
        <v>213.179993</v>
      </c>
      <c r="E196" s="1">
        <v>214.360001</v>
      </c>
      <c r="F196" s="1">
        <v>213.867432</v>
      </c>
      <c r="G196" s="1">
        <v>2.4666E7</v>
      </c>
      <c r="I196" s="1">
        <f t="shared" si="1"/>
        <v>0.0005601042436</v>
      </c>
      <c r="J196" s="1">
        <v>0.0</v>
      </c>
      <c r="K196" s="1">
        <f t="shared" si="2"/>
        <v>0.0005601042436</v>
      </c>
      <c r="L196" s="1">
        <f t="shared" si="3"/>
        <v>0.05601042436</v>
      </c>
      <c r="M196" s="1">
        <v>1.02</v>
      </c>
    </row>
    <row r="197" ht="15.75" customHeight="1">
      <c r="A197" s="7">
        <v>44172.0</v>
      </c>
      <c r="B197" s="1">
        <v>214.369995</v>
      </c>
      <c r="C197" s="1">
        <v>215.539993</v>
      </c>
      <c r="D197" s="1">
        <v>212.990005</v>
      </c>
      <c r="E197" s="1">
        <v>214.289993</v>
      </c>
      <c r="F197" s="1">
        <v>213.797577</v>
      </c>
      <c r="G197" s="1">
        <v>2.462E7</v>
      </c>
      <c r="I197" s="1">
        <f t="shared" si="1"/>
        <v>-0.0003266275718</v>
      </c>
      <c r="J197" s="1">
        <v>0.0</v>
      </c>
      <c r="K197" s="1">
        <f t="shared" si="2"/>
        <v>-0.0003266275718</v>
      </c>
      <c r="L197" s="1">
        <f t="shared" si="3"/>
        <v>-0.03266275718</v>
      </c>
      <c r="M197" s="1">
        <v>0.03</v>
      </c>
    </row>
    <row r="198" ht="15.75" customHeight="1">
      <c r="A198" s="7">
        <v>44173.0</v>
      </c>
      <c r="B198" s="1">
        <v>213.970001</v>
      </c>
      <c r="C198" s="1">
        <v>216.949997</v>
      </c>
      <c r="D198" s="1">
        <v>212.889999</v>
      </c>
      <c r="E198" s="1">
        <v>216.009995</v>
      </c>
      <c r="F198" s="1">
        <v>215.513626</v>
      </c>
      <c r="G198" s="1">
        <v>2.32841E7</v>
      </c>
      <c r="I198" s="1">
        <f t="shared" si="1"/>
        <v>0.008026512854</v>
      </c>
      <c r="J198" s="1">
        <v>0.0</v>
      </c>
      <c r="K198" s="1">
        <f t="shared" si="2"/>
        <v>0.008026512854</v>
      </c>
      <c r="L198" s="1">
        <f t="shared" si="3"/>
        <v>0.8026512854</v>
      </c>
      <c r="M198" s="1">
        <v>0.47</v>
      </c>
    </row>
    <row r="199" ht="15.75" customHeight="1">
      <c r="A199" s="7">
        <v>44174.0</v>
      </c>
      <c r="B199" s="1">
        <v>215.160004</v>
      </c>
      <c r="C199" s="1">
        <v>215.229996</v>
      </c>
      <c r="D199" s="1">
        <v>211.210007</v>
      </c>
      <c r="E199" s="1">
        <v>211.800003</v>
      </c>
      <c r="F199" s="1">
        <v>211.313309</v>
      </c>
      <c r="G199" s="1">
        <v>3.24406E7</v>
      </c>
      <c r="I199" s="1">
        <f t="shared" si="1"/>
        <v>-0.01948979783</v>
      </c>
      <c r="J199" s="1">
        <v>0.0</v>
      </c>
      <c r="K199" s="1">
        <f t="shared" si="2"/>
        <v>-0.01948979783</v>
      </c>
      <c r="L199" s="1">
        <f t="shared" si="3"/>
        <v>-1.948979783</v>
      </c>
      <c r="M199" s="1">
        <v>-1.03</v>
      </c>
    </row>
    <row r="200" ht="15.75" customHeight="1">
      <c r="A200" s="7">
        <v>44175.0</v>
      </c>
      <c r="B200" s="1">
        <v>211.770004</v>
      </c>
      <c r="C200" s="1">
        <v>213.080002</v>
      </c>
      <c r="D200" s="1">
        <v>210.360001</v>
      </c>
      <c r="E200" s="1">
        <v>210.520004</v>
      </c>
      <c r="F200" s="1">
        <v>210.036255</v>
      </c>
      <c r="G200" s="1">
        <v>2.67333E7</v>
      </c>
      <c r="I200" s="1">
        <f t="shared" si="1"/>
        <v>-0.006043414899</v>
      </c>
      <c r="J200" s="1">
        <v>0.0</v>
      </c>
      <c r="K200" s="1">
        <f t="shared" si="2"/>
        <v>-0.006043414899</v>
      </c>
      <c r="L200" s="1">
        <f t="shared" si="3"/>
        <v>-0.6043414899</v>
      </c>
      <c r="M200" s="1">
        <v>0.24</v>
      </c>
    </row>
    <row r="201" ht="15.75" customHeight="1">
      <c r="A201" s="7">
        <v>44176.0</v>
      </c>
      <c r="B201" s="1">
        <v>210.050003</v>
      </c>
      <c r="C201" s="1">
        <v>213.320007</v>
      </c>
      <c r="D201" s="1">
        <v>209.110001</v>
      </c>
      <c r="E201" s="1">
        <v>213.259995</v>
      </c>
      <c r="F201" s="1">
        <v>212.769943</v>
      </c>
      <c r="G201" s="1">
        <v>3.09794E7</v>
      </c>
      <c r="I201" s="1">
        <f t="shared" si="1"/>
        <v>0.0130153149</v>
      </c>
      <c r="J201" s="1">
        <v>0.0</v>
      </c>
      <c r="K201" s="1">
        <f t="shared" si="2"/>
        <v>0.0130153149</v>
      </c>
      <c r="L201" s="1">
        <f t="shared" si="3"/>
        <v>1.30153149</v>
      </c>
      <c r="M201" s="1">
        <v>-0.2</v>
      </c>
    </row>
    <row r="202" ht="15.75" customHeight="1">
      <c r="A202" s="7">
        <v>44179.0</v>
      </c>
      <c r="B202" s="1">
        <v>213.100006</v>
      </c>
      <c r="C202" s="1">
        <v>216.210007</v>
      </c>
      <c r="D202" s="1">
        <v>212.880005</v>
      </c>
      <c r="E202" s="1">
        <v>214.199997</v>
      </c>
      <c r="F202" s="1">
        <v>213.707794</v>
      </c>
      <c r="G202" s="1">
        <v>2.87984E7</v>
      </c>
      <c r="I202" s="1">
        <f t="shared" si="1"/>
        <v>0.004407817132</v>
      </c>
      <c r="J202" s="1">
        <v>0.0</v>
      </c>
      <c r="K202" s="1">
        <f t="shared" si="2"/>
        <v>0.004407817132</v>
      </c>
      <c r="L202" s="1">
        <f t="shared" si="3"/>
        <v>0.4407817132</v>
      </c>
      <c r="M202" s="1">
        <v>-0.28</v>
      </c>
    </row>
    <row r="203" ht="15.75" customHeight="1">
      <c r="A203" s="7">
        <v>44180.0</v>
      </c>
      <c r="B203" s="1">
        <v>215.169998</v>
      </c>
      <c r="C203" s="1">
        <v>215.419998</v>
      </c>
      <c r="D203" s="1">
        <v>212.240005</v>
      </c>
      <c r="E203" s="1">
        <v>214.130005</v>
      </c>
      <c r="F203" s="1">
        <v>213.637955</v>
      </c>
      <c r="G203" s="1">
        <v>2.70181E7</v>
      </c>
      <c r="I203" s="1">
        <f t="shared" si="1"/>
        <v>-0.0003267966914</v>
      </c>
      <c r="J203" s="1">
        <v>0.0</v>
      </c>
      <c r="K203" s="1">
        <f t="shared" si="2"/>
        <v>-0.0003267966914</v>
      </c>
      <c r="L203" s="1">
        <f t="shared" si="3"/>
        <v>-0.03267966914</v>
      </c>
      <c r="M203" s="1">
        <v>1.28</v>
      </c>
    </row>
    <row r="204" ht="15.75" customHeight="1">
      <c r="A204" s="7">
        <v>44181.0</v>
      </c>
      <c r="B204" s="1">
        <v>214.75</v>
      </c>
      <c r="C204" s="1">
        <v>220.110001</v>
      </c>
      <c r="D204" s="1">
        <v>214.720001</v>
      </c>
      <c r="E204" s="1">
        <v>219.279999</v>
      </c>
      <c r="F204" s="1">
        <v>218.776123</v>
      </c>
      <c r="G204" s="1">
        <v>3.50233E7</v>
      </c>
      <c r="I204" s="1">
        <f t="shared" si="1"/>
        <v>0.02405082</v>
      </c>
      <c r="J204" s="1">
        <v>0.0</v>
      </c>
      <c r="K204" s="1">
        <f t="shared" si="2"/>
        <v>0.02405082</v>
      </c>
      <c r="L204" s="1">
        <f t="shared" si="3"/>
        <v>2.405082</v>
      </c>
      <c r="M204" s="1">
        <v>0.17</v>
      </c>
    </row>
    <row r="205" ht="15.75" customHeight="1">
      <c r="A205" s="7">
        <v>44182.0</v>
      </c>
      <c r="B205" s="1">
        <v>219.869995</v>
      </c>
      <c r="C205" s="1">
        <v>220.889999</v>
      </c>
      <c r="D205" s="1">
        <v>217.919998</v>
      </c>
      <c r="E205" s="1">
        <v>219.419998</v>
      </c>
      <c r="F205" s="1">
        <v>218.915802</v>
      </c>
      <c r="G205" s="1">
        <v>3.25158E7</v>
      </c>
      <c r="I205" s="1">
        <f t="shared" si="1"/>
        <v>0.0006384563273</v>
      </c>
      <c r="J205" s="1">
        <v>0.0</v>
      </c>
      <c r="K205" s="1">
        <f t="shared" si="2"/>
        <v>0.0006384563273</v>
      </c>
      <c r="L205" s="1">
        <f t="shared" si="3"/>
        <v>0.06384563273</v>
      </c>
      <c r="M205" s="1">
        <v>0.79</v>
      </c>
    </row>
    <row r="206" ht="15.75" customHeight="1">
      <c r="A206" s="7">
        <v>44183.0</v>
      </c>
      <c r="B206" s="1">
        <v>218.589996</v>
      </c>
      <c r="C206" s="1">
        <v>219.690002</v>
      </c>
      <c r="D206" s="1">
        <v>216.020004</v>
      </c>
      <c r="E206" s="1">
        <v>218.589996</v>
      </c>
      <c r="F206" s="1">
        <v>218.087708</v>
      </c>
      <c r="G206" s="1">
        <v>6.33549E7</v>
      </c>
      <c r="I206" s="1">
        <f t="shared" si="1"/>
        <v>-0.003782705462</v>
      </c>
      <c r="J206" s="1">
        <v>0.0</v>
      </c>
      <c r="K206" s="1">
        <f t="shared" si="2"/>
        <v>-0.003782705462</v>
      </c>
      <c r="L206" s="1">
        <f t="shared" si="3"/>
        <v>-0.3782705462</v>
      </c>
      <c r="M206" s="1">
        <v>-0.12</v>
      </c>
    </row>
    <row r="207" ht="15.75" customHeight="1">
      <c r="A207" s="7">
        <v>44186.0</v>
      </c>
      <c r="B207" s="1">
        <v>217.550003</v>
      </c>
      <c r="C207" s="1">
        <v>224.0</v>
      </c>
      <c r="D207" s="1">
        <v>217.279999</v>
      </c>
      <c r="E207" s="1">
        <v>222.589996</v>
      </c>
      <c r="F207" s="1">
        <v>222.078506</v>
      </c>
      <c r="G207" s="1">
        <v>3.71819E7</v>
      </c>
      <c r="I207" s="1">
        <f t="shared" si="1"/>
        <v>0.01829905058</v>
      </c>
      <c r="J207" s="1">
        <v>0.0</v>
      </c>
      <c r="K207" s="1">
        <f t="shared" si="2"/>
        <v>0.01829905058</v>
      </c>
      <c r="L207" s="1">
        <f t="shared" si="3"/>
        <v>1.829905058</v>
      </c>
      <c r="M207" s="1">
        <v>-0.23</v>
      </c>
    </row>
    <row r="208" ht="15.75" customHeight="1">
      <c r="A208" s="7">
        <v>44187.0</v>
      </c>
      <c r="B208" s="1">
        <v>222.690002</v>
      </c>
      <c r="C208" s="1">
        <v>225.630005</v>
      </c>
      <c r="D208" s="1">
        <v>221.850006</v>
      </c>
      <c r="E208" s="1">
        <v>223.940002</v>
      </c>
      <c r="F208" s="1">
        <v>223.425415</v>
      </c>
      <c r="G208" s="1">
        <v>2.26122E7</v>
      </c>
      <c r="I208" s="1">
        <f t="shared" si="1"/>
        <v>0.006065012883</v>
      </c>
      <c r="J208" s="1">
        <v>0.0</v>
      </c>
      <c r="K208" s="1">
        <f t="shared" si="2"/>
        <v>0.006065012883</v>
      </c>
      <c r="L208" s="1">
        <f t="shared" si="3"/>
        <v>0.6065012883</v>
      </c>
      <c r="M208" s="1">
        <v>0.06</v>
      </c>
    </row>
    <row r="209" ht="15.75" customHeight="1">
      <c r="A209" s="7">
        <v>44188.0</v>
      </c>
      <c r="B209" s="1">
        <v>223.110001</v>
      </c>
      <c r="C209" s="1">
        <v>223.559998</v>
      </c>
      <c r="D209" s="1">
        <v>220.800003</v>
      </c>
      <c r="E209" s="1">
        <v>221.020004</v>
      </c>
      <c r="F209" s="1">
        <v>220.512131</v>
      </c>
      <c r="G209" s="1">
        <v>1.86996E7</v>
      </c>
      <c r="I209" s="1">
        <f t="shared" si="1"/>
        <v>-0.01303917909</v>
      </c>
      <c r="J209" s="1">
        <v>0.0</v>
      </c>
      <c r="K209" s="1">
        <f t="shared" si="2"/>
        <v>-0.01303917909</v>
      </c>
      <c r="L209" s="1">
        <f t="shared" si="3"/>
        <v>-1.303917909</v>
      </c>
      <c r="M209" s="1">
        <v>0.1</v>
      </c>
    </row>
    <row r="210" ht="15.75" customHeight="1">
      <c r="A210" s="7">
        <v>44189.0</v>
      </c>
      <c r="B210" s="1">
        <v>221.419998</v>
      </c>
      <c r="C210" s="1">
        <v>223.610001</v>
      </c>
      <c r="D210" s="1">
        <v>221.199997</v>
      </c>
      <c r="E210" s="1">
        <v>222.75</v>
      </c>
      <c r="F210" s="1">
        <v>222.238144</v>
      </c>
      <c r="G210" s="1">
        <v>1.05506E7</v>
      </c>
      <c r="I210" s="1">
        <f t="shared" si="1"/>
        <v>0.007827292731</v>
      </c>
      <c r="J210" s="1">
        <v>0.0</v>
      </c>
      <c r="K210" s="1">
        <f t="shared" si="2"/>
        <v>0.007827292731</v>
      </c>
      <c r="L210" s="1">
        <f t="shared" si="3"/>
        <v>0.7827292731</v>
      </c>
      <c r="M210" s="1">
        <v>0.21</v>
      </c>
    </row>
    <row r="211" ht="15.75" customHeight="1">
      <c r="A211" s="7">
        <v>44193.0</v>
      </c>
      <c r="B211" s="1">
        <v>224.449997</v>
      </c>
      <c r="C211" s="1">
        <v>226.029999</v>
      </c>
      <c r="D211" s="1">
        <v>223.020004</v>
      </c>
      <c r="E211" s="1">
        <v>224.960007</v>
      </c>
      <c r="F211" s="1">
        <v>224.443069</v>
      </c>
      <c r="G211" s="1">
        <v>1.79335E7</v>
      </c>
      <c r="I211" s="1">
        <f t="shared" si="1"/>
        <v>0.009921451648</v>
      </c>
      <c r="J211" s="1">
        <v>0.0</v>
      </c>
      <c r="K211" s="1">
        <f t="shared" si="2"/>
        <v>0.009921451648</v>
      </c>
      <c r="L211" s="1">
        <f t="shared" si="3"/>
        <v>0.9921451648</v>
      </c>
      <c r="M211" s="1">
        <v>0.46</v>
      </c>
    </row>
    <row r="212" ht="15.75" customHeight="1">
      <c r="A212" s="7">
        <v>44194.0</v>
      </c>
      <c r="B212" s="1">
        <v>226.309998</v>
      </c>
      <c r="C212" s="1">
        <v>227.179993</v>
      </c>
      <c r="D212" s="1">
        <v>223.580002</v>
      </c>
      <c r="E212" s="1">
        <v>224.149994</v>
      </c>
      <c r="F212" s="1">
        <v>223.634918</v>
      </c>
      <c r="G212" s="1">
        <v>1.74032E7</v>
      </c>
      <c r="I212" s="1">
        <f t="shared" si="1"/>
        <v>-0.003600694838</v>
      </c>
      <c r="J212" s="1">
        <v>0.0</v>
      </c>
      <c r="K212" s="1">
        <f t="shared" si="2"/>
        <v>-0.003600694838</v>
      </c>
      <c r="L212" s="1">
        <f t="shared" si="3"/>
        <v>-0.3600694838</v>
      </c>
      <c r="M212" s="1">
        <v>-0.4</v>
      </c>
    </row>
    <row r="213" ht="15.75" customHeight="1">
      <c r="A213" s="7">
        <v>44195.0</v>
      </c>
      <c r="B213" s="1">
        <v>225.229996</v>
      </c>
      <c r="C213" s="1">
        <v>225.630005</v>
      </c>
      <c r="D213" s="1">
        <v>221.470001</v>
      </c>
      <c r="E213" s="1">
        <v>221.679993</v>
      </c>
      <c r="F213" s="1">
        <v>221.170593</v>
      </c>
      <c r="G213" s="1">
        <v>2.02723E7</v>
      </c>
      <c r="I213" s="1">
        <f t="shared" si="1"/>
        <v>-0.01101941066</v>
      </c>
      <c r="J213" s="1">
        <v>0.0</v>
      </c>
      <c r="K213" s="1">
        <f t="shared" si="2"/>
        <v>-0.01101941066</v>
      </c>
      <c r="L213" s="1">
        <f t="shared" si="3"/>
        <v>-1.101941066</v>
      </c>
      <c r="M213" s="1">
        <v>0.27</v>
      </c>
    </row>
    <row r="214" ht="15.75" customHeight="1">
      <c r="A214" s="7">
        <v>44196.0</v>
      </c>
      <c r="B214" s="1">
        <v>221.699997</v>
      </c>
      <c r="C214" s="1">
        <v>223.0</v>
      </c>
      <c r="D214" s="1">
        <v>219.679993</v>
      </c>
      <c r="E214" s="1">
        <v>222.419998</v>
      </c>
      <c r="F214" s="1">
        <v>221.908905</v>
      </c>
      <c r="G214" s="1">
        <v>2.09421E7</v>
      </c>
      <c r="I214" s="1">
        <f t="shared" si="1"/>
        <v>0.003338201476</v>
      </c>
      <c r="J214" s="1">
        <v>0.0</v>
      </c>
      <c r="K214" s="1">
        <f t="shared" si="2"/>
        <v>0.003338201476</v>
      </c>
      <c r="L214" s="1">
        <f t="shared" si="3"/>
        <v>0.3338201476</v>
      </c>
      <c r="M214" s="1">
        <v>0.39</v>
      </c>
    </row>
    <row r="215" ht="15.75" customHeight="1">
      <c r="A215" s="7">
        <v>44200.0</v>
      </c>
      <c r="B215" s="1">
        <v>222.529999</v>
      </c>
      <c r="C215" s="1">
        <v>223.0</v>
      </c>
      <c r="D215" s="1">
        <v>214.809998</v>
      </c>
      <c r="E215" s="1">
        <v>217.690002</v>
      </c>
      <c r="F215" s="1">
        <v>217.189774</v>
      </c>
      <c r="G215" s="1">
        <v>3.71301E7</v>
      </c>
      <c r="I215" s="1">
        <f t="shared" si="1"/>
        <v>-0.02126607312</v>
      </c>
      <c r="J215" s="1">
        <v>0.0</v>
      </c>
      <c r="K215" s="1">
        <f t="shared" si="2"/>
        <v>-0.02126607312</v>
      </c>
      <c r="L215" s="1">
        <f t="shared" si="3"/>
        <v>-2.126607312</v>
      </c>
      <c r="M215" s="1">
        <v>-1.41</v>
      </c>
    </row>
    <row r="216" ht="15.75" customHeight="1">
      <c r="A216" s="7">
        <v>44201.0</v>
      </c>
      <c r="B216" s="1">
        <v>217.259995</v>
      </c>
      <c r="C216" s="1">
        <v>218.520004</v>
      </c>
      <c r="D216" s="1">
        <v>215.699997</v>
      </c>
      <c r="E216" s="1">
        <v>217.899994</v>
      </c>
      <c r="F216" s="1">
        <v>217.399292</v>
      </c>
      <c r="G216" s="1">
        <v>2.3823E7</v>
      </c>
      <c r="I216" s="1">
        <f t="shared" si="1"/>
        <v>0.0009646770939</v>
      </c>
      <c r="J216" s="1">
        <v>0.0</v>
      </c>
      <c r="K216" s="1">
        <f t="shared" si="2"/>
        <v>0.0009646770939</v>
      </c>
      <c r="L216" s="1">
        <f t="shared" si="3"/>
        <v>0.09646770939</v>
      </c>
      <c r="M216" s="1">
        <v>0.86</v>
      </c>
    </row>
    <row r="217" ht="15.75" customHeight="1">
      <c r="A217" s="7">
        <v>44202.0</v>
      </c>
      <c r="B217" s="1">
        <v>212.169998</v>
      </c>
      <c r="C217" s="1">
        <v>216.490005</v>
      </c>
      <c r="D217" s="1">
        <v>211.940002</v>
      </c>
      <c r="E217" s="1">
        <v>212.25</v>
      </c>
      <c r="F217" s="1">
        <v>211.762268</v>
      </c>
      <c r="G217" s="1">
        <v>3.59307E7</v>
      </c>
      <c r="I217" s="1">
        <f t="shared" si="1"/>
        <v>-0.02592935767</v>
      </c>
      <c r="J217" s="1">
        <v>0.0</v>
      </c>
      <c r="K217" s="1">
        <f t="shared" si="2"/>
        <v>-0.02592935767</v>
      </c>
      <c r="L217" s="1">
        <f t="shared" si="3"/>
        <v>-2.592935767</v>
      </c>
      <c r="M217" s="1">
        <v>0.79</v>
      </c>
    </row>
    <row r="218" ht="15.75" customHeight="1">
      <c r="A218" s="7">
        <v>44203.0</v>
      </c>
      <c r="B218" s="1">
        <v>214.039993</v>
      </c>
      <c r="C218" s="1">
        <v>219.339996</v>
      </c>
      <c r="D218" s="1">
        <v>213.710007</v>
      </c>
      <c r="E218" s="1">
        <v>218.289993</v>
      </c>
      <c r="F218" s="1">
        <v>217.788391</v>
      </c>
      <c r="G218" s="1">
        <v>2.76945E7</v>
      </c>
      <c r="I218" s="1">
        <f t="shared" si="1"/>
        <v>0.02845701955</v>
      </c>
      <c r="J218" s="1">
        <v>0.0</v>
      </c>
      <c r="K218" s="1">
        <f t="shared" si="2"/>
        <v>0.02845701955</v>
      </c>
      <c r="L218" s="1">
        <f t="shared" si="3"/>
        <v>2.845701955</v>
      </c>
      <c r="M218" s="1">
        <v>1.76</v>
      </c>
    </row>
    <row r="219" ht="15.75" customHeight="1">
      <c r="A219" s="7">
        <v>44204.0</v>
      </c>
      <c r="B219" s="1">
        <v>218.679993</v>
      </c>
      <c r="C219" s="1">
        <v>220.580002</v>
      </c>
      <c r="D219" s="1">
        <v>217.029999</v>
      </c>
      <c r="E219" s="1">
        <v>219.619995</v>
      </c>
      <c r="F219" s="1">
        <v>219.115341</v>
      </c>
      <c r="G219" s="1">
        <v>2.29562E7</v>
      </c>
      <c r="I219" s="1">
        <f t="shared" si="1"/>
        <v>0.006092840825</v>
      </c>
      <c r="J219" s="1">
        <v>0.0</v>
      </c>
      <c r="K219" s="1">
        <f t="shared" si="2"/>
        <v>0.006092840825</v>
      </c>
      <c r="L219" s="1">
        <f t="shared" si="3"/>
        <v>0.6092840825</v>
      </c>
      <c r="M219" s="1">
        <v>0.51</v>
      </c>
    </row>
    <row r="220" ht="15.75" customHeight="1">
      <c r="A220" s="7">
        <v>44207.0</v>
      </c>
      <c r="B220" s="1">
        <v>218.470001</v>
      </c>
      <c r="C220" s="1">
        <v>218.910004</v>
      </c>
      <c r="D220" s="1">
        <v>216.729996</v>
      </c>
      <c r="E220" s="1">
        <v>217.490005</v>
      </c>
      <c r="F220" s="1">
        <v>216.990234</v>
      </c>
      <c r="G220" s="1">
        <v>2.3047E7</v>
      </c>
      <c r="I220" s="1">
        <f t="shared" si="1"/>
        <v>-0.00969857697</v>
      </c>
      <c r="J220" s="1">
        <v>0.0</v>
      </c>
      <c r="K220" s="1">
        <f t="shared" si="2"/>
        <v>-0.00969857697</v>
      </c>
      <c r="L220" s="1">
        <f t="shared" si="3"/>
        <v>-0.969857697</v>
      </c>
      <c r="M220" s="1">
        <v>-0.51</v>
      </c>
    </row>
    <row r="221" ht="15.75" customHeight="1">
      <c r="A221" s="7">
        <v>44208.0</v>
      </c>
      <c r="B221" s="1">
        <v>216.5</v>
      </c>
      <c r="C221" s="1">
        <v>217.100006</v>
      </c>
      <c r="D221" s="1">
        <v>213.320007</v>
      </c>
      <c r="E221" s="1">
        <v>214.929993</v>
      </c>
      <c r="F221" s="1">
        <v>214.436111</v>
      </c>
      <c r="G221" s="1">
        <v>2.32493E7</v>
      </c>
      <c r="I221" s="1">
        <f t="shared" si="1"/>
        <v>-0.01177068181</v>
      </c>
      <c r="J221" s="1">
        <v>0.0</v>
      </c>
      <c r="K221" s="1">
        <f t="shared" si="2"/>
        <v>-0.01177068181</v>
      </c>
      <c r="L221" s="1">
        <f t="shared" si="3"/>
        <v>-1.177068181</v>
      </c>
      <c r="M221" s="1">
        <v>0.38</v>
      </c>
    </row>
    <row r="222" ht="15.75" customHeight="1">
      <c r="A222" s="7">
        <v>44209.0</v>
      </c>
      <c r="B222" s="1">
        <v>214.020004</v>
      </c>
      <c r="C222" s="1">
        <v>216.759995</v>
      </c>
      <c r="D222" s="1">
        <v>213.929993</v>
      </c>
      <c r="E222" s="1">
        <v>216.339996</v>
      </c>
      <c r="F222" s="1">
        <v>215.84288</v>
      </c>
      <c r="G222" s="1">
        <v>2.00871E7</v>
      </c>
      <c r="I222" s="1">
        <f t="shared" si="1"/>
        <v>0.006560317632</v>
      </c>
      <c r="J222" s="1">
        <v>0.0</v>
      </c>
      <c r="K222" s="1">
        <f t="shared" si="2"/>
        <v>0.006560317632</v>
      </c>
      <c r="L222" s="1">
        <f t="shared" si="3"/>
        <v>0.6560317632</v>
      </c>
      <c r="M222" s="1">
        <v>0.07</v>
      </c>
    </row>
    <row r="223" ht="15.75" customHeight="1">
      <c r="A223" s="7">
        <v>44210.0</v>
      </c>
      <c r="B223" s="1">
        <v>215.910004</v>
      </c>
      <c r="C223" s="1">
        <v>217.460007</v>
      </c>
      <c r="D223" s="1">
        <v>212.740005</v>
      </c>
      <c r="E223" s="1">
        <v>213.020004</v>
      </c>
      <c r="F223" s="1">
        <v>212.530518</v>
      </c>
      <c r="G223" s="1">
        <v>2.94808E7</v>
      </c>
      <c r="I223" s="1">
        <f t="shared" si="1"/>
        <v>-0.01534617218</v>
      </c>
      <c r="J223" s="1">
        <v>0.0</v>
      </c>
      <c r="K223" s="1">
        <f t="shared" si="2"/>
        <v>-0.01534617218</v>
      </c>
      <c r="L223" s="1">
        <f t="shared" si="3"/>
        <v>-1.534617218</v>
      </c>
      <c r="M223" s="1">
        <v>-0.11</v>
      </c>
    </row>
    <row r="224" ht="15.75" customHeight="1">
      <c r="A224" s="7">
        <v>44211.0</v>
      </c>
      <c r="B224" s="1">
        <v>213.520004</v>
      </c>
      <c r="C224" s="1">
        <v>214.509995</v>
      </c>
      <c r="D224" s="1">
        <v>212.029999</v>
      </c>
      <c r="E224" s="1">
        <v>212.649994</v>
      </c>
      <c r="F224" s="1">
        <v>212.161346</v>
      </c>
      <c r="G224" s="1">
        <v>3.17465E7</v>
      </c>
      <c r="I224" s="1">
        <f t="shared" si="1"/>
        <v>-0.001737030538</v>
      </c>
      <c r="J224" s="1">
        <v>0.0</v>
      </c>
      <c r="K224" s="1">
        <f t="shared" si="2"/>
        <v>-0.001737030538</v>
      </c>
      <c r="L224" s="1">
        <f t="shared" si="3"/>
        <v>-0.1737030538</v>
      </c>
      <c r="M224" s="1">
        <v>-0.86</v>
      </c>
    </row>
    <row r="225" ht="15.75" customHeight="1">
      <c r="A225" s="7">
        <v>44215.0</v>
      </c>
      <c r="B225" s="1">
        <v>213.75</v>
      </c>
      <c r="C225" s="1">
        <v>216.979996</v>
      </c>
      <c r="D225" s="1">
        <v>212.630005</v>
      </c>
      <c r="E225" s="1">
        <v>216.440002</v>
      </c>
      <c r="F225" s="1">
        <v>215.942642</v>
      </c>
      <c r="G225" s="1">
        <v>3.04809E7</v>
      </c>
      <c r="I225" s="1">
        <f t="shared" si="1"/>
        <v>0.01782273761</v>
      </c>
      <c r="J225" s="1">
        <v>0.0</v>
      </c>
      <c r="K225" s="1">
        <f t="shared" si="2"/>
        <v>0.01782273761</v>
      </c>
      <c r="L225" s="1">
        <f t="shared" si="3"/>
        <v>1.782273761</v>
      </c>
      <c r="M225" s="1">
        <v>0.91</v>
      </c>
    </row>
    <row r="226" ht="15.75" customHeight="1">
      <c r="A226" s="7">
        <v>44216.0</v>
      </c>
      <c r="B226" s="1">
        <v>217.699997</v>
      </c>
      <c r="C226" s="1">
        <v>225.789993</v>
      </c>
      <c r="D226" s="1">
        <v>217.289993</v>
      </c>
      <c r="E226" s="1">
        <v>224.339996</v>
      </c>
      <c r="F226" s="1">
        <v>223.824493</v>
      </c>
      <c r="G226" s="1">
        <v>3.77773E7</v>
      </c>
      <c r="I226" s="1">
        <f t="shared" si="1"/>
        <v>0.0364997433</v>
      </c>
      <c r="J226" s="1">
        <v>0.0</v>
      </c>
      <c r="K226" s="1">
        <f t="shared" si="2"/>
        <v>0.0364997433</v>
      </c>
      <c r="L226" s="1">
        <f t="shared" si="3"/>
        <v>3.64997433</v>
      </c>
      <c r="M226" s="1">
        <v>1.26</v>
      </c>
    </row>
    <row r="227" ht="15.75" customHeight="1">
      <c r="A227" s="7">
        <v>44217.0</v>
      </c>
      <c r="B227" s="1">
        <v>224.699997</v>
      </c>
      <c r="C227" s="1">
        <v>226.300003</v>
      </c>
      <c r="D227" s="1">
        <v>222.419998</v>
      </c>
      <c r="E227" s="1">
        <v>224.970001</v>
      </c>
      <c r="F227" s="1">
        <v>224.453049</v>
      </c>
      <c r="G227" s="1">
        <v>3.07496E7</v>
      </c>
      <c r="I227" s="1">
        <f t="shared" si="1"/>
        <v>0.002808253876</v>
      </c>
      <c r="J227" s="1">
        <v>0.0</v>
      </c>
      <c r="K227" s="1">
        <f t="shared" si="2"/>
        <v>0.002808253876</v>
      </c>
      <c r="L227" s="1">
        <f t="shared" si="3"/>
        <v>0.2808253876</v>
      </c>
      <c r="M227" s="1">
        <v>-0.04</v>
      </c>
    </row>
    <row r="228" ht="15.75" customHeight="1">
      <c r="A228" s="7">
        <v>44218.0</v>
      </c>
      <c r="B228" s="1">
        <v>227.080002</v>
      </c>
      <c r="C228" s="1">
        <v>230.070007</v>
      </c>
      <c r="D228" s="1">
        <v>225.800003</v>
      </c>
      <c r="E228" s="1">
        <v>225.949997</v>
      </c>
      <c r="F228" s="1">
        <v>225.430786</v>
      </c>
      <c r="G228" s="1">
        <v>3.01727E7</v>
      </c>
      <c r="I228" s="1">
        <f t="shared" si="1"/>
        <v>0.004356086961</v>
      </c>
      <c r="J228" s="1">
        <v>0.0</v>
      </c>
      <c r="K228" s="1">
        <f t="shared" si="2"/>
        <v>0.004356086961</v>
      </c>
      <c r="L228" s="1">
        <f t="shared" si="3"/>
        <v>0.4356086961</v>
      </c>
      <c r="M228" s="1">
        <v>-0.07</v>
      </c>
    </row>
    <row r="229" ht="15.75" customHeight="1">
      <c r="A229" s="7">
        <v>44221.0</v>
      </c>
      <c r="B229" s="1">
        <v>229.119995</v>
      </c>
      <c r="C229" s="1">
        <v>229.779999</v>
      </c>
      <c r="D229" s="1">
        <v>224.220001</v>
      </c>
      <c r="E229" s="1">
        <v>229.529999</v>
      </c>
      <c r="F229" s="1">
        <v>229.002563</v>
      </c>
      <c r="G229" s="1">
        <v>3.31521E7</v>
      </c>
      <c r="I229" s="1">
        <f t="shared" si="1"/>
        <v>0.01584422901</v>
      </c>
      <c r="J229" s="1">
        <v>0.0</v>
      </c>
      <c r="K229" s="1">
        <f t="shared" si="2"/>
        <v>0.01584422901</v>
      </c>
      <c r="L229" s="1">
        <f t="shared" si="3"/>
        <v>1.584422901</v>
      </c>
      <c r="M229" s="1">
        <v>0.28</v>
      </c>
    </row>
    <row r="230" ht="15.75" customHeight="1">
      <c r="A230" s="7">
        <v>44222.0</v>
      </c>
      <c r="B230" s="1">
        <v>231.860001</v>
      </c>
      <c r="C230" s="1">
        <v>234.179993</v>
      </c>
      <c r="D230" s="1">
        <v>230.080002</v>
      </c>
      <c r="E230" s="1">
        <v>232.330002</v>
      </c>
      <c r="F230" s="1">
        <v>231.796143</v>
      </c>
      <c r="G230" s="1">
        <v>4.91696E7</v>
      </c>
      <c r="I230" s="1">
        <f t="shared" si="1"/>
        <v>0.01219890277</v>
      </c>
      <c r="J230" s="1">
        <v>0.0</v>
      </c>
      <c r="K230" s="1">
        <f t="shared" si="2"/>
        <v>0.01219890277</v>
      </c>
      <c r="L230" s="1">
        <f t="shared" si="3"/>
        <v>1.219890277</v>
      </c>
      <c r="M230" s="1">
        <v>-0.32</v>
      </c>
    </row>
    <row r="231" ht="15.75" customHeight="1">
      <c r="A231" s="7">
        <v>44223.0</v>
      </c>
      <c r="B231" s="1">
        <v>238.0</v>
      </c>
      <c r="C231" s="1">
        <v>240.440002</v>
      </c>
      <c r="D231" s="1">
        <v>230.139999</v>
      </c>
      <c r="E231" s="1">
        <v>232.899994</v>
      </c>
      <c r="F231" s="1">
        <v>232.364822</v>
      </c>
      <c r="G231" s="1">
        <v>6.98706E7</v>
      </c>
      <c r="I231" s="1">
        <f t="shared" si="1"/>
        <v>0.002453358337</v>
      </c>
      <c r="J231" s="1">
        <v>0.0</v>
      </c>
      <c r="K231" s="1">
        <f t="shared" si="2"/>
        <v>0.002453358337</v>
      </c>
      <c r="L231" s="1">
        <f t="shared" si="3"/>
        <v>0.2453358337</v>
      </c>
      <c r="M231" s="1">
        <v>-2.53</v>
      </c>
    </row>
    <row r="232" ht="15.75" customHeight="1">
      <c r="A232" s="7">
        <v>44224.0</v>
      </c>
      <c r="B232" s="1">
        <v>235.610001</v>
      </c>
      <c r="C232" s="1">
        <v>242.639999</v>
      </c>
      <c r="D232" s="1">
        <v>235.089996</v>
      </c>
      <c r="E232" s="1">
        <v>238.929993</v>
      </c>
      <c r="F232" s="1">
        <v>238.380966</v>
      </c>
      <c r="G232" s="1">
        <v>4.91112E7</v>
      </c>
      <c r="I232" s="1">
        <f t="shared" si="1"/>
        <v>0.02589094144</v>
      </c>
      <c r="J232" s="1">
        <v>0.0</v>
      </c>
      <c r="K232" s="1">
        <f t="shared" si="2"/>
        <v>0.02589094144</v>
      </c>
      <c r="L232" s="1">
        <f t="shared" si="3"/>
        <v>2.589094144</v>
      </c>
      <c r="M232" s="1">
        <v>0.92</v>
      </c>
    </row>
    <row r="233" ht="15.75" customHeight="1">
      <c r="A233" s="7">
        <v>44225.0</v>
      </c>
      <c r="B233" s="1">
        <v>235.990005</v>
      </c>
      <c r="C233" s="1">
        <v>238.020004</v>
      </c>
      <c r="D233" s="1">
        <v>231.350006</v>
      </c>
      <c r="E233" s="1">
        <v>231.960007</v>
      </c>
      <c r="F233" s="1">
        <v>231.426987</v>
      </c>
      <c r="G233" s="1">
        <v>4.24689E7</v>
      </c>
      <c r="I233" s="1">
        <f t="shared" si="1"/>
        <v>-0.02917170409</v>
      </c>
      <c r="J233" s="1">
        <v>0.0</v>
      </c>
      <c r="K233" s="1">
        <f t="shared" si="2"/>
        <v>-0.02917170409</v>
      </c>
      <c r="L233" s="1">
        <f t="shared" si="3"/>
        <v>-2.917170409</v>
      </c>
      <c r="M233" s="1">
        <v>-1.84</v>
      </c>
    </row>
    <row r="234" ht="15.75" customHeight="1">
      <c r="A234" s="7">
        <v>44228.0</v>
      </c>
      <c r="B234" s="1">
        <v>235.059998</v>
      </c>
      <c r="C234" s="1">
        <v>242.5</v>
      </c>
      <c r="D234" s="1">
        <v>232.429993</v>
      </c>
      <c r="E234" s="1">
        <v>239.649994</v>
      </c>
      <c r="F234" s="1">
        <v>239.099304</v>
      </c>
      <c r="G234" s="1">
        <v>3.33142E7</v>
      </c>
      <c r="I234" s="1">
        <f t="shared" si="1"/>
        <v>0.03315221401</v>
      </c>
      <c r="J234" s="1">
        <v>0.0</v>
      </c>
      <c r="K234" s="1">
        <f t="shared" si="2"/>
        <v>0.03315221401</v>
      </c>
      <c r="L234" s="1">
        <f t="shared" si="3"/>
        <v>3.315221401</v>
      </c>
      <c r="M234" s="1">
        <v>1.73</v>
      </c>
    </row>
    <row r="235" ht="15.75" customHeight="1">
      <c r="A235" s="7">
        <v>44229.0</v>
      </c>
      <c r="B235" s="1">
        <v>241.300003</v>
      </c>
      <c r="C235" s="1">
        <v>242.309998</v>
      </c>
      <c r="D235" s="1">
        <v>238.690002</v>
      </c>
      <c r="E235" s="1">
        <v>239.509995</v>
      </c>
      <c r="F235" s="1">
        <v>238.959625</v>
      </c>
      <c r="G235" s="1">
        <v>2.59163E7</v>
      </c>
      <c r="I235" s="1">
        <f t="shared" si="1"/>
        <v>-0.0005841882334</v>
      </c>
      <c r="J235" s="1">
        <v>0.0</v>
      </c>
      <c r="K235" s="1">
        <f t="shared" si="2"/>
        <v>-0.0005841882334</v>
      </c>
      <c r="L235" s="1">
        <f t="shared" si="3"/>
        <v>-0.05841882334</v>
      </c>
      <c r="M235" s="1">
        <v>1.48</v>
      </c>
    </row>
    <row r="236" ht="15.75" customHeight="1">
      <c r="A236" s="7">
        <v>44230.0</v>
      </c>
      <c r="B236" s="1">
        <v>239.570007</v>
      </c>
      <c r="C236" s="1">
        <v>245.089996</v>
      </c>
      <c r="D236" s="1">
        <v>239.259995</v>
      </c>
      <c r="E236" s="1">
        <v>243.0</v>
      </c>
      <c r="F236" s="1">
        <v>242.44162</v>
      </c>
      <c r="G236" s="1">
        <v>2.71581E7</v>
      </c>
      <c r="I236" s="1">
        <f t="shared" si="1"/>
        <v>0.01457147834</v>
      </c>
      <c r="J236" s="1">
        <v>0.0</v>
      </c>
      <c r="K236" s="1">
        <f t="shared" si="2"/>
        <v>0.01457147834</v>
      </c>
      <c r="L236" s="1">
        <f t="shared" si="3"/>
        <v>1.457147834</v>
      </c>
      <c r="M236" s="1">
        <v>0.16</v>
      </c>
    </row>
    <row r="237" ht="15.75" customHeight="1">
      <c r="A237" s="7">
        <v>44231.0</v>
      </c>
      <c r="B237" s="1">
        <v>242.660004</v>
      </c>
      <c r="C237" s="1">
        <v>243.240005</v>
      </c>
      <c r="D237" s="1">
        <v>240.369995</v>
      </c>
      <c r="E237" s="1">
        <v>242.009995</v>
      </c>
      <c r="F237" s="1">
        <v>241.453888</v>
      </c>
      <c r="G237" s="1">
        <v>2.52961E7</v>
      </c>
      <c r="I237" s="1">
        <f t="shared" si="1"/>
        <v>-0.004074102458</v>
      </c>
      <c r="J237" s="1">
        <v>0.0</v>
      </c>
      <c r="K237" s="1">
        <f t="shared" si="2"/>
        <v>-0.004074102458</v>
      </c>
      <c r="L237" s="1">
        <f t="shared" si="3"/>
        <v>-0.4074102458</v>
      </c>
      <c r="M237" s="1">
        <v>1.23</v>
      </c>
    </row>
    <row r="238" ht="15.75" customHeight="1">
      <c r="A238" s="7">
        <v>44232.0</v>
      </c>
      <c r="B238" s="1">
        <v>242.229996</v>
      </c>
      <c r="C238" s="1">
        <v>243.279999</v>
      </c>
      <c r="D238" s="1">
        <v>240.419998</v>
      </c>
      <c r="E238" s="1">
        <v>242.199997</v>
      </c>
      <c r="F238" s="1">
        <v>241.643448</v>
      </c>
      <c r="G238" s="1">
        <v>1.80439E7</v>
      </c>
      <c r="I238" s="1">
        <f t="shared" si="1"/>
        <v>0.0007850774389</v>
      </c>
      <c r="J238" s="1">
        <v>0.0</v>
      </c>
      <c r="K238" s="1">
        <f t="shared" si="2"/>
        <v>0.0007850774389</v>
      </c>
      <c r="L238" s="1">
        <f t="shared" si="3"/>
        <v>0.07850774389</v>
      </c>
      <c r="M238" s="1">
        <v>0.58</v>
      </c>
    </row>
    <row r="239" ht="15.75" customHeight="1">
      <c r="A239" s="7">
        <v>44235.0</v>
      </c>
      <c r="B239" s="1">
        <v>243.149994</v>
      </c>
      <c r="C239" s="1">
        <v>243.679993</v>
      </c>
      <c r="D239" s="1">
        <v>240.809998</v>
      </c>
      <c r="E239" s="1">
        <v>242.470001</v>
      </c>
      <c r="F239" s="1">
        <v>241.912842</v>
      </c>
      <c r="G239" s="1">
        <v>2.22119E7</v>
      </c>
      <c r="I239" s="1">
        <f t="shared" si="1"/>
        <v>0.001114840904</v>
      </c>
      <c r="J239" s="1">
        <v>0.0</v>
      </c>
      <c r="K239" s="1">
        <f t="shared" si="2"/>
        <v>0.001114840904</v>
      </c>
      <c r="L239" s="1">
        <f t="shared" si="3"/>
        <v>0.1114840904</v>
      </c>
      <c r="M239" s="1">
        <v>0.96</v>
      </c>
    </row>
    <row r="240" ht="15.75" customHeight="1">
      <c r="A240" s="7">
        <v>44236.0</v>
      </c>
      <c r="B240" s="1">
        <v>241.869995</v>
      </c>
      <c r="C240" s="1">
        <v>244.759995</v>
      </c>
      <c r="D240" s="1">
        <v>241.380005</v>
      </c>
      <c r="E240" s="1">
        <v>243.770004</v>
      </c>
      <c r="F240" s="1">
        <v>243.209854</v>
      </c>
      <c r="G240" s="1">
        <v>2.3565E7</v>
      </c>
      <c r="I240" s="1">
        <f t="shared" si="1"/>
        <v>0.005361484695</v>
      </c>
      <c r="J240" s="1">
        <v>0.0</v>
      </c>
      <c r="K240" s="1">
        <f t="shared" si="2"/>
        <v>0.005361484695</v>
      </c>
      <c r="L240" s="1">
        <f t="shared" si="3"/>
        <v>0.5361484695</v>
      </c>
      <c r="M240" s="1">
        <v>0.05</v>
      </c>
    </row>
    <row r="241" ht="15.75" customHeight="1">
      <c r="A241" s="7">
        <v>44237.0</v>
      </c>
      <c r="B241" s="1">
        <v>245.0</v>
      </c>
      <c r="C241" s="1">
        <v>245.919998</v>
      </c>
      <c r="D241" s="1">
        <v>240.889999</v>
      </c>
      <c r="E241" s="1">
        <v>242.820007</v>
      </c>
      <c r="F241" s="1">
        <v>242.262039</v>
      </c>
      <c r="G241" s="1">
        <v>2.21867E7</v>
      </c>
      <c r="I241" s="1">
        <f t="shared" si="1"/>
        <v>-0.003897107722</v>
      </c>
      <c r="J241" s="1">
        <v>0.0</v>
      </c>
      <c r="K241" s="1">
        <f t="shared" si="2"/>
        <v>-0.003897107722</v>
      </c>
      <c r="L241" s="1">
        <f t="shared" si="3"/>
        <v>-0.3897107722</v>
      </c>
      <c r="M241" s="1">
        <v>-0.07</v>
      </c>
    </row>
    <row r="242" ht="15.75" customHeight="1">
      <c r="A242" s="7">
        <v>44238.0</v>
      </c>
      <c r="B242" s="1">
        <v>244.779999</v>
      </c>
      <c r="C242" s="1">
        <v>245.149994</v>
      </c>
      <c r="D242" s="1">
        <v>242.149994</v>
      </c>
      <c r="E242" s="1">
        <v>244.490005</v>
      </c>
      <c r="F242" s="1">
        <v>243.928192</v>
      </c>
      <c r="G242" s="1">
        <v>1.57422E7</v>
      </c>
      <c r="I242" s="1">
        <f t="shared" si="1"/>
        <v>0.006877482774</v>
      </c>
      <c r="J242" s="1">
        <v>0.0</v>
      </c>
      <c r="K242" s="1">
        <f t="shared" si="2"/>
        <v>0.006877482774</v>
      </c>
      <c r="L242" s="1">
        <f t="shared" si="3"/>
        <v>0.6877482774</v>
      </c>
      <c r="M242" s="1">
        <v>0.19</v>
      </c>
    </row>
    <row r="243" ht="15.75" customHeight="1">
      <c r="A243" s="7">
        <v>44239.0</v>
      </c>
      <c r="B243" s="1">
        <v>243.929993</v>
      </c>
      <c r="C243" s="1">
        <v>245.300003</v>
      </c>
      <c r="D243" s="1">
        <v>242.729996</v>
      </c>
      <c r="E243" s="1">
        <v>244.990005</v>
      </c>
      <c r="F243" s="1">
        <v>244.427048</v>
      </c>
      <c r="G243" s="1">
        <v>1.6552E7</v>
      </c>
      <c r="I243" s="1">
        <f t="shared" si="1"/>
        <v>0.002045093664</v>
      </c>
      <c r="J243" s="1">
        <v>0.0</v>
      </c>
      <c r="K243" s="1">
        <f t="shared" si="2"/>
        <v>0.002045093664</v>
      </c>
      <c r="L243" s="1">
        <f t="shared" si="3"/>
        <v>0.2045093664</v>
      </c>
      <c r="M243" s="1">
        <v>0.49</v>
      </c>
    </row>
    <row r="244" ht="15.75" customHeight="1">
      <c r="A244" s="7">
        <v>44243.0</v>
      </c>
      <c r="B244" s="1">
        <v>245.029999</v>
      </c>
      <c r="C244" s="1">
        <v>246.130005</v>
      </c>
      <c r="D244" s="1">
        <v>242.919998</v>
      </c>
      <c r="E244" s="1">
        <v>243.699997</v>
      </c>
      <c r="F244" s="1">
        <v>243.139999</v>
      </c>
      <c r="G244" s="1">
        <v>2.67285E7</v>
      </c>
      <c r="I244" s="1">
        <f t="shared" si="1"/>
        <v>-0.005265575191</v>
      </c>
      <c r="J244" s="1">
        <v>0.0</v>
      </c>
      <c r="K244" s="1">
        <f t="shared" si="2"/>
        <v>-0.005265575191</v>
      </c>
      <c r="L244" s="1">
        <f t="shared" si="3"/>
        <v>-0.5265575191</v>
      </c>
      <c r="M244" s="1">
        <v>-0.14</v>
      </c>
    </row>
    <row r="245" ht="15.75" customHeight="1">
      <c r="A245" s="7">
        <v>44244.0</v>
      </c>
      <c r="B245" s="1">
        <v>241.320007</v>
      </c>
      <c r="C245" s="1">
        <v>244.309998</v>
      </c>
      <c r="D245" s="1">
        <v>240.940002</v>
      </c>
      <c r="E245" s="1">
        <v>244.199997</v>
      </c>
      <c r="F245" s="1">
        <v>244.199997</v>
      </c>
      <c r="G245" s="1">
        <v>2.16535E7</v>
      </c>
      <c r="I245" s="1">
        <f t="shared" si="1"/>
        <v>0.00435961999</v>
      </c>
      <c r="J245" s="1">
        <v>0.0</v>
      </c>
      <c r="K245" s="1">
        <f t="shared" si="2"/>
        <v>0.00435961999</v>
      </c>
      <c r="L245" s="1">
        <f t="shared" si="3"/>
        <v>0.435961999</v>
      </c>
      <c r="M245" s="1">
        <v>-0.2</v>
      </c>
    </row>
    <row r="246" ht="15.75" customHeight="1">
      <c r="A246" s="7">
        <v>44245.0</v>
      </c>
      <c r="B246" s="1">
        <v>241.800003</v>
      </c>
      <c r="C246" s="1">
        <v>243.929993</v>
      </c>
      <c r="D246" s="1">
        <v>240.860001</v>
      </c>
      <c r="E246" s="1">
        <v>243.789993</v>
      </c>
      <c r="F246" s="1">
        <v>243.789993</v>
      </c>
      <c r="G246" s="1">
        <v>1.69256E7</v>
      </c>
      <c r="I246" s="1">
        <f t="shared" si="1"/>
        <v>-0.00167896808</v>
      </c>
      <c r="J246" s="1">
        <v>0.0</v>
      </c>
      <c r="K246" s="1">
        <f t="shared" si="2"/>
        <v>-0.00167896808</v>
      </c>
      <c r="L246" s="1">
        <f t="shared" si="3"/>
        <v>-0.167896808</v>
      </c>
      <c r="M246" s="1">
        <v>-0.63</v>
      </c>
    </row>
    <row r="247" ht="15.75" customHeight="1">
      <c r="A247" s="7">
        <v>44246.0</v>
      </c>
      <c r="B247" s="1">
        <v>243.75</v>
      </c>
      <c r="C247" s="1">
        <v>243.860001</v>
      </c>
      <c r="D247" s="1">
        <v>240.179993</v>
      </c>
      <c r="E247" s="1">
        <v>240.970001</v>
      </c>
      <c r="F247" s="1">
        <v>240.970001</v>
      </c>
      <c r="G247" s="1">
        <v>2.52626E7</v>
      </c>
      <c r="I247" s="1">
        <f t="shared" si="1"/>
        <v>-0.01156730006</v>
      </c>
      <c r="J247" s="1">
        <v>0.0</v>
      </c>
      <c r="K247" s="1">
        <f t="shared" si="2"/>
        <v>-0.01156730006</v>
      </c>
      <c r="L247" s="1">
        <f t="shared" si="3"/>
        <v>-1.156730006</v>
      </c>
      <c r="M247" s="1">
        <v>0.16</v>
      </c>
    </row>
    <row r="248" ht="15.75" customHeight="1">
      <c r="A248" s="7">
        <v>44249.0</v>
      </c>
      <c r="B248" s="1">
        <v>237.419998</v>
      </c>
      <c r="C248" s="1">
        <v>237.929993</v>
      </c>
      <c r="D248" s="1">
        <v>232.399994</v>
      </c>
      <c r="E248" s="1">
        <v>234.509995</v>
      </c>
      <c r="F248" s="1">
        <v>234.509995</v>
      </c>
      <c r="G248" s="1">
        <v>3.64469E7</v>
      </c>
      <c r="I248" s="1">
        <f t="shared" si="1"/>
        <v>-0.02680834118</v>
      </c>
      <c r="J248" s="1">
        <v>0.0</v>
      </c>
      <c r="K248" s="1">
        <f t="shared" si="2"/>
        <v>-0.02680834118</v>
      </c>
      <c r="L248" s="1">
        <f t="shared" si="3"/>
        <v>-2.680834118</v>
      </c>
      <c r="M248" s="1">
        <v>-1.12</v>
      </c>
    </row>
    <row r="249" ht="15.75" customHeight="1">
      <c r="A249" s="7">
        <v>44250.0</v>
      </c>
      <c r="B249" s="1">
        <v>230.330002</v>
      </c>
      <c r="C249" s="1">
        <v>234.830002</v>
      </c>
      <c r="D249" s="1">
        <v>228.729996</v>
      </c>
      <c r="E249" s="1">
        <v>233.270004</v>
      </c>
      <c r="F249" s="1">
        <v>233.270004</v>
      </c>
      <c r="G249" s="1">
        <v>3.02287E7</v>
      </c>
      <c r="I249" s="1">
        <f t="shared" si="1"/>
        <v>-0.005287582732</v>
      </c>
      <c r="J249" s="1">
        <v>0.0</v>
      </c>
      <c r="K249" s="1">
        <f t="shared" si="2"/>
        <v>-0.005287582732</v>
      </c>
      <c r="L249" s="1">
        <f t="shared" si="3"/>
        <v>-0.5287582732</v>
      </c>
      <c r="M249" s="1">
        <v>-0.15</v>
      </c>
    </row>
    <row r="250" ht="15.75" customHeight="1">
      <c r="A250" s="7">
        <v>44251.0</v>
      </c>
      <c r="B250" s="1">
        <v>230.009995</v>
      </c>
      <c r="C250" s="1">
        <v>235.199997</v>
      </c>
      <c r="D250" s="1">
        <v>229.0</v>
      </c>
      <c r="E250" s="1">
        <v>234.550003</v>
      </c>
      <c r="F250" s="1">
        <v>234.550003</v>
      </c>
      <c r="G250" s="1">
        <v>2.63397E7</v>
      </c>
      <c r="I250" s="1">
        <f t="shared" si="1"/>
        <v>0.005487199289</v>
      </c>
      <c r="J250" s="1">
        <v>0.0</v>
      </c>
      <c r="K250" s="1">
        <f t="shared" si="2"/>
        <v>0.005487199289</v>
      </c>
      <c r="L250" s="1">
        <f t="shared" si="3"/>
        <v>0.5487199289</v>
      </c>
      <c r="M250" s="1">
        <v>1.15</v>
      </c>
    </row>
    <row r="251" ht="15.75" customHeight="1">
      <c r="A251" s="7">
        <v>44252.0</v>
      </c>
      <c r="B251" s="1">
        <v>232.080002</v>
      </c>
      <c r="C251" s="1">
        <v>234.589996</v>
      </c>
      <c r="D251" s="1">
        <v>227.880005</v>
      </c>
      <c r="E251" s="1">
        <v>228.990005</v>
      </c>
      <c r="F251" s="1">
        <v>228.990005</v>
      </c>
      <c r="G251" s="1">
        <v>3.95422E7</v>
      </c>
      <c r="I251" s="1">
        <f t="shared" si="1"/>
        <v>-0.02370495813</v>
      </c>
      <c r="J251" s="1">
        <v>0.0</v>
      </c>
      <c r="K251" s="1">
        <f t="shared" si="2"/>
        <v>-0.02370495813</v>
      </c>
      <c r="L251" s="1">
        <f t="shared" si="3"/>
        <v>-2.370495813</v>
      </c>
      <c r="M251" s="1">
        <v>-2.73</v>
      </c>
    </row>
    <row r="252" ht="15.75" customHeight="1">
      <c r="A252" s="7">
        <v>44253.0</v>
      </c>
      <c r="B252" s="1">
        <v>231.529999</v>
      </c>
      <c r="C252" s="1">
        <v>235.369995</v>
      </c>
      <c r="D252" s="1">
        <v>229.539993</v>
      </c>
      <c r="E252" s="1">
        <v>232.380005</v>
      </c>
      <c r="F252" s="1">
        <v>232.380005</v>
      </c>
      <c r="G252" s="1">
        <v>3.78112E7</v>
      </c>
      <c r="I252" s="1">
        <f t="shared" si="1"/>
        <v>0.0148041396</v>
      </c>
      <c r="J252" s="1">
        <v>0.0</v>
      </c>
      <c r="K252" s="1">
        <f t="shared" si="2"/>
        <v>0.0148041396</v>
      </c>
      <c r="L252" s="1">
        <f t="shared" si="3"/>
        <v>1.48041396</v>
      </c>
      <c r="M252" s="1">
        <v>-0.28</v>
      </c>
    </row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75" right="0.75" top="1.0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2021-04-29T12:57:18Z</dcterms:created>
  <dc:creator>Microsoft Office User</dc:creator>
</cp:coreProperties>
</file>