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heet2" sheetId="1" r:id="rId4"/>
    <sheet state="visible" name="Sheet1" sheetId="2" r:id="rId5"/>
    <sheet state="visible" name="INTC" sheetId="3" r:id="rId6"/>
  </sheets>
  <definedNames/>
  <calcPr/>
  <extLst>
    <ext uri="GoogleSheetsCustomDataVersion1">
      <go:sheetsCustomData xmlns:go="http://customooxmlschemas.google.com/" r:id="rId7" roundtripDataSignature="AMtx7mgghYi4qfc+atPiTvLVW16w+Hr9/A=="/>
    </ext>
  </extLst>
</workbook>
</file>

<file path=xl/sharedStrings.xml><?xml version="1.0" encoding="utf-8"?>
<sst xmlns="http://schemas.openxmlformats.org/spreadsheetml/2006/main" count="64" uniqueCount="37">
  <si>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</si>
  <si>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</si>
  <si>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</si>
  <si>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</si>
  <si>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</si>
  <si>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</si>
  <si>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</si>
  <si>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</si>
  <si>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df</t>
  </si>
  <si>
    <t>SS</t>
  </si>
  <si>
    <t>MS</t>
  </si>
  <si>
    <t>F</t>
  </si>
  <si>
    <t>Significance F</t>
  </si>
  <si>
    <t>Regression</t>
  </si>
  <si>
    <t>Residual</t>
  </si>
  <si>
    <t>Total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</si>
  <si>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</si>
  <si>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</si>
  <si>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</si>
  <si>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</si>
  <si>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</si>
  <si>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</si>
  <si>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</si>
  <si>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Intercept</t>
  </si>
  <si>
    <t>X Variable 1</t>
  </si>
  <si>
    <t>Date</t>
  </si>
  <si>
    <t>Open</t>
  </si>
  <si>
    <t>High</t>
  </si>
  <si>
    <t>Low</t>
  </si>
  <si>
    <t>Close</t>
  </si>
  <si>
    <t>Adj Close</t>
  </si>
  <si>
    <t>Volume</t>
  </si>
  <si>
    <t>Daily Return</t>
  </si>
  <si>
    <t>RF rate</t>
  </si>
  <si>
    <t>Excess Return for INTC</t>
  </si>
  <si>
    <t>INTC</t>
  </si>
  <si>
    <t>Mkt-RF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</si>
</sst>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6">
    <font>
      <sz val="12.0"/>
      <color theme="1"/>
      <name val="Arial"/>
    </font>
    <font>
      <color theme="1"/>
      <name val="Calibri"/>
    </font>
    <font>
      <i/>
      <sz val="12.0"/>
      <color theme="1"/>
      <name val="Calibri"/>
    </font>
    <font/>
    <font>
      <sz val="12.0"/>
      <color theme="1"/>
      <name val="Calibri"/>
    </font>
    <font>
      <sz val="12.0"/>
      <color rgb="FF000000"/>
      <name val="Calibri"/>
    </font>
  </fonts>
  <fills count="2">
    <fill>
      <patternFill patternType="none"/>
    </fill>
    <fill>
      <patternFill patternType="lightGray"/>
    </fill>
  </fills>
  <borders count="3">
    <border/>
    <border>
      <top style="medium">
        <color rgb="FF000000"/>
      </top>
      <bottom style="thin">
        <color rgb="FF000000"/>
      </bottom>
    </border>
    <border>
      <bottom style="medium">
        <color rgb="FF000000"/>
      </bottom>
    </border>
  </borders>
  <cellStyleXfs count="1">
    <xf borderId="0" fillId="0" fontId="0" numFmtId="0" applyAlignment="1" applyFont="1"/>
  </cellStyleXfs>
  <cellXfs count="9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1" fillId="0" fontId="2" numFmtId="0" xfId="0" applyAlignment="1" applyBorder="1" applyFont="1">
      <alignment horizontal="center"/>
    </xf>
    <xf borderId="1" fillId="0" fontId="3" numFmtId="0" xfId="0" applyBorder="1" applyFont="1"/>
    <xf borderId="0" fillId="0" fontId="4" numFmtId="0" xfId="0" applyFont="1"/>
    <xf borderId="2" fillId="0" fontId="4" numFmtId="0" xfId="0" applyBorder="1" applyFont="1"/>
    <xf borderId="0" fillId="0" fontId="5" numFmtId="0" xfId="0" applyFont="1"/>
    <xf borderId="0" fillId="0" fontId="4" numFmtId="14" xfId="0" applyFont="1" applyNumberFormat="1"/>
    <xf borderId="0" fillId="0" fontId="1" numFmtId="0" xfId="0" applyAlignment="1" applyFont="1">
      <alignment readingOrder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26" width="10.56"/>
  </cols>
  <sheetData>
    <row r="1" ht="15.75" customHeight="1">
      <c r="A1" s="1" t="s">
        <v>0</v>
      </c>
    </row>
    <row r="2" ht="15.75" customHeight="1"/>
    <row r="3" ht="15.75" customHeight="1">
      <c r="A3" s="2" t="s">
        <v>1</v>
      </c>
      <c r="B3" s="3"/>
    </row>
    <row r="4" ht="15.75" customHeight="1">
      <c r="A4" s="4" t="s">
        <v>2</v>
      </c>
      <c r="B4" s="4">
        <v>0.7264405448024259</v>
      </c>
    </row>
    <row r="5" ht="15.75" customHeight="1">
      <c r="A5" s="4" t="s">
        <v>3</v>
      </c>
      <c r="B5" s="4">
        <v>0.5277158651328454</v>
      </c>
    </row>
    <row r="6" ht="15.75" customHeight="1">
      <c r="A6" s="4" t="s">
        <v>4</v>
      </c>
      <c r="B6" s="4">
        <v>0.5258114936212843</v>
      </c>
    </row>
    <row r="7" ht="15.75" customHeight="1">
      <c r="A7" s="4" t="s">
        <v>5</v>
      </c>
      <c r="B7" s="4">
        <v>2.3690804234520724</v>
      </c>
    </row>
    <row r="8" ht="15.75" customHeight="1">
      <c r="A8" s="5" t="s">
        <v>6</v>
      </c>
      <c r="B8" s="5">
        <v>250.0</v>
      </c>
    </row>
    <row r="9" ht="15.75" customHeight="1"/>
    <row r="10" ht="15.75" customHeight="1">
      <c r="A10" s="1" t="s">
        <v>7</v>
      </c>
    </row>
    <row r="11" ht="15.75" customHeight="1">
      <c r="A11" s="2"/>
      <c r="B11" s="2" t="s">
        <v>8</v>
      </c>
      <c r="C11" s="2" t="s">
        <v>9</v>
      </c>
      <c r="D11" s="2" t="s">
        <v>10</v>
      </c>
      <c r="E11" s="2" t="s">
        <v>11</v>
      </c>
      <c r="F11" s="2" t="s">
        <v>12</v>
      </c>
    </row>
    <row r="12" ht="15.75" customHeight="1">
      <c r="A12" s="4" t="s">
        <v>13</v>
      </c>
      <c r="B12" s="4">
        <v>1.0</v>
      </c>
      <c r="C12" s="4">
        <v>1555.2781938810615</v>
      </c>
      <c r="D12" s="4">
        <v>1555.2781938810615</v>
      </c>
      <c r="E12" s="4">
        <v>277.10762418423843</v>
      </c>
      <c r="F12" s="4">
        <v>2.7717333299500155E-42</v>
      </c>
    </row>
    <row r="13" ht="15.75" customHeight="1">
      <c r="A13" s="4" t="s">
        <v>14</v>
      </c>
      <c r="B13" s="4">
        <v>248.0</v>
      </c>
      <c r="C13" s="4">
        <v>1391.910429090395</v>
      </c>
      <c r="D13" s="4">
        <v>5.6125420527838505</v>
      </c>
      <c r="E13" s="4"/>
      <c r="F13" s="4"/>
    </row>
    <row r="14" ht="15.75" customHeight="1">
      <c r="A14" s="5" t="s">
        <v>15</v>
      </c>
      <c r="B14" s="5">
        <v>249.0</v>
      </c>
      <c r="C14" s="5">
        <v>2947.1886229714564</v>
      </c>
      <c r="D14" s="5"/>
      <c r="E14" s="5"/>
      <c r="F14" s="5"/>
    </row>
    <row r="15" ht="15.75" customHeight="1"/>
    <row r="16" ht="15.75" customHeight="1">
      <c r="A16" s="2"/>
      <c r="B16" s="2" t="s">
        <v>16</v>
      </c>
      <c r="C16" s="2" t="s">
        <v>5</v>
      </c>
      <c r="D16" s="2" t="s">
        <v>17</v>
      </c>
      <c r="E16" s="2" t="s">
        <v>18</v>
      </c>
      <c r="F16" s="2" t="s">
        <v>19</v>
      </c>
      <c r="G16" s="2" t="s">
        <v>20</v>
      </c>
      <c r="H16" s="2" t="s">
        <v>21</v>
      </c>
      <c r="I16" s="2" t="s">
        <v>22</v>
      </c>
    </row>
    <row r="17" ht="15.75" customHeight="1">
      <c r="A17" s="4" t="s">
        <v>23</v>
      </c>
      <c r="B17" s="4">
        <v>-0.12130849996226246</v>
      </c>
      <c r="C17" s="4">
        <v>0.15013515695474752</v>
      </c>
      <c r="D17" s="4">
        <v>-0.8079952918610945</v>
      </c>
      <c r="E17" s="4">
        <v>0.41986763706549646</v>
      </c>
      <c r="F17" s="4">
        <v>-0.41701104985366677</v>
      </c>
      <c r="G17" s="4">
        <v>0.17439404992914187</v>
      </c>
      <c r="H17" s="4">
        <v>-0.41701104985366677</v>
      </c>
      <c r="I17" s="4">
        <v>0.17439404992914187</v>
      </c>
    </row>
    <row r="18" ht="15.75" customHeight="1">
      <c r="A18" s="5" t="s">
        <v>24</v>
      </c>
      <c r="B18" s="5">
        <v>1.1630738423429496</v>
      </c>
      <c r="C18" s="5">
        <v>0.0698687624791612</v>
      </c>
      <c r="D18" s="5">
        <v>16.646549918353625</v>
      </c>
      <c r="E18" s="5">
        <v>2.7717333299495414E-42</v>
      </c>
      <c r="F18" s="5">
        <v>1.025462028815009</v>
      </c>
      <c r="G18" s="5">
        <v>1.3006856558708904</v>
      </c>
      <c r="H18" s="5">
        <v>1.025462028815009</v>
      </c>
      <c r="I18" s="5">
        <v>1.3006856558708904</v>
      </c>
    </row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3:B3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26" width="10.56"/>
  </cols>
  <sheetData>
    <row r="1" ht="15.75" customHeight="1">
      <c r="A1" s="1" t="s">
        <v>0</v>
      </c>
    </row>
    <row r="2" ht="15.75" customHeight="1"/>
    <row r="3" ht="15.75" customHeight="1">
      <c r="A3" s="2" t="s">
        <v>1</v>
      </c>
      <c r="B3" s="3"/>
    </row>
    <row r="4" ht="15.75" customHeight="1">
      <c r="A4" s="4" t="s">
        <v>2</v>
      </c>
      <c r="B4" s="4">
        <v>0.5445672381858319</v>
      </c>
    </row>
    <row r="5" ht="15.75" customHeight="1">
      <c r="A5" s="4" t="s">
        <v>3</v>
      </c>
      <c r="B5" s="4">
        <v>0.29655347690534456</v>
      </c>
    </row>
    <row r="6" ht="15.75" customHeight="1">
      <c r="A6" s="4" t="s">
        <v>4</v>
      </c>
      <c r="B6" s="4">
        <v>0.29345459354369413</v>
      </c>
    </row>
    <row r="7" ht="15.75" customHeight="1">
      <c r="A7" s="4" t="s">
        <v>5</v>
      </c>
      <c r="B7" s="4">
        <v>2.135150946976983</v>
      </c>
    </row>
    <row r="8" ht="15.75" customHeight="1">
      <c r="A8" s="5" t="s">
        <v>6</v>
      </c>
      <c r="B8" s="5">
        <v>229.0</v>
      </c>
    </row>
    <row r="9" ht="15.75" customHeight="1"/>
    <row r="10" ht="15.75" customHeight="1">
      <c r="A10" s="1" t="s">
        <v>7</v>
      </c>
    </row>
    <row r="11" ht="15.75" customHeight="1">
      <c r="A11" s="2"/>
      <c r="B11" s="2" t="s">
        <v>8</v>
      </c>
      <c r="C11" s="2" t="s">
        <v>9</v>
      </c>
      <c r="D11" s="2" t="s">
        <v>10</v>
      </c>
      <c r="E11" s="2" t="s">
        <v>11</v>
      </c>
      <c r="F11" s="2" t="s">
        <v>12</v>
      </c>
    </row>
    <row r="12" ht="15.75" customHeight="1">
      <c r="A12" s="4" t="s">
        <v>13</v>
      </c>
      <c r="B12" s="4">
        <v>1.0</v>
      </c>
      <c r="C12" s="4">
        <v>436.2696051738217</v>
      </c>
      <c r="D12" s="4">
        <v>436.2696051738217</v>
      </c>
      <c r="E12" s="4">
        <v>95.69688248847169</v>
      </c>
      <c r="F12" s="4">
        <v>4.402881930045636E-19</v>
      </c>
    </row>
    <row r="13" ht="15.75" customHeight="1">
      <c r="A13" s="4" t="s">
        <v>14</v>
      </c>
      <c r="B13" s="4">
        <v>227.0</v>
      </c>
      <c r="C13" s="4">
        <v>1034.8633915675127</v>
      </c>
      <c r="D13" s="4">
        <v>4.558869566376708</v>
      </c>
      <c r="E13" s="4"/>
      <c r="F13" s="4"/>
    </row>
    <row r="14" ht="15.75" customHeight="1">
      <c r="A14" s="5" t="s">
        <v>15</v>
      </c>
      <c r="B14" s="5">
        <v>228.0</v>
      </c>
      <c r="C14" s="5">
        <v>1471.1329967413344</v>
      </c>
      <c r="D14" s="5"/>
      <c r="E14" s="5"/>
      <c r="F14" s="5"/>
    </row>
    <row r="15" ht="15.75" customHeight="1"/>
    <row r="16" ht="15.75" customHeight="1">
      <c r="A16" s="2"/>
      <c r="B16" s="2" t="s">
        <v>16</v>
      </c>
      <c r="C16" s="2" t="s">
        <v>5</v>
      </c>
      <c r="D16" s="2" t="s">
        <v>17</v>
      </c>
      <c r="E16" s="2" t="s">
        <v>18</v>
      </c>
      <c r="F16" s="2" t="s">
        <v>19</v>
      </c>
      <c r="G16" s="2" t="s">
        <v>20</v>
      </c>
      <c r="H16" s="2" t="s">
        <v>21</v>
      </c>
      <c r="I16" s="2" t="s">
        <v>22</v>
      </c>
    </row>
    <row r="17" ht="15.75" customHeight="1">
      <c r="A17" s="4" t="s">
        <v>23</v>
      </c>
      <c r="B17" s="4">
        <v>-0.1182356383046786</v>
      </c>
      <c r="C17" s="4">
        <v>0.14276763646210774</v>
      </c>
      <c r="D17" s="4">
        <v>-0.8281683526788635</v>
      </c>
      <c r="E17" s="4">
        <v>0.4084450192954926</v>
      </c>
      <c r="F17" s="4">
        <v>-0.39955491334657117</v>
      </c>
      <c r="G17" s="4">
        <v>0.163083636737214</v>
      </c>
      <c r="H17" s="4">
        <v>-0.39955491334657117</v>
      </c>
      <c r="I17" s="4">
        <v>0.163083636737214</v>
      </c>
    </row>
    <row r="18" ht="15.75" customHeight="1">
      <c r="A18" s="5" t="s">
        <v>24</v>
      </c>
      <c r="B18" s="5">
        <v>0.9960642250511044</v>
      </c>
      <c r="C18" s="5">
        <v>0.10182125534543668</v>
      </c>
      <c r="D18" s="5">
        <v>9.782478340812805</v>
      </c>
      <c r="E18" s="5">
        <v>4.402881930045731E-19</v>
      </c>
      <c r="F18" s="5">
        <v>0.7954285456530202</v>
      </c>
      <c r="G18" s="5">
        <v>1.1966999044491886</v>
      </c>
      <c r="H18" s="5">
        <v>0.7954285456530202</v>
      </c>
      <c r="I18" s="5">
        <v>1.1966999044491886</v>
      </c>
    </row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3:B3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8" width="10.56"/>
    <col customWidth="1" min="9" max="9" width="12.78"/>
    <col customWidth="1" min="10" max="10" width="10.56"/>
    <col customWidth="1" min="11" max="11" width="20.11"/>
    <col customWidth="1" min="12" max="26" width="10.56"/>
  </cols>
  <sheetData>
    <row r="1" ht="15.75" customHeight="1">
      <c r="A1" s="1" t="s">
        <v>25</v>
      </c>
      <c r="B1" s="1" t="s">
        <v>26</v>
      </c>
      <c r="C1" s="1" t="s">
        <v>27</v>
      </c>
      <c r="D1" s="1" t="s">
        <v>28</v>
      </c>
      <c r="E1" s="1" t="s">
        <v>29</v>
      </c>
      <c r="F1" s="1" t="s">
        <v>30</v>
      </c>
      <c r="G1" s="1" t="s">
        <v>31</v>
      </c>
      <c r="I1" s="6" t="s">
        <v>32</v>
      </c>
      <c r="J1" s="6" t="s">
        <v>33</v>
      </c>
      <c r="K1" s="6" t="s">
        <v>34</v>
      </c>
      <c r="L1" s="6" t="s">
        <v>35</v>
      </c>
      <c r="M1" s="6" t="s">
        <v>36</v>
      </c>
    </row>
    <row r="2" ht="15.75" customHeight="1">
      <c r="A2" s="7">
        <v>43892.0</v>
      </c>
      <c r="B2" s="1">
        <v>55.790001</v>
      </c>
      <c r="C2" s="1">
        <v>58.220001</v>
      </c>
      <c r="D2" s="1">
        <v>54.52</v>
      </c>
      <c r="E2" s="1">
        <v>58.18</v>
      </c>
      <c r="F2" s="1">
        <v>56.703815</v>
      </c>
      <c r="G2" s="1">
        <v>4.31403E7</v>
      </c>
      <c r="J2" s="1">
        <v>0.006</v>
      </c>
      <c r="M2" s="1">
        <v>4.31</v>
      </c>
    </row>
    <row r="3" ht="15.75" customHeight="1">
      <c r="A3" s="7">
        <v>43893.0</v>
      </c>
      <c r="B3" s="1">
        <v>58.029999</v>
      </c>
      <c r="C3" s="1">
        <v>59.02</v>
      </c>
      <c r="D3" s="1">
        <v>55.400002</v>
      </c>
      <c r="E3" s="1">
        <v>55.970001</v>
      </c>
      <c r="F3" s="1">
        <v>54.549889</v>
      </c>
      <c r="G3" s="1">
        <v>4.97403E7</v>
      </c>
      <c r="I3" s="1">
        <f t="shared" ref="I3:I252" si="1">(F3-F2)/F2</f>
        <v>-0.03798555706</v>
      </c>
      <c r="J3" s="1">
        <v>0.006</v>
      </c>
      <c r="K3" s="1">
        <f t="shared" ref="K3:K252" si="2">I3-J3</f>
        <v>-0.04398555706</v>
      </c>
      <c r="L3" s="1">
        <f t="shared" ref="L3:L252" si="3">100*K3</f>
        <v>-4.398555706</v>
      </c>
      <c r="M3" s="1">
        <v>-2.79</v>
      </c>
      <c r="N3" s="8">
        <v>3.0</v>
      </c>
      <c r="O3" s="8">
        <v>4.0</v>
      </c>
    </row>
    <row r="4" ht="15.75" customHeight="1">
      <c r="A4" s="7">
        <v>43894.0</v>
      </c>
      <c r="B4" s="1">
        <v>57.009998</v>
      </c>
      <c r="C4" s="1">
        <v>58.709999</v>
      </c>
      <c r="D4" s="1">
        <v>56.16</v>
      </c>
      <c r="E4" s="1">
        <v>58.68</v>
      </c>
      <c r="F4" s="1">
        <v>57.191128</v>
      </c>
      <c r="G4" s="1">
        <v>2.92231E7</v>
      </c>
      <c r="I4" s="1">
        <f t="shared" si="1"/>
        <v>0.04841877863</v>
      </c>
      <c r="J4" s="1">
        <v>0.006</v>
      </c>
      <c r="K4" s="1">
        <f t="shared" si="2"/>
        <v>0.04241877863</v>
      </c>
      <c r="L4" s="1">
        <f t="shared" si="3"/>
        <v>4.241877863</v>
      </c>
      <c r="M4" s="1">
        <v>4.03</v>
      </c>
      <c r="N4" s="1">
        <f>AVERAGE(L3:L252)</f>
        <v>0.0369625885</v>
      </c>
      <c r="O4" s="1">
        <f>AVERAGE(L24:L252)</f>
        <v>0.09493950436</v>
      </c>
    </row>
    <row r="5" ht="15.75" customHeight="1">
      <c r="A5" s="7">
        <v>43895.0</v>
      </c>
      <c r="B5" s="1">
        <v>57.060001</v>
      </c>
      <c r="C5" s="1">
        <v>58.66</v>
      </c>
      <c r="D5" s="1">
        <v>56.610001</v>
      </c>
      <c r="E5" s="1">
        <v>56.959999</v>
      </c>
      <c r="F5" s="1">
        <v>55.514767</v>
      </c>
      <c r="G5" s="1">
        <v>2.90992E7</v>
      </c>
      <c r="I5" s="1">
        <f t="shared" si="1"/>
        <v>-0.02931155686</v>
      </c>
      <c r="J5" s="1">
        <v>0.006</v>
      </c>
      <c r="K5" s="1">
        <f t="shared" si="2"/>
        <v>-0.03531155686</v>
      </c>
      <c r="L5" s="1">
        <f t="shared" si="3"/>
        <v>-3.531155686</v>
      </c>
      <c r="M5" s="1">
        <v>-3.38</v>
      </c>
    </row>
    <row r="6" ht="15.75" customHeight="1">
      <c r="A6" s="7">
        <v>43896.0</v>
      </c>
      <c r="B6" s="1">
        <v>55.18</v>
      </c>
      <c r="C6" s="1">
        <v>56.009998</v>
      </c>
      <c r="D6" s="1">
        <v>54.540001</v>
      </c>
      <c r="E6" s="1">
        <v>55.77</v>
      </c>
      <c r="F6" s="1">
        <v>54.354961</v>
      </c>
      <c r="G6" s="1">
        <v>3.62592E7</v>
      </c>
      <c r="I6" s="1">
        <f t="shared" si="1"/>
        <v>-0.02089184667</v>
      </c>
      <c r="J6" s="1">
        <v>0.006</v>
      </c>
      <c r="K6" s="1">
        <f t="shared" si="2"/>
        <v>-0.02689184667</v>
      </c>
      <c r="L6" s="1">
        <f t="shared" si="3"/>
        <v>-2.689184667</v>
      </c>
      <c r="M6" s="1">
        <v>-1.78</v>
      </c>
    </row>
    <row r="7" ht="15.75" customHeight="1">
      <c r="A7" s="7">
        <v>43899.0</v>
      </c>
      <c r="B7" s="1">
        <v>51.919998</v>
      </c>
      <c r="C7" s="1">
        <v>52.709999</v>
      </c>
      <c r="D7" s="1">
        <v>50.0</v>
      </c>
      <c r="E7" s="1">
        <v>50.849998</v>
      </c>
      <c r="F7" s="1">
        <v>49.559795</v>
      </c>
      <c r="G7" s="1">
        <v>5.6197E7</v>
      </c>
      <c r="I7" s="1">
        <f t="shared" si="1"/>
        <v>-0.08821947274</v>
      </c>
      <c r="J7" s="1">
        <v>0.006</v>
      </c>
      <c r="K7" s="1">
        <f t="shared" si="2"/>
        <v>-0.09421947274</v>
      </c>
      <c r="L7" s="1">
        <f t="shared" si="3"/>
        <v>-9.421947274</v>
      </c>
      <c r="M7" s="1">
        <v>-7.79</v>
      </c>
    </row>
    <row r="8" ht="15.75" customHeight="1">
      <c r="A8" s="7">
        <v>43900.0</v>
      </c>
      <c r="B8" s="1">
        <v>52.759998</v>
      </c>
      <c r="C8" s="1">
        <v>54.0</v>
      </c>
      <c r="D8" s="1">
        <v>50.43</v>
      </c>
      <c r="E8" s="1">
        <v>53.98</v>
      </c>
      <c r="F8" s="1">
        <v>52.610378</v>
      </c>
      <c r="G8" s="1">
        <v>3.6569E7</v>
      </c>
      <c r="I8" s="1">
        <f t="shared" si="1"/>
        <v>0.06155358391</v>
      </c>
      <c r="J8" s="1">
        <v>0.006</v>
      </c>
      <c r="K8" s="1">
        <f t="shared" si="2"/>
        <v>0.05555358391</v>
      </c>
      <c r="L8" s="1">
        <f t="shared" si="3"/>
        <v>5.555358391</v>
      </c>
      <c r="M8" s="1">
        <v>4.74</v>
      </c>
    </row>
    <row r="9" ht="15.75" customHeight="1">
      <c r="A9" s="7">
        <v>43901.0</v>
      </c>
      <c r="B9" s="1">
        <v>52.389999</v>
      </c>
      <c r="C9" s="1">
        <v>53.540001</v>
      </c>
      <c r="D9" s="1">
        <v>51.009998</v>
      </c>
      <c r="E9" s="1">
        <v>51.66</v>
      </c>
      <c r="F9" s="1">
        <v>50.349247</v>
      </c>
      <c r="G9" s="1">
        <v>3.85635E7</v>
      </c>
      <c r="I9" s="1">
        <f t="shared" si="1"/>
        <v>-0.04297880163</v>
      </c>
      <c r="J9" s="1">
        <v>0.006</v>
      </c>
      <c r="K9" s="1">
        <f t="shared" si="2"/>
        <v>-0.04897880163</v>
      </c>
      <c r="L9" s="1">
        <f t="shared" si="3"/>
        <v>-4.897880163</v>
      </c>
      <c r="M9" s="1">
        <v>-5.05</v>
      </c>
    </row>
    <row r="10" ht="15.75" customHeight="1">
      <c r="A10" s="7">
        <v>43902.0</v>
      </c>
      <c r="B10" s="1">
        <v>47.990002</v>
      </c>
      <c r="C10" s="1">
        <v>50.09</v>
      </c>
      <c r="D10" s="1">
        <v>45.369999</v>
      </c>
      <c r="E10" s="1">
        <v>45.540001</v>
      </c>
      <c r="F10" s="1">
        <v>44.384529</v>
      </c>
      <c r="G10" s="1">
        <v>5.06617E7</v>
      </c>
      <c r="I10" s="1">
        <f t="shared" si="1"/>
        <v>-0.118466876</v>
      </c>
      <c r="J10" s="1">
        <v>0.006</v>
      </c>
      <c r="K10" s="1">
        <f t="shared" si="2"/>
        <v>-0.124466876</v>
      </c>
      <c r="L10" s="1">
        <f t="shared" si="3"/>
        <v>-12.4466876</v>
      </c>
      <c r="M10" s="1">
        <v>-9.63</v>
      </c>
    </row>
    <row r="11" ht="15.75" customHeight="1">
      <c r="A11" s="7">
        <v>43903.0</v>
      </c>
      <c r="B11" s="1">
        <v>48.259998</v>
      </c>
      <c r="C11" s="1">
        <v>55.0</v>
      </c>
      <c r="D11" s="1">
        <v>47.740002</v>
      </c>
      <c r="E11" s="1">
        <v>54.43</v>
      </c>
      <c r="F11" s="1">
        <v>53.048958</v>
      </c>
      <c r="G11" s="1">
        <v>4.88051E7</v>
      </c>
      <c r="I11" s="1">
        <f t="shared" si="1"/>
        <v>0.1952128184</v>
      </c>
      <c r="J11" s="1">
        <v>0.006</v>
      </c>
      <c r="K11" s="1">
        <f t="shared" si="2"/>
        <v>0.1892128184</v>
      </c>
      <c r="L11" s="1">
        <f t="shared" si="3"/>
        <v>18.92128184</v>
      </c>
      <c r="M11" s="1">
        <v>8.96</v>
      </c>
    </row>
    <row r="12" ht="15.75" customHeight="1">
      <c r="A12" s="7">
        <v>43906.0</v>
      </c>
      <c r="B12" s="1">
        <v>47.509998</v>
      </c>
      <c r="C12" s="1">
        <v>52.25</v>
      </c>
      <c r="D12" s="1">
        <v>43.630001</v>
      </c>
      <c r="E12" s="1">
        <v>44.610001</v>
      </c>
      <c r="F12" s="1">
        <v>43.478127</v>
      </c>
      <c r="G12" s="1">
        <v>5.38789E7</v>
      </c>
      <c r="I12" s="1">
        <f t="shared" si="1"/>
        <v>-0.1804150611</v>
      </c>
      <c r="J12" s="1">
        <v>0.006</v>
      </c>
      <c r="K12" s="1">
        <f t="shared" si="2"/>
        <v>-0.1864150611</v>
      </c>
      <c r="L12" s="1">
        <f t="shared" si="3"/>
        <v>-18.64150611</v>
      </c>
      <c r="M12" s="1">
        <v>-12.0</v>
      </c>
    </row>
    <row r="13" ht="15.75" customHeight="1">
      <c r="A13" s="7">
        <v>43907.0</v>
      </c>
      <c r="B13" s="1">
        <v>45.759998</v>
      </c>
      <c r="C13" s="1">
        <v>51.630001</v>
      </c>
      <c r="D13" s="1">
        <v>45.200001</v>
      </c>
      <c r="E13" s="1">
        <v>50.080002</v>
      </c>
      <c r="F13" s="1">
        <v>48.809338</v>
      </c>
      <c r="G13" s="1">
        <v>5.20852E7</v>
      </c>
      <c r="I13" s="1">
        <f t="shared" si="1"/>
        <v>0.1226182305</v>
      </c>
      <c r="J13" s="1">
        <v>0.006</v>
      </c>
      <c r="K13" s="1">
        <f t="shared" si="2"/>
        <v>0.1166182305</v>
      </c>
      <c r="L13" s="1">
        <f t="shared" si="3"/>
        <v>11.66182305</v>
      </c>
      <c r="M13" s="1">
        <v>5.87</v>
      </c>
    </row>
    <row r="14" ht="15.75" customHeight="1">
      <c r="A14" s="7">
        <v>43908.0</v>
      </c>
      <c r="B14" s="1">
        <v>46.709999</v>
      </c>
      <c r="C14" s="1">
        <v>50.049999</v>
      </c>
      <c r="D14" s="1">
        <v>45.200001</v>
      </c>
      <c r="E14" s="1">
        <v>47.610001</v>
      </c>
      <c r="F14" s="1">
        <v>46.402004</v>
      </c>
      <c r="G14" s="1">
        <v>4.93099E7</v>
      </c>
      <c r="I14" s="1">
        <f t="shared" si="1"/>
        <v>-0.04932117703</v>
      </c>
      <c r="J14" s="1">
        <v>0.006</v>
      </c>
      <c r="K14" s="1">
        <f t="shared" si="2"/>
        <v>-0.05532117703</v>
      </c>
      <c r="L14" s="1">
        <f t="shared" si="3"/>
        <v>-5.532117703</v>
      </c>
      <c r="M14" s="1">
        <v>-5.56</v>
      </c>
    </row>
    <row r="15" ht="15.75" customHeight="1">
      <c r="A15" s="7">
        <v>43909.0</v>
      </c>
      <c r="B15" s="1">
        <v>47.84</v>
      </c>
      <c r="C15" s="1">
        <v>49.23</v>
      </c>
      <c r="D15" s="1">
        <v>45.16</v>
      </c>
      <c r="E15" s="1">
        <v>45.939999</v>
      </c>
      <c r="F15" s="1">
        <v>44.774372</v>
      </c>
      <c r="G15" s="1">
        <v>4.4538E7</v>
      </c>
      <c r="I15" s="1">
        <f t="shared" si="1"/>
        <v>-0.03507676091</v>
      </c>
      <c r="J15" s="1">
        <v>0.006</v>
      </c>
      <c r="K15" s="1">
        <f t="shared" si="2"/>
        <v>-0.04107676091</v>
      </c>
      <c r="L15" s="1">
        <f t="shared" si="3"/>
        <v>-4.107676091</v>
      </c>
      <c r="M15" s="1">
        <v>1.31</v>
      </c>
    </row>
    <row r="16" ht="15.75" customHeight="1">
      <c r="A16" s="7">
        <v>43910.0</v>
      </c>
      <c r="B16" s="1">
        <v>46.509998</v>
      </c>
      <c r="C16" s="1">
        <v>49.419998</v>
      </c>
      <c r="D16" s="1">
        <v>45.470001</v>
      </c>
      <c r="E16" s="1">
        <v>45.830002</v>
      </c>
      <c r="F16" s="1">
        <v>44.667171</v>
      </c>
      <c r="G16" s="1">
        <v>5.2344E7</v>
      </c>
      <c r="I16" s="1">
        <f t="shared" si="1"/>
        <v>-0.002394249103</v>
      </c>
      <c r="J16" s="1">
        <v>0.006</v>
      </c>
      <c r="K16" s="1">
        <f t="shared" si="2"/>
        <v>-0.008394249103</v>
      </c>
      <c r="L16" s="1">
        <f t="shared" si="3"/>
        <v>-0.8394249103</v>
      </c>
      <c r="M16" s="1">
        <v>-4.15</v>
      </c>
    </row>
    <row r="17" ht="15.75" customHeight="1">
      <c r="A17" s="7">
        <v>43913.0</v>
      </c>
      <c r="B17" s="1">
        <v>46.02</v>
      </c>
      <c r="C17" s="1">
        <v>50.490002</v>
      </c>
      <c r="D17" s="1">
        <v>45.91</v>
      </c>
      <c r="E17" s="1">
        <v>49.580002</v>
      </c>
      <c r="F17" s="1">
        <v>48.322021</v>
      </c>
      <c r="G17" s="1">
        <v>4.66985E7</v>
      </c>
      <c r="I17" s="1">
        <f t="shared" si="1"/>
        <v>0.08182407612</v>
      </c>
      <c r="J17" s="1">
        <v>0.006</v>
      </c>
      <c r="K17" s="1">
        <f t="shared" si="2"/>
        <v>0.07582407612</v>
      </c>
      <c r="L17" s="1">
        <f t="shared" si="3"/>
        <v>7.582407612</v>
      </c>
      <c r="M17" s="1">
        <v>-2.55</v>
      </c>
    </row>
    <row r="18" ht="15.75" customHeight="1">
      <c r="A18" s="7">
        <v>43914.0</v>
      </c>
      <c r="B18" s="1">
        <v>53.139999</v>
      </c>
      <c r="C18" s="1">
        <v>54.639999</v>
      </c>
      <c r="D18" s="1">
        <v>51.349998</v>
      </c>
      <c r="E18" s="1">
        <v>52.400002</v>
      </c>
      <c r="F18" s="1">
        <v>51.070473</v>
      </c>
      <c r="G18" s="1">
        <v>5.00198E7</v>
      </c>
      <c r="I18" s="1">
        <f t="shared" si="1"/>
        <v>0.0568778363</v>
      </c>
      <c r="J18" s="1">
        <v>0.006</v>
      </c>
      <c r="K18" s="1">
        <f t="shared" si="2"/>
        <v>0.0508778363</v>
      </c>
      <c r="L18" s="1">
        <f t="shared" si="3"/>
        <v>5.08778363</v>
      </c>
      <c r="M18" s="1">
        <v>9.34</v>
      </c>
    </row>
    <row r="19" ht="15.75" customHeight="1">
      <c r="A19" s="7">
        <v>43915.0</v>
      </c>
      <c r="B19" s="1">
        <v>52.48</v>
      </c>
      <c r="C19" s="1">
        <v>53.790001</v>
      </c>
      <c r="D19" s="1">
        <v>49.91</v>
      </c>
      <c r="E19" s="1">
        <v>51.259998</v>
      </c>
      <c r="F19" s="1">
        <v>49.959393</v>
      </c>
      <c r="G19" s="1">
        <v>4.11061E7</v>
      </c>
      <c r="I19" s="1">
        <f t="shared" si="1"/>
        <v>-0.02175581965</v>
      </c>
      <c r="J19" s="1">
        <v>0.006</v>
      </c>
      <c r="K19" s="1">
        <f t="shared" si="2"/>
        <v>-0.02775581965</v>
      </c>
      <c r="L19" s="1">
        <f t="shared" si="3"/>
        <v>-2.775581965</v>
      </c>
      <c r="M19" s="1">
        <v>1.18</v>
      </c>
    </row>
    <row r="20" ht="15.75" customHeight="1">
      <c r="A20" s="7">
        <v>43916.0</v>
      </c>
      <c r="B20" s="1">
        <v>51.740002</v>
      </c>
      <c r="C20" s="1">
        <v>55.950001</v>
      </c>
      <c r="D20" s="1">
        <v>51.66</v>
      </c>
      <c r="E20" s="1">
        <v>55.540001</v>
      </c>
      <c r="F20" s="1">
        <v>54.130798</v>
      </c>
      <c r="G20" s="1">
        <v>4.14598E7</v>
      </c>
      <c r="I20" s="1">
        <f t="shared" si="1"/>
        <v>0.08349591037</v>
      </c>
      <c r="J20" s="1">
        <v>0.006</v>
      </c>
      <c r="K20" s="1">
        <f t="shared" si="2"/>
        <v>0.07749591037</v>
      </c>
      <c r="L20" s="1">
        <f t="shared" si="3"/>
        <v>7.749591037</v>
      </c>
      <c r="M20" s="1">
        <v>6.02</v>
      </c>
    </row>
    <row r="21" ht="15.75" customHeight="1">
      <c r="A21" s="7">
        <v>43917.0</v>
      </c>
      <c r="B21" s="1">
        <v>53.419998</v>
      </c>
      <c r="C21" s="1">
        <v>54.639999</v>
      </c>
      <c r="D21" s="1">
        <v>52.07</v>
      </c>
      <c r="E21" s="1">
        <v>52.369999</v>
      </c>
      <c r="F21" s="1">
        <v>51.041233</v>
      </c>
      <c r="G21" s="1">
        <v>3.16335E7</v>
      </c>
      <c r="I21" s="1">
        <f t="shared" si="1"/>
        <v>-0.05707591822</v>
      </c>
      <c r="J21" s="1">
        <v>0.006</v>
      </c>
      <c r="K21" s="1">
        <f t="shared" si="2"/>
        <v>-0.06307591822</v>
      </c>
      <c r="L21" s="1">
        <f t="shared" si="3"/>
        <v>-6.307591822</v>
      </c>
      <c r="M21" s="1">
        <v>-3.48</v>
      </c>
    </row>
    <row r="22" ht="15.75" customHeight="1">
      <c r="A22" s="7">
        <v>43920.0</v>
      </c>
      <c r="B22" s="1">
        <v>52.990002</v>
      </c>
      <c r="C22" s="1">
        <v>56.099998</v>
      </c>
      <c r="D22" s="1">
        <v>52.830002</v>
      </c>
      <c r="E22" s="1">
        <v>55.490002</v>
      </c>
      <c r="F22" s="1">
        <v>54.082069</v>
      </c>
      <c r="G22" s="1">
        <v>3.16286E7</v>
      </c>
      <c r="I22" s="1">
        <f t="shared" si="1"/>
        <v>0.05957606863</v>
      </c>
      <c r="J22" s="1">
        <v>0.006</v>
      </c>
      <c r="K22" s="1">
        <f t="shared" si="2"/>
        <v>0.05357606863</v>
      </c>
      <c r="L22" s="1">
        <f t="shared" si="3"/>
        <v>5.357606863</v>
      </c>
      <c r="M22" s="1">
        <v>3.16</v>
      </c>
    </row>
    <row r="23" ht="15.75" customHeight="1">
      <c r="A23" s="7">
        <v>43921.0</v>
      </c>
      <c r="B23" s="1">
        <v>55.060001</v>
      </c>
      <c r="C23" s="1">
        <v>55.799999</v>
      </c>
      <c r="D23" s="1">
        <v>53.220001</v>
      </c>
      <c r="E23" s="1">
        <v>54.119999</v>
      </c>
      <c r="F23" s="1">
        <v>52.746826</v>
      </c>
      <c r="G23" s="1">
        <v>4.80747E7</v>
      </c>
      <c r="I23" s="1">
        <f t="shared" si="1"/>
        <v>-0.02468919967</v>
      </c>
      <c r="J23" s="1">
        <v>0.006</v>
      </c>
      <c r="K23" s="1">
        <f t="shared" si="2"/>
        <v>-0.03068919967</v>
      </c>
      <c r="L23" s="1">
        <f t="shared" si="3"/>
        <v>-3.068919967</v>
      </c>
      <c r="M23" s="1">
        <v>-1.44</v>
      </c>
    </row>
    <row r="24" ht="15.75" customHeight="1">
      <c r="A24" s="7">
        <v>43922.0</v>
      </c>
      <c r="B24" s="1">
        <v>52.5</v>
      </c>
      <c r="C24" s="1">
        <v>54.689999</v>
      </c>
      <c r="D24" s="1">
        <v>51.43</v>
      </c>
      <c r="E24" s="1">
        <v>51.880001</v>
      </c>
      <c r="F24" s="1">
        <v>50.563663</v>
      </c>
      <c r="G24" s="1">
        <v>2.95866E7</v>
      </c>
      <c r="I24" s="1">
        <f t="shared" si="1"/>
        <v>-0.04138946673</v>
      </c>
      <c r="J24" s="1">
        <v>0.0</v>
      </c>
      <c r="K24" s="1">
        <f t="shared" si="2"/>
        <v>-0.04138946673</v>
      </c>
      <c r="L24" s="1">
        <f t="shared" si="3"/>
        <v>-4.138946673</v>
      </c>
      <c r="M24" s="1">
        <v>-4.51</v>
      </c>
    </row>
    <row r="25" ht="15.75" customHeight="1">
      <c r="A25" s="7">
        <v>43923.0</v>
      </c>
      <c r="B25" s="1">
        <v>51.290001</v>
      </c>
      <c r="C25" s="1">
        <v>54.560001</v>
      </c>
      <c r="D25" s="1">
        <v>51.220001</v>
      </c>
      <c r="E25" s="1">
        <v>54.349998</v>
      </c>
      <c r="F25" s="1">
        <v>52.970993</v>
      </c>
      <c r="G25" s="1">
        <v>2.781E7</v>
      </c>
      <c r="I25" s="1">
        <f t="shared" si="1"/>
        <v>0.04760988143</v>
      </c>
      <c r="J25" s="1">
        <v>0.0</v>
      </c>
      <c r="K25" s="1">
        <f t="shared" si="2"/>
        <v>0.04760988143</v>
      </c>
      <c r="L25" s="1">
        <f t="shared" si="3"/>
        <v>4.760988143</v>
      </c>
      <c r="M25" s="1">
        <v>2.1</v>
      </c>
    </row>
    <row r="26" ht="15.75" customHeight="1">
      <c r="A26" s="7">
        <v>43924.0</v>
      </c>
      <c r="B26" s="1">
        <v>53.849998</v>
      </c>
      <c r="C26" s="1">
        <v>55.130001</v>
      </c>
      <c r="D26" s="1">
        <v>52.73</v>
      </c>
      <c r="E26" s="1">
        <v>54.130001</v>
      </c>
      <c r="F26" s="1">
        <v>52.756577</v>
      </c>
      <c r="G26" s="1">
        <v>2.39061E7</v>
      </c>
      <c r="I26" s="1">
        <f t="shared" si="1"/>
        <v>-0.004047800274</v>
      </c>
      <c r="J26" s="1">
        <v>0.0</v>
      </c>
      <c r="K26" s="1">
        <f t="shared" si="2"/>
        <v>-0.004047800274</v>
      </c>
      <c r="L26" s="1">
        <f t="shared" si="3"/>
        <v>-0.4047800274</v>
      </c>
      <c r="M26" s="1">
        <v>-1.64</v>
      </c>
    </row>
    <row r="27" ht="15.75" customHeight="1">
      <c r="A27" s="7">
        <v>43927.0</v>
      </c>
      <c r="B27" s="1">
        <v>56.630001</v>
      </c>
      <c r="C27" s="1">
        <v>58.77</v>
      </c>
      <c r="D27" s="1">
        <v>56.119999</v>
      </c>
      <c r="E27" s="1">
        <v>58.43</v>
      </c>
      <c r="F27" s="1">
        <v>56.947472</v>
      </c>
      <c r="G27" s="1">
        <v>3.23234E7</v>
      </c>
      <c r="I27" s="1">
        <f t="shared" si="1"/>
        <v>0.07943834188</v>
      </c>
      <c r="J27" s="1">
        <v>0.0</v>
      </c>
      <c r="K27" s="1">
        <f t="shared" si="2"/>
        <v>0.07943834188</v>
      </c>
      <c r="L27" s="1">
        <f t="shared" si="3"/>
        <v>7.943834188</v>
      </c>
      <c r="M27" s="1">
        <v>7.06</v>
      </c>
    </row>
    <row r="28" ht="15.75" customHeight="1">
      <c r="A28" s="7">
        <v>43928.0</v>
      </c>
      <c r="B28" s="1">
        <v>59.939999</v>
      </c>
      <c r="C28" s="1">
        <v>61.490002</v>
      </c>
      <c r="D28" s="1">
        <v>58.209999</v>
      </c>
      <c r="E28" s="1">
        <v>58.400002</v>
      </c>
      <c r="F28" s="1">
        <v>56.918232</v>
      </c>
      <c r="G28" s="1">
        <v>4.141E7</v>
      </c>
      <c r="I28" s="1">
        <f t="shared" si="1"/>
        <v>-0.000513455628</v>
      </c>
      <c r="J28" s="1">
        <v>0.0</v>
      </c>
      <c r="K28" s="1">
        <f t="shared" si="2"/>
        <v>-0.000513455628</v>
      </c>
      <c r="L28" s="1">
        <f t="shared" si="3"/>
        <v>-0.0513455628</v>
      </c>
      <c r="M28" s="1">
        <v>-0.11</v>
      </c>
    </row>
    <row r="29" ht="15.75" customHeight="1">
      <c r="A29" s="7">
        <v>43929.0</v>
      </c>
      <c r="B29" s="1">
        <v>58.990002</v>
      </c>
      <c r="C29" s="1">
        <v>59.509998</v>
      </c>
      <c r="D29" s="1">
        <v>57.91</v>
      </c>
      <c r="E29" s="1">
        <v>58.98</v>
      </c>
      <c r="F29" s="1">
        <v>57.483517</v>
      </c>
      <c r="G29" s="1">
        <v>2.67195E7</v>
      </c>
      <c r="I29" s="1">
        <f t="shared" si="1"/>
        <v>0.00993152774</v>
      </c>
      <c r="J29" s="1">
        <v>0.0</v>
      </c>
      <c r="K29" s="1">
        <f t="shared" si="2"/>
        <v>0.00993152774</v>
      </c>
      <c r="L29" s="1">
        <f t="shared" si="3"/>
        <v>0.993152774</v>
      </c>
      <c r="M29" s="1">
        <v>3.4</v>
      </c>
    </row>
    <row r="30" ht="15.75" customHeight="1">
      <c r="A30" s="7">
        <v>43930.0</v>
      </c>
      <c r="B30" s="1">
        <v>59.360001</v>
      </c>
      <c r="C30" s="1">
        <v>59.720001</v>
      </c>
      <c r="D30" s="1">
        <v>56.060001</v>
      </c>
      <c r="E30" s="1">
        <v>57.139999</v>
      </c>
      <c r="F30" s="1">
        <v>55.690205</v>
      </c>
      <c r="G30" s="1">
        <v>4.05154E7</v>
      </c>
      <c r="I30" s="1">
        <f t="shared" si="1"/>
        <v>-0.03119697774</v>
      </c>
      <c r="J30" s="1">
        <v>0.0</v>
      </c>
      <c r="K30" s="1">
        <f t="shared" si="2"/>
        <v>-0.03119697774</v>
      </c>
      <c r="L30" s="1">
        <f t="shared" si="3"/>
        <v>-3.119697774</v>
      </c>
      <c r="M30" s="1">
        <v>1.59</v>
      </c>
    </row>
    <row r="31" ht="15.75" customHeight="1">
      <c r="A31" s="7">
        <v>43934.0</v>
      </c>
      <c r="B31" s="1">
        <v>56.57</v>
      </c>
      <c r="C31" s="1">
        <v>58.77</v>
      </c>
      <c r="D31" s="1">
        <v>56.57</v>
      </c>
      <c r="E31" s="1">
        <v>58.700001</v>
      </c>
      <c r="F31" s="1">
        <v>57.210625</v>
      </c>
      <c r="G31" s="1">
        <v>2.32519E7</v>
      </c>
      <c r="I31" s="1">
        <f t="shared" si="1"/>
        <v>0.02730138989</v>
      </c>
      <c r="J31" s="1">
        <v>0.0</v>
      </c>
      <c r="K31" s="1">
        <f t="shared" si="2"/>
        <v>0.02730138989</v>
      </c>
      <c r="L31" s="1">
        <f t="shared" si="3"/>
        <v>2.730138989</v>
      </c>
      <c r="M31" s="1">
        <v>-0.92</v>
      </c>
    </row>
    <row r="32" ht="15.75" customHeight="1">
      <c r="A32" s="7">
        <v>43935.0</v>
      </c>
      <c r="B32" s="1">
        <v>60.040001</v>
      </c>
      <c r="C32" s="1">
        <v>60.900002</v>
      </c>
      <c r="D32" s="1">
        <v>59.509998</v>
      </c>
      <c r="E32" s="1">
        <v>60.66</v>
      </c>
      <c r="F32" s="1">
        <v>59.120888</v>
      </c>
      <c r="G32" s="1">
        <v>2.5674E7</v>
      </c>
      <c r="I32" s="1">
        <f t="shared" si="1"/>
        <v>0.03339000404</v>
      </c>
      <c r="J32" s="1">
        <v>0.0</v>
      </c>
      <c r="K32" s="1">
        <f t="shared" si="2"/>
        <v>0.03339000404</v>
      </c>
      <c r="L32" s="1">
        <f t="shared" si="3"/>
        <v>3.339000404</v>
      </c>
      <c r="M32" s="1">
        <v>3.02</v>
      </c>
    </row>
    <row r="33" ht="15.75" customHeight="1">
      <c r="A33" s="7">
        <v>43936.0</v>
      </c>
      <c r="B33" s="1">
        <v>59.740002</v>
      </c>
      <c r="C33" s="1">
        <v>59.830002</v>
      </c>
      <c r="D33" s="1">
        <v>58.389999</v>
      </c>
      <c r="E33" s="1">
        <v>58.869999</v>
      </c>
      <c r="F33" s="1">
        <v>57.376308</v>
      </c>
      <c r="G33" s="1">
        <v>2.28416E7</v>
      </c>
      <c r="I33" s="1">
        <f t="shared" si="1"/>
        <v>-0.02950869074</v>
      </c>
      <c r="J33" s="1">
        <v>0.0</v>
      </c>
      <c r="K33" s="1">
        <f t="shared" si="2"/>
        <v>-0.02950869074</v>
      </c>
      <c r="L33" s="1">
        <f t="shared" si="3"/>
        <v>-2.950869074</v>
      </c>
      <c r="M33" s="1">
        <v>-2.15</v>
      </c>
    </row>
    <row r="34" ht="15.75" customHeight="1">
      <c r="A34" s="7">
        <v>43937.0</v>
      </c>
      <c r="B34" s="1">
        <v>59.610001</v>
      </c>
      <c r="C34" s="1">
        <v>60.959999</v>
      </c>
      <c r="D34" s="1">
        <v>58.810001</v>
      </c>
      <c r="E34" s="1">
        <v>60.790001</v>
      </c>
      <c r="F34" s="1">
        <v>59.247589</v>
      </c>
      <c r="G34" s="1">
        <v>2.44335E7</v>
      </c>
      <c r="I34" s="1">
        <f t="shared" si="1"/>
        <v>0.03261417587</v>
      </c>
      <c r="J34" s="1">
        <v>0.0</v>
      </c>
      <c r="K34" s="1">
        <f t="shared" si="2"/>
        <v>0.03261417587</v>
      </c>
      <c r="L34" s="1">
        <f t="shared" si="3"/>
        <v>3.261417587</v>
      </c>
      <c r="M34" s="1">
        <v>0.62</v>
      </c>
    </row>
    <row r="35" ht="15.75" customHeight="1">
      <c r="A35" s="7">
        <v>43938.0</v>
      </c>
      <c r="B35" s="1">
        <v>62.02</v>
      </c>
      <c r="C35" s="1">
        <v>62.130001</v>
      </c>
      <c r="D35" s="1">
        <v>59.830002</v>
      </c>
      <c r="E35" s="1">
        <v>60.360001</v>
      </c>
      <c r="F35" s="1">
        <v>58.828499</v>
      </c>
      <c r="G35" s="1">
        <v>2.73856E7</v>
      </c>
      <c r="I35" s="1">
        <f t="shared" si="1"/>
        <v>-0.007073536781</v>
      </c>
      <c r="J35" s="1">
        <v>0.0</v>
      </c>
      <c r="K35" s="1">
        <f t="shared" si="2"/>
        <v>-0.007073536781</v>
      </c>
      <c r="L35" s="1">
        <f t="shared" si="3"/>
        <v>-0.7073536781</v>
      </c>
      <c r="M35" s="1">
        <v>2.72</v>
      </c>
    </row>
    <row r="36" ht="15.75" customHeight="1">
      <c r="A36" s="7">
        <v>43941.0</v>
      </c>
      <c r="B36" s="1">
        <v>59.279999</v>
      </c>
      <c r="C36" s="1">
        <v>60.040001</v>
      </c>
      <c r="D36" s="1">
        <v>58.889999</v>
      </c>
      <c r="E36" s="1">
        <v>59.18</v>
      </c>
      <c r="F36" s="1">
        <v>57.67844</v>
      </c>
      <c r="G36" s="1">
        <v>2.64203E7</v>
      </c>
      <c r="I36" s="1">
        <f t="shared" si="1"/>
        <v>-0.01954935141</v>
      </c>
      <c r="J36" s="1">
        <v>0.0</v>
      </c>
      <c r="K36" s="1">
        <f t="shared" si="2"/>
        <v>-0.01954935141</v>
      </c>
      <c r="L36" s="1">
        <f t="shared" si="3"/>
        <v>-1.954935141</v>
      </c>
      <c r="M36" s="1">
        <v>-1.56</v>
      </c>
    </row>
    <row r="37" ht="15.75" customHeight="1">
      <c r="A37" s="7">
        <v>43942.0</v>
      </c>
      <c r="B37" s="1">
        <v>58.110001</v>
      </c>
      <c r="C37" s="1">
        <v>58.599998</v>
      </c>
      <c r="D37" s="1">
        <v>55.93</v>
      </c>
      <c r="E37" s="1">
        <v>56.360001</v>
      </c>
      <c r="F37" s="1">
        <v>54.929993</v>
      </c>
      <c r="G37" s="1">
        <v>2.5248E7</v>
      </c>
      <c r="I37" s="1">
        <f t="shared" si="1"/>
        <v>-0.04765120208</v>
      </c>
      <c r="J37" s="1">
        <v>0.0</v>
      </c>
      <c r="K37" s="1">
        <f t="shared" si="2"/>
        <v>-0.04765120208</v>
      </c>
      <c r="L37" s="1">
        <f t="shared" si="3"/>
        <v>-4.765120208</v>
      </c>
      <c r="M37" s="1">
        <v>-3.08</v>
      </c>
    </row>
    <row r="38" ht="15.75" customHeight="1">
      <c r="A38" s="7">
        <v>43943.0</v>
      </c>
      <c r="B38" s="1">
        <v>58.27</v>
      </c>
      <c r="C38" s="1">
        <v>60.5</v>
      </c>
      <c r="D38" s="1">
        <v>57.810001</v>
      </c>
      <c r="E38" s="1">
        <v>60.099998</v>
      </c>
      <c r="F38" s="1">
        <v>58.5751</v>
      </c>
      <c r="G38" s="1">
        <v>2.34437E7</v>
      </c>
      <c r="I38" s="1">
        <f t="shared" si="1"/>
        <v>0.06635913826</v>
      </c>
      <c r="J38" s="1">
        <v>0.0</v>
      </c>
      <c r="K38" s="1">
        <f t="shared" si="2"/>
        <v>0.06635913826</v>
      </c>
      <c r="L38" s="1">
        <f t="shared" si="3"/>
        <v>6.635913826</v>
      </c>
      <c r="M38" s="1">
        <v>2.31</v>
      </c>
    </row>
    <row r="39" ht="15.75" customHeight="1">
      <c r="A39" s="7">
        <v>43944.0</v>
      </c>
      <c r="B39" s="1">
        <v>59.669998</v>
      </c>
      <c r="C39" s="1">
        <v>60.099998</v>
      </c>
      <c r="D39" s="1">
        <v>58.810001</v>
      </c>
      <c r="E39" s="1">
        <v>59.040001</v>
      </c>
      <c r="F39" s="1">
        <v>57.541996</v>
      </c>
      <c r="G39" s="1">
        <v>3.5092E7</v>
      </c>
      <c r="I39" s="1">
        <f t="shared" si="1"/>
        <v>-0.01763725542</v>
      </c>
      <c r="J39" s="1">
        <v>0.0</v>
      </c>
      <c r="K39" s="1">
        <f t="shared" si="2"/>
        <v>-0.01763725542</v>
      </c>
      <c r="L39" s="1">
        <f t="shared" si="3"/>
        <v>-1.763725542</v>
      </c>
      <c r="M39" s="1">
        <v>0.13</v>
      </c>
    </row>
    <row r="40" ht="15.75" customHeight="1">
      <c r="A40" s="7">
        <v>43945.0</v>
      </c>
      <c r="B40" s="1">
        <v>56.200001</v>
      </c>
      <c r="C40" s="1">
        <v>59.400002</v>
      </c>
      <c r="D40" s="1">
        <v>56.099998</v>
      </c>
      <c r="E40" s="1">
        <v>59.259998</v>
      </c>
      <c r="F40" s="1">
        <v>57.756413</v>
      </c>
      <c r="G40" s="1">
        <v>5.02205E7</v>
      </c>
      <c r="I40" s="1">
        <f t="shared" si="1"/>
        <v>0.003726269767</v>
      </c>
      <c r="J40" s="1">
        <v>0.0</v>
      </c>
      <c r="K40" s="1">
        <f t="shared" si="2"/>
        <v>0.003726269767</v>
      </c>
      <c r="L40" s="1">
        <f t="shared" si="3"/>
        <v>0.3726269767</v>
      </c>
      <c r="M40" s="1">
        <v>1.44</v>
      </c>
    </row>
    <row r="41" ht="15.75" customHeight="1">
      <c r="A41" s="7">
        <v>43948.0</v>
      </c>
      <c r="B41" s="1">
        <v>59.720001</v>
      </c>
      <c r="C41" s="1">
        <v>59.830002</v>
      </c>
      <c r="D41" s="1">
        <v>58.389999</v>
      </c>
      <c r="E41" s="1">
        <v>59.470001</v>
      </c>
      <c r="F41" s="1">
        <v>57.961086</v>
      </c>
      <c r="G41" s="1">
        <v>2.59022E7</v>
      </c>
      <c r="I41" s="1">
        <f t="shared" si="1"/>
        <v>0.00354372769</v>
      </c>
      <c r="J41" s="1">
        <v>0.0</v>
      </c>
      <c r="K41" s="1">
        <f t="shared" si="2"/>
        <v>0.00354372769</v>
      </c>
      <c r="L41" s="1">
        <f t="shared" si="3"/>
        <v>0.354372769</v>
      </c>
      <c r="M41" s="1">
        <v>1.73</v>
      </c>
    </row>
    <row r="42" ht="15.75" customHeight="1">
      <c r="A42" s="7">
        <v>43949.0</v>
      </c>
      <c r="B42" s="1">
        <v>59.990002</v>
      </c>
      <c r="C42" s="1">
        <v>60.220001</v>
      </c>
      <c r="D42" s="1">
        <v>58.259998</v>
      </c>
      <c r="E42" s="1">
        <v>58.75</v>
      </c>
      <c r="F42" s="1">
        <v>57.25935</v>
      </c>
      <c r="G42" s="1">
        <v>2.87847E7</v>
      </c>
      <c r="I42" s="1">
        <f t="shared" si="1"/>
        <v>-0.01210701953</v>
      </c>
      <c r="J42" s="1">
        <v>0.0</v>
      </c>
      <c r="K42" s="1">
        <f t="shared" si="2"/>
        <v>-0.01210701953</v>
      </c>
      <c r="L42" s="1">
        <f t="shared" si="3"/>
        <v>-1.210701953</v>
      </c>
      <c r="M42" s="1">
        <v>-0.45</v>
      </c>
    </row>
    <row r="43" ht="15.75" customHeight="1">
      <c r="A43" s="7">
        <v>43950.0</v>
      </c>
      <c r="B43" s="1">
        <v>59.439999</v>
      </c>
      <c r="C43" s="1">
        <v>62.029999</v>
      </c>
      <c r="D43" s="1">
        <v>59.32</v>
      </c>
      <c r="E43" s="1">
        <v>61.799999</v>
      </c>
      <c r="F43" s="1">
        <v>60.231964</v>
      </c>
      <c r="G43" s="1">
        <v>3.04515E7</v>
      </c>
      <c r="I43" s="1">
        <f t="shared" si="1"/>
        <v>0.05191490997</v>
      </c>
      <c r="J43" s="1">
        <v>0.0</v>
      </c>
      <c r="K43" s="1">
        <f t="shared" si="2"/>
        <v>0.05191490997</v>
      </c>
      <c r="L43" s="1">
        <f t="shared" si="3"/>
        <v>5.191490997</v>
      </c>
      <c r="M43" s="1">
        <v>2.92</v>
      </c>
    </row>
    <row r="44" ht="15.75" customHeight="1">
      <c r="A44" s="7">
        <v>43951.0</v>
      </c>
      <c r="B44" s="1">
        <v>61.369999</v>
      </c>
      <c r="C44" s="1">
        <v>61.540001</v>
      </c>
      <c r="D44" s="1">
        <v>59.75</v>
      </c>
      <c r="E44" s="1">
        <v>59.98</v>
      </c>
      <c r="F44" s="1">
        <v>58.458145</v>
      </c>
      <c r="G44" s="1">
        <v>2.62799E7</v>
      </c>
      <c r="I44" s="1">
        <f t="shared" si="1"/>
        <v>-0.02944979513</v>
      </c>
      <c r="J44" s="1">
        <v>0.0</v>
      </c>
      <c r="K44" s="1">
        <f t="shared" si="2"/>
        <v>-0.02944979513</v>
      </c>
      <c r="L44" s="1">
        <f t="shared" si="3"/>
        <v>-2.944979513</v>
      </c>
      <c r="M44" s="1">
        <v>-1.18</v>
      </c>
    </row>
    <row r="45" ht="15.75" customHeight="1">
      <c r="A45" s="7">
        <v>43952.0</v>
      </c>
      <c r="B45" s="1">
        <v>58.830002</v>
      </c>
      <c r="C45" s="1">
        <v>59.32</v>
      </c>
      <c r="D45" s="1">
        <v>57.310001</v>
      </c>
      <c r="E45" s="1">
        <v>57.470001</v>
      </c>
      <c r="F45" s="1">
        <v>56.011829</v>
      </c>
      <c r="G45" s="1">
        <v>2.11948E7</v>
      </c>
      <c r="I45" s="1">
        <f t="shared" si="1"/>
        <v>-0.04184730802</v>
      </c>
      <c r="J45" s="1">
        <v>0.0</v>
      </c>
      <c r="K45" s="1">
        <f t="shared" si="2"/>
        <v>-0.04184730802</v>
      </c>
      <c r="L45" s="1">
        <f t="shared" si="3"/>
        <v>-4.184730802</v>
      </c>
      <c r="M45" s="1">
        <v>-2.91</v>
      </c>
    </row>
    <row r="46" ht="15.75" customHeight="1">
      <c r="A46" s="7">
        <v>43955.0</v>
      </c>
      <c r="B46" s="1">
        <v>57.119999</v>
      </c>
      <c r="C46" s="1">
        <v>58.07</v>
      </c>
      <c r="D46" s="1">
        <v>56.310001</v>
      </c>
      <c r="E46" s="1">
        <v>57.990002</v>
      </c>
      <c r="F46" s="1">
        <v>56.518642</v>
      </c>
      <c r="G46" s="1">
        <v>1.89572E7</v>
      </c>
      <c r="I46" s="1">
        <f t="shared" si="1"/>
        <v>0.009048320847</v>
      </c>
      <c r="J46" s="1">
        <v>0.0</v>
      </c>
      <c r="K46" s="1">
        <f t="shared" si="2"/>
        <v>0.009048320847</v>
      </c>
      <c r="L46" s="1">
        <f t="shared" si="3"/>
        <v>0.9048320847</v>
      </c>
      <c r="M46" s="1">
        <v>0.53</v>
      </c>
    </row>
    <row r="47" ht="15.75" customHeight="1">
      <c r="A47" s="7">
        <v>43956.0</v>
      </c>
      <c r="B47" s="1">
        <v>58.790001</v>
      </c>
      <c r="C47" s="1">
        <v>59.299999</v>
      </c>
      <c r="D47" s="1">
        <v>58.349998</v>
      </c>
      <c r="E47" s="1">
        <v>58.75</v>
      </c>
      <c r="F47" s="1">
        <v>57.25935</v>
      </c>
      <c r="G47" s="1">
        <v>1.72521E7</v>
      </c>
      <c r="I47" s="1">
        <f t="shared" si="1"/>
        <v>0.01310555197</v>
      </c>
      <c r="J47" s="1">
        <v>0.0</v>
      </c>
      <c r="K47" s="1">
        <f t="shared" si="2"/>
        <v>0.01310555197</v>
      </c>
      <c r="L47" s="1">
        <f t="shared" si="3"/>
        <v>1.310555197</v>
      </c>
      <c r="M47" s="1">
        <v>0.95</v>
      </c>
    </row>
    <row r="48" ht="15.75" customHeight="1">
      <c r="A48" s="7">
        <v>43957.0</v>
      </c>
      <c r="B48" s="1">
        <v>59.040001</v>
      </c>
      <c r="C48" s="1">
        <v>59.950001</v>
      </c>
      <c r="D48" s="1">
        <v>58.939999</v>
      </c>
      <c r="E48" s="1">
        <v>59.18</v>
      </c>
      <c r="F48" s="1">
        <v>58.004253</v>
      </c>
      <c r="G48" s="1">
        <v>1.78487E7</v>
      </c>
      <c r="I48" s="1">
        <f t="shared" si="1"/>
        <v>0.01300928145</v>
      </c>
      <c r="J48" s="1">
        <v>0.0</v>
      </c>
      <c r="K48" s="1">
        <f t="shared" si="2"/>
        <v>0.01300928145</v>
      </c>
      <c r="L48" s="1">
        <f t="shared" si="3"/>
        <v>1.300928145</v>
      </c>
      <c r="M48" s="1">
        <v>-0.52</v>
      </c>
    </row>
    <row r="49" ht="15.75" customHeight="1">
      <c r="A49" s="7">
        <v>43958.0</v>
      </c>
      <c r="B49" s="1">
        <v>59.93</v>
      </c>
      <c r="C49" s="1">
        <v>60.099998</v>
      </c>
      <c r="D49" s="1">
        <v>58.919998</v>
      </c>
      <c r="E49" s="1">
        <v>59.169998</v>
      </c>
      <c r="F49" s="1">
        <v>57.99445</v>
      </c>
      <c r="G49" s="1">
        <v>1.47335E7</v>
      </c>
      <c r="I49" s="1">
        <f t="shared" si="1"/>
        <v>-0.0001690048487</v>
      </c>
      <c r="J49" s="1">
        <v>0.0</v>
      </c>
      <c r="K49" s="1">
        <f t="shared" si="2"/>
        <v>-0.0001690048487</v>
      </c>
      <c r="L49" s="1">
        <f t="shared" si="3"/>
        <v>-0.01690048487</v>
      </c>
      <c r="M49" s="1">
        <v>1.33</v>
      </c>
    </row>
    <row r="50" ht="15.75" customHeight="1">
      <c r="A50" s="7">
        <v>43959.0</v>
      </c>
      <c r="B50" s="1">
        <v>59.669998</v>
      </c>
      <c r="C50" s="1">
        <v>59.779999</v>
      </c>
      <c r="D50" s="1">
        <v>59.049999</v>
      </c>
      <c r="E50" s="1">
        <v>59.669998</v>
      </c>
      <c r="F50" s="1">
        <v>58.484516</v>
      </c>
      <c r="G50" s="1">
        <v>2.03911E7</v>
      </c>
      <c r="I50" s="1">
        <f t="shared" si="1"/>
        <v>0.008450222392</v>
      </c>
      <c r="J50" s="1">
        <v>0.0</v>
      </c>
      <c r="K50" s="1">
        <f t="shared" si="2"/>
        <v>0.008450222392</v>
      </c>
      <c r="L50" s="1">
        <f t="shared" si="3"/>
        <v>0.8450222392</v>
      </c>
      <c r="M50" s="1">
        <v>1.9</v>
      </c>
    </row>
    <row r="51" ht="15.75" customHeight="1">
      <c r="A51" s="7">
        <v>43962.0</v>
      </c>
      <c r="B51" s="1">
        <v>59.740002</v>
      </c>
      <c r="C51" s="1">
        <v>60.84</v>
      </c>
      <c r="D51" s="1">
        <v>59.709999</v>
      </c>
      <c r="E51" s="1">
        <v>60.130001</v>
      </c>
      <c r="F51" s="1">
        <v>58.935379</v>
      </c>
      <c r="G51" s="1">
        <v>1.86844E7</v>
      </c>
      <c r="I51" s="1">
        <f t="shared" si="1"/>
        <v>0.007709100303</v>
      </c>
      <c r="J51" s="1">
        <v>0.0</v>
      </c>
      <c r="K51" s="1">
        <f t="shared" si="2"/>
        <v>0.007709100303</v>
      </c>
      <c r="L51" s="1">
        <f t="shared" si="3"/>
        <v>0.7709100303</v>
      </c>
      <c r="M51" s="1">
        <v>0.07</v>
      </c>
    </row>
    <row r="52" ht="15.75" customHeight="1">
      <c r="A52" s="7">
        <v>43963.0</v>
      </c>
      <c r="B52" s="1">
        <v>60.220001</v>
      </c>
      <c r="C52" s="1">
        <v>60.639999</v>
      </c>
      <c r="D52" s="1">
        <v>58.259998</v>
      </c>
      <c r="E52" s="1">
        <v>58.389999</v>
      </c>
      <c r="F52" s="1">
        <v>57.229946</v>
      </c>
      <c r="G52" s="1">
        <v>1.67549E7</v>
      </c>
      <c r="I52" s="1">
        <f t="shared" si="1"/>
        <v>-0.0289373383</v>
      </c>
      <c r="J52" s="1">
        <v>0.0</v>
      </c>
      <c r="K52" s="1">
        <f t="shared" si="2"/>
        <v>-0.0289373383</v>
      </c>
      <c r="L52" s="1">
        <f t="shared" si="3"/>
        <v>-2.89373383</v>
      </c>
      <c r="M52" s="1">
        <v>-2.06</v>
      </c>
    </row>
    <row r="53" ht="15.75" customHeight="1">
      <c r="A53" s="7">
        <v>43964.0</v>
      </c>
      <c r="B53" s="1">
        <v>58.450001</v>
      </c>
      <c r="C53" s="1">
        <v>59.23</v>
      </c>
      <c r="D53" s="1">
        <v>56.900002</v>
      </c>
      <c r="E53" s="1">
        <v>57.740002</v>
      </c>
      <c r="F53" s="1">
        <v>56.592865</v>
      </c>
      <c r="G53" s="1">
        <v>2.1065E7</v>
      </c>
      <c r="I53" s="1">
        <f t="shared" si="1"/>
        <v>-0.01113195179</v>
      </c>
      <c r="J53" s="1">
        <v>0.0</v>
      </c>
      <c r="K53" s="1">
        <f t="shared" si="2"/>
        <v>-0.01113195179</v>
      </c>
      <c r="L53" s="1">
        <f t="shared" si="3"/>
        <v>-1.113195179</v>
      </c>
      <c r="M53" s="1">
        <v>-1.89</v>
      </c>
    </row>
    <row r="54" ht="15.75" customHeight="1">
      <c r="A54" s="7">
        <v>43965.0</v>
      </c>
      <c r="B54" s="1">
        <v>57.32</v>
      </c>
      <c r="C54" s="1">
        <v>59.150002</v>
      </c>
      <c r="D54" s="1">
        <v>56.099998</v>
      </c>
      <c r="E54" s="1">
        <v>59.080002</v>
      </c>
      <c r="F54" s="1">
        <v>57.906239</v>
      </c>
      <c r="G54" s="1">
        <v>2.15694E7</v>
      </c>
      <c r="I54" s="1">
        <f t="shared" si="1"/>
        <v>0.02320741316</v>
      </c>
      <c r="J54" s="1">
        <v>0.0</v>
      </c>
      <c r="K54" s="1">
        <f t="shared" si="2"/>
        <v>0.02320741316</v>
      </c>
      <c r="L54" s="1">
        <f t="shared" si="3"/>
        <v>2.320741316</v>
      </c>
      <c r="M54" s="1">
        <v>1.14</v>
      </c>
    </row>
    <row r="55" ht="15.75" customHeight="1">
      <c r="A55" s="7">
        <v>43966.0</v>
      </c>
      <c r="B55" s="1">
        <v>57.400002</v>
      </c>
      <c r="C55" s="1">
        <v>58.369999</v>
      </c>
      <c r="D55" s="1">
        <v>56.959999</v>
      </c>
      <c r="E55" s="1">
        <v>58.279999</v>
      </c>
      <c r="F55" s="1">
        <v>57.122131</v>
      </c>
      <c r="G55" s="1">
        <v>2.13733E7</v>
      </c>
      <c r="I55" s="1">
        <f t="shared" si="1"/>
        <v>-0.0135409934</v>
      </c>
      <c r="J55" s="1">
        <v>0.0</v>
      </c>
      <c r="K55" s="1">
        <f t="shared" si="2"/>
        <v>-0.0135409934</v>
      </c>
      <c r="L55" s="1">
        <f t="shared" si="3"/>
        <v>-1.35409934</v>
      </c>
      <c r="M55" s="1">
        <v>0.57</v>
      </c>
    </row>
    <row r="56" ht="15.75" customHeight="1">
      <c r="A56" s="7">
        <v>43969.0</v>
      </c>
      <c r="B56" s="1">
        <v>59.740002</v>
      </c>
      <c r="C56" s="1">
        <v>60.279999</v>
      </c>
      <c r="D56" s="1">
        <v>59.360001</v>
      </c>
      <c r="E56" s="1">
        <v>59.919998</v>
      </c>
      <c r="F56" s="1">
        <v>58.729549</v>
      </c>
      <c r="G56" s="1">
        <v>2.04437E7</v>
      </c>
      <c r="I56" s="1">
        <f t="shared" si="1"/>
        <v>0.0281400216</v>
      </c>
      <c r="J56" s="1">
        <v>0.0</v>
      </c>
      <c r="K56" s="1">
        <f t="shared" si="2"/>
        <v>0.0281400216</v>
      </c>
      <c r="L56" s="1">
        <f t="shared" si="3"/>
        <v>2.81400216</v>
      </c>
      <c r="M56" s="1">
        <v>3.24</v>
      </c>
    </row>
    <row r="57" ht="15.75" customHeight="1">
      <c r="A57" s="7">
        <v>43970.0</v>
      </c>
      <c r="B57" s="1">
        <v>60.130001</v>
      </c>
      <c r="C57" s="1">
        <v>61.77</v>
      </c>
      <c r="D57" s="1">
        <v>59.849998</v>
      </c>
      <c r="E57" s="1">
        <v>60.290001</v>
      </c>
      <c r="F57" s="1">
        <v>59.092201</v>
      </c>
      <c r="G57" s="1">
        <v>2.1865E7</v>
      </c>
      <c r="I57" s="1">
        <f t="shared" si="1"/>
        <v>0.006174949513</v>
      </c>
      <c r="J57" s="1">
        <v>0.0</v>
      </c>
      <c r="K57" s="1">
        <f t="shared" si="2"/>
        <v>0.006174949513</v>
      </c>
      <c r="L57" s="1">
        <f t="shared" si="3"/>
        <v>0.6174949513</v>
      </c>
      <c r="M57" s="1">
        <v>-1.01</v>
      </c>
    </row>
    <row r="58" ht="15.75" customHeight="1">
      <c r="A58" s="7">
        <v>43971.0</v>
      </c>
      <c r="B58" s="1">
        <v>61.16</v>
      </c>
      <c r="C58" s="1">
        <v>63.490002</v>
      </c>
      <c r="D58" s="1">
        <v>61.02</v>
      </c>
      <c r="E58" s="1">
        <v>63.099998</v>
      </c>
      <c r="F58" s="1">
        <v>61.846375</v>
      </c>
      <c r="G58" s="1">
        <v>3.0584E7</v>
      </c>
      <c r="I58" s="1">
        <f t="shared" si="1"/>
        <v>0.04660807947</v>
      </c>
      <c r="J58" s="1">
        <v>0.0</v>
      </c>
      <c r="K58" s="1">
        <f t="shared" si="2"/>
        <v>0.04660807947</v>
      </c>
      <c r="L58" s="1">
        <f t="shared" si="3"/>
        <v>4.660807947</v>
      </c>
      <c r="M58" s="1">
        <v>1.8</v>
      </c>
    </row>
    <row r="59" ht="15.75" customHeight="1">
      <c r="A59" s="7">
        <v>43972.0</v>
      </c>
      <c r="B59" s="1">
        <v>63.099998</v>
      </c>
      <c r="C59" s="1">
        <v>63.799999</v>
      </c>
      <c r="D59" s="1">
        <v>61.82</v>
      </c>
      <c r="E59" s="1">
        <v>61.98</v>
      </c>
      <c r="F59" s="1">
        <v>60.748627</v>
      </c>
      <c r="G59" s="1">
        <v>2.09877E7</v>
      </c>
      <c r="I59" s="1">
        <f t="shared" si="1"/>
        <v>-0.01774959325</v>
      </c>
      <c r="J59" s="1">
        <v>0.0</v>
      </c>
      <c r="K59" s="1">
        <f t="shared" si="2"/>
        <v>-0.01774959325</v>
      </c>
      <c r="L59" s="1">
        <f t="shared" si="3"/>
        <v>-1.774959325</v>
      </c>
      <c r="M59" s="1">
        <v>-0.7</v>
      </c>
    </row>
    <row r="60" ht="15.75" customHeight="1">
      <c r="A60" s="7">
        <v>43973.0</v>
      </c>
      <c r="B60" s="1">
        <v>61.98</v>
      </c>
      <c r="C60" s="1">
        <v>62.32</v>
      </c>
      <c r="D60" s="1">
        <v>61.419998</v>
      </c>
      <c r="E60" s="1">
        <v>62.259998</v>
      </c>
      <c r="F60" s="1">
        <v>61.02306</v>
      </c>
      <c r="G60" s="1">
        <v>1.4103E7</v>
      </c>
      <c r="I60" s="1">
        <f t="shared" si="1"/>
        <v>0.004517517737</v>
      </c>
      <c r="J60" s="1">
        <v>0.0</v>
      </c>
      <c r="K60" s="1">
        <f t="shared" si="2"/>
        <v>0.004517517737</v>
      </c>
      <c r="L60" s="1">
        <f t="shared" si="3"/>
        <v>0.4517517737</v>
      </c>
      <c r="M60" s="1">
        <v>0.27</v>
      </c>
    </row>
    <row r="61" ht="15.75" customHeight="1">
      <c r="A61" s="7">
        <v>43977.0</v>
      </c>
      <c r="B61" s="1">
        <v>63.68</v>
      </c>
      <c r="C61" s="1">
        <v>64.139999</v>
      </c>
      <c r="D61" s="1">
        <v>62.119999</v>
      </c>
      <c r="E61" s="1">
        <v>62.34</v>
      </c>
      <c r="F61" s="1">
        <v>61.101471</v>
      </c>
      <c r="G61" s="1">
        <v>2.09336E7</v>
      </c>
      <c r="I61" s="1">
        <f t="shared" si="1"/>
        <v>0.00128494048</v>
      </c>
      <c r="J61" s="1">
        <v>0.0</v>
      </c>
      <c r="K61" s="1">
        <f t="shared" si="2"/>
        <v>0.00128494048</v>
      </c>
      <c r="L61" s="1">
        <f t="shared" si="3"/>
        <v>0.128494048</v>
      </c>
      <c r="M61" s="1">
        <v>1.23</v>
      </c>
    </row>
    <row r="62" ht="15.75" customHeight="1">
      <c r="A62" s="7">
        <v>43978.0</v>
      </c>
      <c r="B62" s="1">
        <v>62.32</v>
      </c>
      <c r="C62" s="1">
        <v>63.59</v>
      </c>
      <c r="D62" s="1">
        <v>61.07</v>
      </c>
      <c r="E62" s="1">
        <v>63.560001</v>
      </c>
      <c r="F62" s="1">
        <v>62.297237</v>
      </c>
      <c r="G62" s="1">
        <v>1.98863E7</v>
      </c>
      <c r="I62" s="1">
        <f t="shared" si="1"/>
        <v>0.01957016714</v>
      </c>
      <c r="J62" s="1">
        <v>0.0</v>
      </c>
      <c r="K62" s="1">
        <f t="shared" si="2"/>
        <v>0.01957016714</v>
      </c>
      <c r="L62" s="1">
        <f t="shared" si="3"/>
        <v>1.957016714</v>
      </c>
      <c r="M62" s="1">
        <v>1.54</v>
      </c>
    </row>
    <row r="63" ht="15.75" customHeight="1">
      <c r="A63" s="7">
        <v>43979.0</v>
      </c>
      <c r="B63" s="1">
        <v>63.0</v>
      </c>
      <c r="C63" s="1">
        <v>63.450001</v>
      </c>
      <c r="D63" s="1">
        <v>61.490002</v>
      </c>
      <c r="E63" s="1">
        <v>61.700001</v>
      </c>
      <c r="F63" s="1">
        <v>60.47419</v>
      </c>
      <c r="G63" s="1">
        <v>1.72535E7</v>
      </c>
      <c r="I63" s="1">
        <f t="shared" si="1"/>
        <v>-0.0292636895</v>
      </c>
      <c r="J63" s="1">
        <v>0.0</v>
      </c>
      <c r="K63" s="1">
        <f t="shared" si="2"/>
        <v>-0.0292636895</v>
      </c>
      <c r="L63" s="1">
        <f t="shared" si="3"/>
        <v>-2.92636895</v>
      </c>
      <c r="M63" s="1">
        <v>-0.41</v>
      </c>
    </row>
    <row r="64" ht="15.75" customHeight="1">
      <c r="A64" s="7">
        <v>43980.0</v>
      </c>
      <c r="B64" s="1">
        <v>61.900002</v>
      </c>
      <c r="C64" s="1">
        <v>63.66</v>
      </c>
      <c r="D64" s="1">
        <v>61.619999</v>
      </c>
      <c r="E64" s="1">
        <v>62.93</v>
      </c>
      <c r="F64" s="1">
        <v>61.679749</v>
      </c>
      <c r="G64" s="1">
        <v>3.33957E7</v>
      </c>
      <c r="I64" s="1">
        <f t="shared" si="1"/>
        <v>0.01993509959</v>
      </c>
      <c r="J64" s="1">
        <v>0.0</v>
      </c>
      <c r="K64" s="1">
        <f t="shared" si="2"/>
        <v>0.01993509959</v>
      </c>
      <c r="L64" s="1">
        <f t="shared" si="3"/>
        <v>1.993509959</v>
      </c>
      <c r="M64" s="1">
        <v>0.6</v>
      </c>
    </row>
    <row r="65" ht="15.75" customHeight="1">
      <c r="A65" s="7">
        <v>43983.0</v>
      </c>
      <c r="B65" s="1">
        <v>62.490002</v>
      </c>
      <c r="C65" s="1">
        <v>62.66</v>
      </c>
      <c r="D65" s="1">
        <v>61.66</v>
      </c>
      <c r="E65" s="1">
        <v>61.860001</v>
      </c>
      <c r="F65" s="1">
        <v>60.631008</v>
      </c>
      <c r="G65" s="1">
        <v>1.43177E7</v>
      </c>
      <c r="I65" s="1">
        <f t="shared" si="1"/>
        <v>-0.01700300369</v>
      </c>
      <c r="J65" s="1">
        <v>0.0</v>
      </c>
      <c r="K65" s="1">
        <f t="shared" si="2"/>
        <v>-0.01700300369</v>
      </c>
      <c r="L65" s="1">
        <f t="shared" si="3"/>
        <v>-1.700300369</v>
      </c>
      <c r="M65" s="1">
        <v>0.52</v>
      </c>
    </row>
    <row r="66" ht="15.75" customHeight="1">
      <c r="A66" s="7">
        <v>43984.0</v>
      </c>
      <c r="B66" s="1">
        <v>61.700001</v>
      </c>
      <c r="C66" s="1">
        <v>62.169998</v>
      </c>
      <c r="D66" s="1">
        <v>60.830002</v>
      </c>
      <c r="E66" s="1">
        <v>62.119999</v>
      </c>
      <c r="F66" s="1">
        <v>60.885845</v>
      </c>
      <c r="G66" s="1">
        <v>2.07024E7</v>
      </c>
      <c r="I66" s="1">
        <f t="shared" si="1"/>
        <v>0.004203080378</v>
      </c>
      <c r="J66" s="1">
        <v>0.0</v>
      </c>
      <c r="K66" s="1">
        <f t="shared" si="2"/>
        <v>0.004203080378</v>
      </c>
      <c r="L66" s="1">
        <f t="shared" si="3"/>
        <v>0.4203080378</v>
      </c>
      <c r="M66" s="1">
        <v>0.81</v>
      </c>
    </row>
    <row r="67" ht="15.75" customHeight="1">
      <c r="A67" s="7">
        <v>43985.0</v>
      </c>
      <c r="B67" s="1">
        <v>62.450001</v>
      </c>
      <c r="C67" s="1">
        <v>62.540001</v>
      </c>
      <c r="D67" s="1">
        <v>61.529999</v>
      </c>
      <c r="E67" s="1">
        <v>61.93</v>
      </c>
      <c r="F67" s="1">
        <v>60.699615</v>
      </c>
      <c r="G67" s="1">
        <v>1.67373E7</v>
      </c>
      <c r="I67" s="1">
        <f t="shared" si="1"/>
        <v>-0.003058674804</v>
      </c>
      <c r="J67" s="1">
        <v>0.0</v>
      </c>
      <c r="K67" s="1">
        <f t="shared" si="2"/>
        <v>-0.003058674804</v>
      </c>
      <c r="L67" s="1">
        <f t="shared" si="3"/>
        <v>-0.3058674804</v>
      </c>
      <c r="M67" s="1">
        <v>1.42</v>
      </c>
    </row>
    <row r="68" ht="15.75" customHeight="1">
      <c r="A68" s="7">
        <v>43986.0</v>
      </c>
      <c r="B68" s="1">
        <v>61.740002</v>
      </c>
      <c r="C68" s="1">
        <v>63.470001</v>
      </c>
      <c r="D68" s="1">
        <v>61.34</v>
      </c>
      <c r="E68" s="1">
        <v>62.970001</v>
      </c>
      <c r="F68" s="1">
        <v>61.718956</v>
      </c>
      <c r="G68" s="1">
        <v>2.20101E7</v>
      </c>
      <c r="I68" s="1">
        <f t="shared" si="1"/>
        <v>0.01679320371</v>
      </c>
      <c r="J68" s="1">
        <v>0.0</v>
      </c>
      <c r="K68" s="1">
        <f t="shared" si="2"/>
        <v>0.01679320371</v>
      </c>
      <c r="L68" s="1">
        <f t="shared" si="3"/>
        <v>1.679320371</v>
      </c>
      <c r="M68" s="1">
        <v>-0.34</v>
      </c>
    </row>
    <row r="69" ht="15.75" customHeight="1">
      <c r="A69" s="7">
        <v>43987.0</v>
      </c>
      <c r="B69" s="1">
        <v>63.360001</v>
      </c>
      <c r="C69" s="1">
        <v>65.110001</v>
      </c>
      <c r="D69" s="1">
        <v>63.16</v>
      </c>
      <c r="E69" s="1">
        <v>64.339996</v>
      </c>
      <c r="F69" s="1">
        <v>63.061733</v>
      </c>
      <c r="G69" s="1">
        <v>2.68131E7</v>
      </c>
      <c r="I69" s="1">
        <f t="shared" si="1"/>
        <v>0.02175631422</v>
      </c>
      <c r="J69" s="1">
        <v>0.0</v>
      </c>
      <c r="K69" s="1">
        <f t="shared" si="2"/>
        <v>0.02175631422</v>
      </c>
      <c r="L69" s="1">
        <f t="shared" si="3"/>
        <v>2.175631422</v>
      </c>
      <c r="M69" s="1">
        <v>2.5</v>
      </c>
    </row>
    <row r="70" ht="15.75" customHeight="1">
      <c r="A70" s="7">
        <v>43990.0</v>
      </c>
      <c r="B70" s="1">
        <v>63.970001</v>
      </c>
      <c r="C70" s="1">
        <v>64.150002</v>
      </c>
      <c r="D70" s="1">
        <v>62.939999</v>
      </c>
      <c r="E70" s="1">
        <v>63.669998</v>
      </c>
      <c r="F70" s="1">
        <v>62.405048</v>
      </c>
      <c r="G70" s="1">
        <v>2.15462E7</v>
      </c>
      <c r="I70" s="1">
        <f t="shared" si="1"/>
        <v>-0.01041336749</v>
      </c>
      <c r="J70" s="1">
        <v>0.0</v>
      </c>
      <c r="K70" s="1">
        <f t="shared" si="2"/>
        <v>-0.01041336749</v>
      </c>
      <c r="L70" s="1">
        <f t="shared" si="3"/>
        <v>-1.041336749</v>
      </c>
      <c r="M70" s="1">
        <v>1.39</v>
      </c>
    </row>
    <row r="71" ht="15.75" customHeight="1">
      <c r="A71" s="7">
        <v>43991.0</v>
      </c>
      <c r="B71" s="1">
        <v>62.990002</v>
      </c>
      <c r="C71" s="1">
        <v>63.709999</v>
      </c>
      <c r="D71" s="1">
        <v>62.900002</v>
      </c>
      <c r="E71" s="1">
        <v>63.040001</v>
      </c>
      <c r="F71" s="1">
        <v>61.787563</v>
      </c>
      <c r="G71" s="1">
        <v>2.35941E7</v>
      </c>
      <c r="I71" s="1">
        <f t="shared" si="1"/>
        <v>-0.009894792485</v>
      </c>
      <c r="J71" s="1">
        <v>0.0</v>
      </c>
      <c r="K71" s="1">
        <f t="shared" si="2"/>
        <v>-0.009894792485</v>
      </c>
      <c r="L71" s="1">
        <f t="shared" si="3"/>
        <v>-0.9894792485</v>
      </c>
      <c r="M71" s="1">
        <v>-0.85</v>
      </c>
    </row>
    <row r="72" ht="15.75" customHeight="1">
      <c r="A72" s="7">
        <v>43992.0</v>
      </c>
      <c r="B72" s="1">
        <v>62.790001</v>
      </c>
      <c r="C72" s="1">
        <v>64.290001</v>
      </c>
      <c r="D72" s="1">
        <v>62.75</v>
      </c>
      <c r="E72" s="1">
        <v>63.869999</v>
      </c>
      <c r="F72" s="1">
        <v>62.601074</v>
      </c>
      <c r="G72" s="1">
        <v>2.13678E7</v>
      </c>
      <c r="I72" s="1">
        <f t="shared" si="1"/>
        <v>0.01316625807</v>
      </c>
      <c r="J72" s="1">
        <v>0.0</v>
      </c>
      <c r="K72" s="1">
        <f t="shared" si="2"/>
        <v>0.01316625807</v>
      </c>
      <c r="L72" s="1">
        <f t="shared" si="3"/>
        <v>1.316625807</v>
      </c>
      <c r="M72" s="1">
        <v>-0.56</v>
      </c>
    </row>
    <row r="73" ht="15.75" customHeight="1">
      <c r="A73" s="7">
        <v>43993.0</v>
      </c>
      <c r="B73" s="1">
        <v>63.07</v>
      </c>
      <c r="C73" s="1">
        <v>63.299999</v>
      </c>
      <c r="D73" s="1">
        <v>59.52</v>
      </c>
      <c r="E73" s="1">
        <v>59.700001</v>
      </c>
      <c r="F73" s="1">
        <v>58.513927</v>
      </c>
      <c r="G73" s="1">
        <v>2.69982E7</v>
      </c>
      <c r="I73" s="1">
        <f t="shared" si="1"/>
        <v>-0.06528876805</v>
      </c>
      <c r="J73" s="1">
        <v>0.0</v>
      </c>
      <c r="K73" s="1">
        <f t="shared" si="2"/>
        <v>-0.06528876805</v>
      </c>
      <c r="L73" s="1">
        <f t="shared" si="3"/>
        <v>-6.528876805</v>
      </c>
      <c r="M73" s="1">
        <v>-5.91</v>
      </c>
    </row>
    <row r="74" ht="15.75" customHeight="1">
      <c r="A74" s="7">
        <v>43994.0</v>
      </c>
      <c r="B74" s="1">
        <v>60.110001</v>
      </c>
      <c r="C74" s="1">
        <v>60.959999</v>
      </c>
      <c r="D74" s="1">
        <v>58.119999</v>
      </c>
      <c r="E74" s="1">
        <v>59.330002</v>
      </c>
      <c r="F74" s="1">
        <v>58.151276</v>
      </c>
      <c r="G74" s="1">
        <v>3.04198E7</v>
      </c>
      <c r="I74" s="1">
        <f t="shared" si="1"/>
        <v>-0.00619768692</v>
      </c>
      <c r="J74" s="1">
        <v>0.0</v>
      </c>
      <c r="K74" s="1">
        <f t="shared" si="2"/>
        <v>-0.00619768692</v>
      </c>
      <c r="L74" s="1">
        <f t="shared" si="3"/>
        <v>-0.619768692</v>
      </c>
      <c r="M74" s="1">
        <v>1.29</v>
      </c>
    </row>
    <row r="75" ht="15.75" customHeight="1">
      <c r="A75" s="7">
        <v>43997.0</v>
      </c>
      <c r="B75" s="1">
        <v>59.330002</v>
      </c>
      <c r="C75" s="1">
        <v>60.360001</v>
      </c>
      <c r="D75" s="1">
        <v>58.580002</v>
      </c>
      <c r="E75" s="1">
        <v>60.099998</v>
      </c>
      <c r="F75" s="1">
        <v>58.905975</v>
      </c>
      <c r="G75" s="1">
        <v>2.96517E7</v>
      </c>
      <c r="I75" s="1">
        <f t="shared" si="1"/>
        <v>0.01297820189</v>
      </c>
      <c r="J75" s="1">
        <v>0.0</v>
      </c>
      <c r="K75" s="1">
        <f t="shared" si="2"/>
        <v>0.01297820189</v>
      </c>
      <c r="L75" s="1">
        <f t="shared" si="3"/>
        <v>1.297820189</v>
      </c>
      <c r="M75" s="1">
        <v>1.09</v>
      </c>
    </row>
    <row r="76" ht="15.75" customHeight="1">
      <c r="A76" s="7">
        <v>43998.0</v>
      </c>
      <c r="B76" s="1">
        <v>61.490002</v>
      </c>
      <c r="C76" s="1">
        <v>61.650002</v>
      </c>
      <c r="D76" s="1">
        <v>59.490002</v>
      </c>
      <c r="E76" s="1">
        <v>60.400002</v>
      </c>
      <c r="F76" s="1">
        <v>59.20002</v>
      </c>
      <c r="G76" s="1">
        <v>2.32266E7</v>
      </c>
      <c r="I76" s="1">
        <f t="shared" si="1"/>
        <v>0.004991768662</v>
      </c>
      <c r="J76" s="1">
        <v>0.0</v>
      </c>
      <c r="K76" s="1">
        <f t="shared" si="2"/>
        <v>0.004991768662</v>
      </c>
      <c r="L76" s="1">
        <f t="shared" si="3"/>
        <v>0.4991768662</v>
      </c>
      <c r="M76" s="1">
        <v>1.86</v>
      </c>
    </row>
    <row r="77" ht="15.75" customHeight="1">
      <c r="A77" s="7">
        <v>43999.0</v>
      </c>
      <c r="B77" s="1">
        <v>60.740002</v>
      </c>
      <c r="C77" s="1">
        <v>61.279999</v>
      </c>
      <c r="D77" s="1">
        <v>60.060001</v>
      </c>
      <c r="E77" s="1">
        <v>60.490002</v>
      </c>
      <c r="F77" s="1">
        <v>59.288227</v>
      </c>
      <c r="G77" s="1">
        <v>2.04548E7</v>
      </c>
      <c r="I77" s="1">
        <f t="shared" si="1"/>
        <v>0.001489982605</v>
      </c>
      <c r="J77" s="1">
        <v>0.0</v>
      </c>
      <c r="K77" s="1">
        <f t="shared" si="2"/>
        <v>0.001489982605</v>
      </c>
      <c r="L77" s="1">
        <f t="shared" si="3"/>
        <v>0.1489982605</v>
      </c>
      <c r="M77" s="1">
        <v>-0.4</v>
      </c>
    </row>
    <row r="78" ht="15.75" customHeight="1">
      <c r="A78" s="7">
        <v>44000.0</v>
      </c>
      <c r="B78" s="1">
        <v>60.349998</v>
      </c>
      <c r="C78" s="1">
        <v>60.509998</v>
      </c>
      <c r="D78" s="1">
        <v>59.32</v>
      </c>
      <c r="E78" s="1">
        <v>60.080002</v>
      </c>
      <c r="F78" s="1">
        <v>58.886372</v>
      </c>
      <c r="G78" s="1">
        <v>2.48997E7</v>
      </c>
      <c r="I78" s="1">
        <f t="shared" si="1"/>
        <v>-0.006777989836</v>
      </c>
      <c r="J78" s="1">
        <v>0.0</v>
      </c>
      <c r="K78" s="1">
        <f t="shared" si="2"/>
        <v>-0.006777989836</v>
      </c>
      <c r="L78" s="1">
        <f t="shared" si="3"/>
        <v>-0.6777989836</v>
      </c>
      <c r="M78" s="1">
        <v>0.19</v>
      </c>
    </row>
    <row r="79" ht="15.75" customHeight="1">
      <c r="A79" s="7">
        <v>44001.0</v>
      </c>
      <c r="B79" s="1">
        <v>60.650002</v>
      </c>
      <c r="C79" s="1">
        <v>60.889999</v>
      </c>
      <c r="D79" s="1">
        <v>59.099998</v>
      </c>
      <c r="E79" s="1">
        <v>59.619999</v>
      </c>
      <c r="F79" s="1">
        <v>58.435509</v>
      </c>
      <c r="G79" s="1">
        <v>6.03361E7</v>
      </c>
      <c r="I79" s="1">
        <f t="shared" si="1"/>
        <v>-0.007656491386</v>
      </c>
      <c r="J79" s="1">
        <v>0.0</v>
      </c>
      <c r="K79" s="1">
        <f t="shared" si="2"/>
        <v>-0.007656491386</v>
      </c>
      <c r="L79" s="1">
        <f t="shared" si="3"/>
        <v>-0.7656491386</v>
      </c>
      <c r="M79" s="1">
        <v>-0.45</v>
      </c>
    </row>
    <row r="80" ht="15.75" customHeight="1">
      <c r="A80" s="7">
        <v>44004.0</v>
      </c>
      <c r="B80" s="1">
        <v>59.73</v>
      </c>
      <c r="C80" s="1">
        <v>60.549999</v>
      </c>
      <c r="D80" s="1">
        <v>58.830002</v>
      </c>
      <c r="E80" s="1">
        <v>60.09</v>
      </c>
      <c r="F80" s="1">
        <v>58.896172</v>
      </c>
      <c r="G80" s="1">
        <v>2.2846E7</v>
      </c>
      <c r="I80" s="1">
        <f t="shared" si="1"/>
        <v>0.007883271796</v>
      </c>
      <c r="J80" s="1">
        <v>0.0</v>
      </c>
      <c r="K80" s="1">
        <f t="shared" si="2"/>
        <v>0.007883271796</v>
      </c>
      <c r="L80" s="1">
        <f t="shared" si="3"/>
        <v>0.7883271796</v>
      </c>
      <c r="M80" s="1">
        <v>0.71</v>
      </c>
    </row>
    <row r="81" ht="15.75" customHeight="1">
      <c r="A81" s="7">
        <v>44005.0</v>
      </c>
      <c r="B81" s="1">
        <v>60.189999</v>
      </c>
      <c r="C81" s="1">
        <v>60.470001</v>
      </c>
      <c r="D81" s="1">
        <v>59.860001</v>
      </c>
      <c r="E81" s="1">
        <v>59.919998</v>
      </c>
      <c r="F81" s="1">
        <v>58.729549</v>
      </c>
      <c r="G81" s="1">
        <v>2.28096E7</v>
      </c>
      <c r="I81" s="1">
        <f t="shared" si="1"/>
        <v>-0.00282909728</v>
      </c>
      <c r="J81" s="1">
        <v>0.0</v>
      </c>
      <c r="K81" s="1">
        <f t="shared" si="2"/>
        <v>-0.00282909728</v>
      </c>
      <c r="L81" s="1">
        <f t="shared" si="3"/>
        <v>-0.282909728</v>
      </c>
      <c r="M81" s="1">
        <v>0.42</v>
      </c>
    </row>
    <row r="82" ht="15.75" customHeight="1">
      <c r="A82" s="7">
        <v>44006.0</v>
      </c>
      <c r="B82" s="1">
        <v>59.639999</v>
      </c>
      <c r="C82" s="1">
        <v>59.810001</v>
      </c>
      <c r="D82" s="1">
        <v>58.669998</v>
      </c>
      <c r="E82" s="1">
        <v>59.09</v>
      </c>
      <c r="F82" s="1">
        <v>57.916039</v>
      </c>
      <c r="G82" s="1">
        <v>2.77645E7</v>
      </c>
      <c r="I82" s="1">
        <f t="shared" si="1"/>
        <v>-0.01385180056</v>
      </c>
      <c r="J82" s="1">
        <v>0.0</v>
      </c>
      <c r="K82" s="1">
        <f t="shared" si="2"/>
        <v>-0.01385180056</v>
      </c>
      <c r="L82" s="1">
        <f t="shared" si="3"/>
        <v>-1.385180056</v>
      </c>
      <c r="M82" s="1">
        <v>-2.61</v>
      </c>
    </row>
    <row r="83" ht="15.75" customHeight="1">
      <c r="A83" s="7">
        <v>44007.0</v>
      </c>
      <c r="B83" s="1">
        <v>58.98</v>
      </c>
      <c r="C83" s="1">
        <v>59.09</v>
      </c>
      <c r="D83" s="1">
        <v>57.48</v>
      </c>
      <c r="E83" s="1">
        <v>58.509998</v>
      </c>
      <c r="F83" s="1">
        <v>57.347561</v>
      </c>
      <c r="G83" s="1">
        <v>2.19069E7</v>
      </c>
      <c r="I83" s="1">
        <f t="shared" si="1"/>
        <v>-0.009815553857</v>
      </c>
      <c r="J83" s="1">
        <v>0.0</v>
      </c>
      <c r="K83" s="1">
        <f t="shared" si="2"/>
        <v>-0.009815553857</v>
      </c>
      <c r="L83" s="1">
        <f t="shared" si="3"/>
        <v>-0.9815553857</v>
      </c>
      <c r="M83" s="1">
        <v>1.12</v>
      </c>
    </row>
    <row r="84" ht="15.75" customHeight="1">
      <c r="A84" s="7">
        <v>44008.0</v>
      </c>
      <c r="B84" s="1">
        <v>58.490002</v>
      </c>
      <c r="C84" s="1">
        <v>58.73</v>
      </c>
      <c r="D84" s="1">
        <v>57.07</v>
      </c>
      <c r="E84" s="1">
        <v>57.5</v>
      </c>
      <c r="F84" s="1">
        <v>56.357628</v>
      </c>
      <c r="G84" s="1">
        <v>3.84775E7</v>
      </c>
      <c r="I84" s="1">
        <f t="shared" si="1"/>
        <v>-0.01726198957</v>
      </c>
      <c r="J84" s="1">
        <v>0.0</v>
      </c>
      <c r="K84" s="1">
        <f t="shared" si="2"/>
        <v>-0.01726198957</v>
      </c>
      <c r="L84" s="1">
        <f t="shared" si="3"/>
        <v>-1.726198957</v>
      </c>
      <c r="M84" s="1">
        <v>-2.44</v>
      </c>
    </row>
    <row r="85" ht="15.75" customHeight="1">
      <c r="A85" s="7">
        <v>44011.0</v>
      </c>
      <c r="B85" s="1">
        <v>57.470001</v>
      </c>
      <c r="C85" s="1">
        <v>58.349998</v>
      </c>
      <c r="D85" s="1">
        <v>56.759998</v>
      </c>
      <c r="E85" s="1">
        <v>58.27</v>
      </c>
      <c r="F85" s="1">
        <v>57.112335</v>
      </c>
      <c r="G85" s="1">
        <v>2.21503E7</v>
      </c>
      <c r="I85" s="1">
        <f t="shared" si="1"/>
        <v>0.01339139043</v>
      </c>
      <c r="J85" s="1">
        <v>0.0</v>
      </c>
      <c r="K85" s="1">
        <f t="shared" si="2"/>
        <v>0.01339139043</v>
      </c>
      <c r="L85" s="1">
        <f t="shared" si="3"/>
        <v>1.339139043</v>
      </c>
      <c r="M85" s="1">
        <v>1.51</v>
      </c>
    </row>
    <row r="86" ht="15.75" customHeight="1">
      <c r="A86" s="7">
        <v>44012.0</v>
      </c>
      <c r="B86" s="1">
        <v>58.709999</v>
      </c>
      <c r="C86" s="1">
        <v>59.98</v>
      </c>
      <c r="D86" s="1">
        <v>58.540001</v>
      </c>
      <c r="E86" s="1">
        <v>59.830002</v>
      </c>
      <c r="F86" s="1">
        <v>58.641346</v>
      </c>
      <c r="G86" s="1">
        <v>3.15421E7</v>
      </c>
      <c r="I86" s="1">
        <f t="shared" si="1"/>
        <v>0.02677199243</v>
      </c>
      <c r="J86" s="1">
        <v>0.0</v>
      </c>
      <c r="K86" s="1">
        <f t="shared" si="2"/>
        <v>0.02677199243</v>
      </c>
      <c r="L86" s="1">
        <f t="shared" si="3"/>
        <v>2.677199243</v>
      </c>
      <c r="M86" s="1">
        <v>1.58</v>
      </c>
    </row>
    <row r="87" ht="15.75" customHeight="1">
      <c r="A87" s="7">
        <v>44013.0</v>
      </c>
      <c r="B87" s="1">
        <v>59.91</v>
      </c>
      <c r="C87" s="1">
        <v>60.029999</v>
      </c>
      <c r="D87" s="1">
        <v>58.759998</v>
      </c>
      <c r="E87" s="1">
        <v>58.810001</v>
      </c>
      <c r="F87" s="1">
        <v>57.641605</v>
      </c>
      <c r="G87" s="1">
        <v>1.47481E7</v>
      </c>
      <c r="I87" s="1">
        <f t="shared" si="1"/>
        <v>-0.0170483979</v>
      </c>
      <c r="J87" s="1">
        <v>0.0</v>
      </c>
      <c r="K87" s="1">
        <f t="shared" si="2"/>
        <v>-0.0170483979</v>
      </c>
      <c r="L87" s="1">
        <f t="shared" si="3"/>
        <v>-1.70483979</v>
      </c>
      <c r="M87" s="1">
        <v>0.41</v>
      </c>
    </row>
    <row r="88" ht="15.75" customHeight="1">
      <c r="A88" s="7">
        <v>44014.0</v>
      </c>
      <c r="B88" s="1">
        <v>59.189999</v>
      </c>
      <c r="C88" s="1">
        <v>59.810001</v>
      </c>
      <c r="D88" s="1">
        <v>58.970001</v>
      </c>
      <c r="E88" s="1">
        <v>59.130001</v>
      </c>
      <c r="F88" s="1">
        <v>57.95525</v>
      </c>
      <c r="G88" s="1">
        <v>1.55786E7</v>
      </c>
      <c r="I88" s="1">
        <f t="shared" si="1"/>
        <v>0.005441295398</v>
      </c>
      <c r="J88" s="1">
        <v>0.0</v>
      </c>
      <c r="K88" s="1">
        <f t="shared" si="2"/>
        <v>0.005441295398</v>
      </c>
      <c r="L88" s="1">
        <f t="shared" si="3"/>
        <v>0.5441295398</v>
      </c>
      <c r="M88" s="1">
        <v>0.5</v>
      </c>
    </row>
    <row r="89" ht="15.75" customHeight="1">
      <c r="A89" s="7">
        <v>44018.0</v>
      </c>
      <c r="B89" s="1">
        <v>58.720001</v>
      </c>
      <c r="C89" s="1">
        <v>59.619999</v>
      </c>
      <c r="D89" s="1">
        <v>58.599998</v>
      </c>
      <c r="E89" s="1">
        <v>59.540001</v>
      </c>
      <c r="F89" s="1">
        <v>58.357101</v>
      </c>
      <c r="G89" s="1">
        <v>2.05367E7</v>
      </c>
      <c r="I89" s="1">
        <f t="shared" si="1"/>
        <v>0.006933815314</v>
      </c>
      <c r="J89" s="1">
        <v>0.0</v>
      </c>
      <c r="K89" s="1">
        <f t="shared" si="2"/>
        <v>0.006933815314</v>
      </c>
      <c r="L89" s="1">
        <f t="shared" si="3"/>
        <v>0.6933815314</v>
      </c>
      <c r="M89" s="1">
        <v>1.65</v>
      </c>
    </row>
    <row r="90" ht="15.75" customHeight="1">
      <c r="A90" s="7">
        <v>44019.0</v>
      </c>
      <c r="B90" s="1">
        <v>59.07</v>
      </c>
      <c r="C90" s="1">
        <v>59.57</v>
      </c>
      <c r="D90" s="1">
        <v>58.139999</v>
      </c>
      <c r="E90" s="1">
        <v>58.310001</v>
      </c>
      <c r="F90" s="1">
        <v>57.151539</v>
      </c>
      <c r="G90" s="1">
        <v>1.59965E7</v>
      </c>
      <c r="I90" s="1">
        <f t="shared" si="1"/>
        <v>-0.02065835998</v>
      </c>
      <c r="J90" s="1">
        <v>0.0</v>
      </c>
      <c r="K90" s="1">
        <f t="shared" si="2"/>
        <v>-0.02065835998</v>
      </c>
      <c r="L90" s="1">
        <f t="shared" si="3"/>
        <v>-2.065835998</v>
      </c>
      <c r="M90" s="1">
        <v>-1.03</v>
      </c>
    </row>
    <row r="91" ht="15.75" customHeight="1">
      <c r="A91" s="7">
        <v>44020.0</v>
      </c>
      <c r="B91" s="1">
        <v>58.450001</v>
      </c>
      <c r="C91" s="1">
        <v>58.700001</v>
      </c>
      <c r="D91" s="1">
        <v>57.93</v>
      </c>
      <c r="E91" s="1">
        <v>58.610001</v>
      </c>
      <c r="F91" s="1">
        <v>57.44558</v>
      </c>
      <c r="G91" s="1">
        <v>1.32779E7</v>
      </c>
      <c r="I91" s="1">
        <f t="shared" si="1"/>
        <v>0.005144935817</v>
      </c>
      <c r="J91" s="1">
        <v>0.0</v>
      </c>
      <c r="K91" s="1">
        <f t="shared" si="2"/>
        <v>0.005144935817</v>
      </c>
      <c r="L91" s="1">
        <f t="shared" si="3"/>
        <v>0.5144935817</v>
      </c>
      <c r="M91" s="1">
        <v>0.91</v>
      </c>
    </row>
    <row r="92" ht="15.75" customHeight="1">
      <c r="A92" s="7">
        <v>44021.0</v>
      </c>
      <c r="B92" s="1">
        <v>58.200001</v>
      </c>
      <c r="C92" s="1">
        <v>58.75</v>
      </c>
      <c r="D92" s="1">
        <v>57.700001</v>
      </c>
      <c r="E92" s="1">
        <v>58.419998</v>
      </c>
      <c r="F92" s="1">
        <v>57.25935</v>
      </c>
      <c r="G92" s="1">
        <v>2.06837E7</v>
      </c>
      <c r="I92" s="1">
        <f t="shared" si="1"/>
        <v>-0.003241850809</v>
      </c>
      <c r="J92" s="1">
        <v>0.0</v>
      </c>
      <c r="K92" s="1">
        <f t="shared" si="2"/>
        <v>-0.003241850809</v>
      </c>
      <c r="L92" s="1">
        <f t="shared" si="3"/>
        <v>-0.3241850809</v>
      </c>
      <c r="M92" s="1">
        <v>-0.53</v>
      </c>
    </row>
    <row r="93" ht="15.75" customHeight="1">
      <c r="A93" s="7">
        <v>44022.0</v>
      </c>
      <c r="B93" s="1">
        <v>57.950001</v>
      </c>
      <c r="C93" s="1">
        <v>59.689999</v>
      </c>
      <c r="D93" s="1">
        <v>57.830002</v>
      </c>
      <c r="E93" s="1">
        <v>59.529999</v>
      </c>
      <c r="F93" s="1">
        <v>58.347298</v>
      </c>
      <c r="G93" s="1">
        <v>1.77423E7</v>
      </c>
      <c r="I93" s="1">
        <f t="shared" si="1"/>
        <v>0.0190003554</v>
      </c>
      <c r="J93" s="1">
        <v>0.0</v>
      </c>
      <c r="K93" s="1">
        <f t="shared" si="2"/>
        <v>0.0190003554</v>
      </c>
      <c r="L93" s="1">
        <f t="shared" si="3"/>
        <v>1.90003554</v>
      </c>
      <c r="M93" s="1">
        <v>1.11</v>
      </c>
    </row>
    <row r="94" ht="15.75" customHeight="1">
      <c r="A94" s="7">
        <v>44025.0</v>
      </c>
      <c r="B94" s="1">
        <v>59.84</v>
      </c>
      <c r="C94" s="1">
        <v>60.619999</v>
      </c>
      <c r="D94" s="1">
        <v>58.389999</v>
      </c>
      <c r="E94" s="1">
        <v>58.580002</v>
      </c>
      <c r="F94" s="1">
        <v>57.416176</v>
      </c>
      <c r="G94" s="1">
        <v>1.90829E7</v>
      </c>
      <c r="I94" s="1">
        <f t="shared" si="1"/>
        <v>-0.01595827111</v>
      </c>
      <c r="J94" s="1">
        <v>0.0</v>
      </c>
      <c r="K94" s="1">
        <f t="shared" si="2"/>
        <v>-0.01595827111</v>
      </c>
      <c r="L94" s="1">
        <f t="shared" si="3"/>
        <v>-1.595827111</v>
      </c>
      <c r="M94" s="1">
        <v>-1.2</v>
      </c>
    </row>
    <row r="95" ht="15.75" customHeight="1">
      <c r="A95" s="7">
        <v>44026.0</v>
      </c>
      <c r="B95" s="1">
        <v>57.869999</v>
      </c>
      <c r="C95" s="1">
        <v>59.25</v>
      </c>
      <c r="D95" s="1">
        <v>57.349998</v>
      </c>
      <c r="E95" s="1">
        <v>58.98</v>
      </c>
      <c r="F95" s="1">
        <v>57.808228</v>
      </c>
      <c r="G95" s="1">
        <v>2.41909E7</v>
      </c>
      <c r="I95" s="1">
        <f t="shared" si="1"/>
        <v>0.006828249934</v>
      </c>
      <c r="J95" s="1">
        <v>0.0</v>
      </c>
      <c r="K95" s="1">
        <f t="shared" si="2"/>
        <v>0.006828249934</v>
      </c>
      <c r="L95" s="1">
        <f t="shared" si="3"/>
        <v>0.6828249934</v>
      </c>
      <c r="M95" s="1">
        <v>1.35</v>
      </c>
    </row>
    <row r="96" ht="15.75" customHeight="1">
      <c r="A96" s="7">
        <v>44027.0</v>
      </c>
      <c r="B96" s="1">
        <v>59.029999</v>
      </c>
      <c r="C96" s="1">
        <v>59.34</v>
      </c>
      <c r="D96" s="1">
        <v>58.419998</v>
      </c>
      <c r="E96" s="1">
        <v>59.029999</v>
      </c>
      <c r="F96" s="1">
        <v>57.857235</v>
      </c>
      <c r="G96" s="1">
        <v>1.99863E7</v>
      </c>
      <c r="I96" s="1">
        <f t="shared" si="1"/>
        <v>0.0008477512924</v>
      </c>
      <c r="J96" s="1">
        <v>0.0</v>
      </c>
      <c r="K96" s="1">
        <f t="shared" si="2"/>
        <v>0.0008477512924</v>
      </c>
      <c r="L96" s="1">
        <f t="shared" si="3"/>
        <v>0.08477512924</v>
      </c>
      <c r="M96" s="1">
        <v>1.14</v>
      </c>
    </row>
    <row r="97" ht="15.75" customHeight="1">
      <c r="A97" s="7">
        <v>44028.0</v>
      </c>
      <c r="B97" s="1">
        <v>58.540001</v>
      </c>
      <c r="C97" s="1">
        <v>59.360001</v>
      </c>
      <c r="D97" s="1">
        <v>58.400002</v>
      </c>
      <c r="E97" s="1">
        <v>59.139999</v>
      </c>
      <c r="F97" s="1">
        <v>57.96505</v>
      </c>
      <c r="G97" s="1">
        <v>1.24259E7</v>
      </c>
      <c r="I97" s="1">
        <f t="shared" si="1"/>
        <v>0.001863466168</v>
      </c>
      <c r="J97" s="1">
        <v>0.0</v>
      </c>
      <c r="K97" s="1">
        <f t="shared" si="2"/>
        <v>0.001863466168</v>
      </c>
      <c r="L97" s="1">
        <f t="shared" si="3"/>
        <v>0.1863466168</v>
      </c>
      <c r="M97" s="1">
        <v>-0.37</v>
      </c>
    </row>
    <row r="98" ht="15.75" customHeight="1">
      <c r="A98" s="7">
        <v>44029.0</v>
      </c>
      <c r="B98" s="1">
        <v>59.419998</v>
      </c>
      <c r="C98" s="1">
        <v>60.459999</v>
      </c>
      <c r="D98" s="1">
        <v>59.279999</v>
      </c>
      <c r="E98" s="1">
        <v>60.0</v>
      </c>
      <c r="F98" s="1">
        <v>58.807964</v>
      </c>
      <c r="G98" s="1">
        <v>1.63228E7</v>
      </c>
      <c r="I98" s="1">
        <f t="shared" si="1"/>
        <v>0.01454176267</v>
      </c>
      <c r="J98" s="1">
        <v>0.0</v>
      </c>
      <c r="K98" s="1">
        <f t="shared" si="2"/>
        <v>0.01454176267</v>
      </c>
      <c r="L98" s="1">
        <f t="shared" si="3"/>
        <v>1.454176267</v>
      </c>
      <c r="M98" s="1">
        <v>0.3</v>
      </c>
    </row>
    <row r="99" ht="15.75" customHeight="1">
      <c r="A99" s="7">
        <v>44032.0</v>
      </c>
      <c r="B99" s="1">
        <v>60.080002</v>
      </c>
      <c r="C99" s="1">
        <v>61.380001</v>
      </c>
      <c r="D99" s="1">
        <v>59.34</v>
      </c>
      <c r="E99" s="1">
        <v>61.150002</v>
      </c>
      <c r="F99" s="1">
        <v>59.935116</v>
      </c>
      <c r="G99" s="1">
        <v>1.68687E7</v>
      </c>
      <c r="I99" s="1">
        <f t="shared" si="1"/>
        <v>0.01916665573</v>
      </c>
      <c r="J99" s="1">
        <v>0.0</v>
      </c>
      <c r="K99" s="1">
        <f t="shared" si="2"/>
        <v>0.01916665573</v>
      </c>
      <c r="L99" s="1">
        <f t="shared" si="3"/>
        <v>1.916665573</v>
      </c>
      <c r="M99" s="1">
        <v>1.01</v>
      </c>
    </row>
    <row r="100" ht="15.75" customHeight="1">
      <c r="A100" s="7">
        <v>44033.0</v>
      </c>
      <c r="B100" s="1">
        <v>61.52</v>
      </c>
      <c r="C100" s="1">
        <v>61.93</v>
      </c>
      <c r="D100" s="1">
        <v>60.439999</v>
      </c>
      <c r="E100" s="1">
        <v>60.700001</v>
      </c>
      <c r="F100" s="1">
        <v>59.494057</v>
      </c>
      <c r="G100" s="1">
        <v>1.98303E7</v>
      </c>
      <c r="I100" s="1">
        <f t="shared" si="1"/>
        <v>-0.007358941292</v>
      </c>
      <c r="J100" s="1">
        <v>0.0</v>
      </c>
      <c r="K100" s="1">
        <f t="shared" si="2"/>
        <v>-0.007358941292</v>
      </c>
      <c r="L100" s="1">
        <f t="shared" si="3"/>
        <v>-0.7358941292</v>
      </c>
      <c r="M100" s="1">
        <v>0.16</v>
      </c>
    </row>
    <row r="101" ht="15.75" customHeight="1">
      <c r="A101" s="7">
        <v>44034.0</v>
      </c>
      <c r="B101" s="1">
        <v>61.310001</v>
      </c>
      <c r="C101" s="1">
        <v>61.77</v>
      </c>
      <c r="D101" s="1">
        <v>60.619999</v>
      </c>
      <c r="E101" s="1">
        <v>61.049999</v>
      </c>
      <c r="F101" s="1">
        <v>59.837101</v>
      </c>
      <c r="G101" s="1">
        <v>1.89599E7</v>
      </c>
      <c r="I101" s="1">
        <f t="shared" si="1"/>
        <v>0.005766021302</v>
      </c>
      <c r="J101" s="1">
        <v>0.0</v>
      </c>
      <c r="K101" s="1">
        <f t="shared" si="2"/>
        <v>0.005766021302</v>
      </c>
      <c r="L101" s="1">
        <f t="shared" si="3"/>
        <v>0.5766021302</v>
      </c>
      <c r="M101" s="1">
        <v>0.49</v>
      </c>
    </row>
    <row r="102" ht="15.75" customHeight="1">
      <c r="A102" s="7">
        <v>44035.0</v>
      </c>
      <c r="B102" s="1">
        <v>61.259998</v>
      </c>
      <c r="C102" s="1">
        <v>61.740002</v>
      </c>
      <c r="D102" s="1">
        <v>59.98</v>
      </c>
      <c r="E102" s="1">
        <v>60.400002</v>
      </c>
      <c r="F102" s="1">
        <v>59.20002</v>
      </c>
      <c r="G102" s="1">
        <v>4.35186E7</v>
      </c>
      <c r="I102" s="1">
        <f t="shared" si="1"/>
        <v>-0.01064692288</v>
      </c>
      <c r="J102" s="1">
        <v>0.0</v>
      </c>
      <c r="K102" s="1">
        <f t="shared" si="2"/>
        <v>-0.01064692288</v>
      </c>
      <c r="L102" s="1">
        <f t="shared" si="3"/>
        <v>-1.064692288</v>
      </c>
      <c r="M102" s="1">
        <v>-1.2</v>
      </c>
    </row>
    <row r="103" ht="15.75" customHeight="1">
      <c r="A103" s="7">
        <v>44036.0</v>
      </c>
      <c r="B103" s="1">
        <v>52.150002</v>
      </c>
      <c r="C103" s="1">
        <v>52.18</v>
      </c>
      <c r="D103" s="1">
        <v>49.5</v>
      </c>
      <c r="E103" s="1">
        <v>50.59</v>
      </c>
      <c r="F103" s="1">
        <v>49.584911</v>
      </c>
      <c r="G103" s="1">
        <v>1.822699E8</v>
      </c>
      <c r="I103" s="1">
        <f t="shared" si="1"/>
        <v>-0.1624173269</v>
      </c>
      <c r="J103" s="1">
        <v>0.0</v>
      </c>
      <c r="K103" s="1">
        <f t="shared" si="2"/>
        <v>-0.1624173269</v>
      </c>
      <c r="L103" s="1">
        <f t="shared" si="3"/>
        <v>-16.24173269</v>
      </c>
      <c r="M103" s="1">
        <v>-0.75</v>
      </c>
    </row>
    <row r="104" ht="15.75" customHeight="1">
      <c r="A104" s="7">
        <v>44039.0</v>
      </c>
      <c r="B104" s="1">
        <v>51.029999</v>
      </c>
      <c r="C104" s="1">
        <v>51.139999</v>
      </c>
      <c r="D104" s="1">
        <v>49.470001</v>
      </c>
      <c r="E104" s="1">
        <v>49.57</v>
      </c>
      <c r="F104" s="1">
        <v>48.585178</v>
      </c>
      <c r="G104" s="1">
        <v>1.075265E8</v>
      </c>
      <c r="I104" s="1">
        <f t="shared" si="1"/>
        <v>-0.02016204083</v>
      </c>
      <c r="J104" s="1">
        <v>0.0</v>
      </c>
      <c r="K104" s="1">
        <f t="shared" si="2"/>
        <v>-0.02016204083</v>
      </c>
      <c r="L104" s="1">
        <f t="shared" si="3"/>
        <v>-2.016204083</v>
      </c>
      <c r="M104" s="1">
        <v>0.88</v>
      </c>
    </row>
    <row r="105" ht="15.75" customHeight="1">
      <c r="A105" s="7">
        <v>44040.0</v>
      </c>
      <c r="B105" s="1">
        <v>49.48</v>
      </c>
      <c r="C105" s="1">
        <v>50.23</v>
      </c>
      <c r="D105" s="1">
        <v>49.139999</v>
      </c>
      <c r="E105" s="1">
        <v>49.240002</v>
      </c>
      <c r="F105" s="1">
        <v>48.261738</v>
      </c>
      <c r="G105" s="1">
        <v>6.23626E7</v>
      </c>
      <c r="I105" s="1">
        <f t="shared" si="1"/>
        <v>-0.006657174334</v>
      </c>
      <c r="J105" s="1">
        <v>0.0</v>
      </c>
      <c r="K105" s="1">
        <f t="shared" si="2"/>
        <v>-0.006657174334</v>
      </c>
      <c r="L105" s="1">
        <f t="shared" si="3"/>
        <v>-0.6657174334</v>
      </c>
      <c r="M105" s="1">
        <v>-0.81</v>
      </c>
    </row>
    <row r="106" ht="15.75" customHeight="1">
      <c r="A106" s="7">
        <v>44041.0</v>
      </c>
      <c r="B106" s="1">
        <v>49.490002</v>
      </c>
      <c r="C106" s="1">
        <v>49.5</v>
      </c>
      <c r="D106" s="1">
        <v>47.900002</v>
      </c>
      <c r="E106" s="1">
        <v>48.07</v>
      </c>
      <c r="F106" s="1">
        <v>47.114979</v>
      </c>
      <c r="G106" s="1">
        <v>6.05008E7</v>
      </c>
      <c r="I106" s="1">
        <f t="shared" si="1"/>
        <v>-0.0237612454</v>
      </c>
      <c r="J106" s="1">
        <v>0.0</v>
      </c>
      <c r="K106" s="1">
        <f t="shared" si="2"/>
        <v>-0.0237612454</v>
      </c>
      <c r="L106" s="1">
        <f t="shared" si="3"/>
        <v>-2.37612454</v>
      </c>
      <c r="M106" s="1">
        <v>1.35</v>
      </c>
    </row>
    <row r="107" ht="15.75" customHeight="1">
      <c r="A107" s="7">
        <v>44042.0</v>
      </c>
      <c r="B107" s="1">
        <v>47.830002</v>
      </c>
      <c r="C107" s="1">
        <v>48.5</v>
      </c>
      <c r="D107" s="1">
        <v>47.59</v>
      </c>
      <c r="E107" s="1">
        <v>47.990002</v>
      </c>
      <c r="F107" s="1">
        <v>47.036568</v>
      </c>
      <c r="G107" s="1">
        <v>3.97352E7</v>
      </c>
      <c r="I107" s="1">
        <f t="shared" si="1"/>
        <v>-0.001664247797</v>
      </c>
      <c r="J107" s="1">
        <v>0.0</v>
      </c>
      <c r="K107" s="1">
        <f t="shared" si="2"/>
        <v>-0.001664247797</v>
      </c>
      <c r="L107" s="1">
        <f t="shared" si="3"/>
        <v>-0.1664247797</v>
      </c>
      <c r="M107" s="1">
        <v>-0.29</v>
      </c>
    </row>
    <row r="108" ht="15.75" customHeight="1">
      <c r="A108" s="7">
        <v>44043.0</v>
      </c>
      <c r="B108" s="1">
        <v>48.130001</v>
      </c>
      <c r="C108" s="1">
        <v>48.32</v>
      </c>
      <c r="D108" s="1">
        <v>46.970001</v>
      </c>
      <c r="E108" s="1">
        <v>47.73</v>
      </c>
      <c r="F108" s="1">
        <v>46.781734</v>
      </c>
      <c r="G108" s="1">
        <v>4.65699E7</v>
      </c>
      <c r="I108" s="1">
        <f t="shared" si="1"/>
        <v>-0.005417784733</v>
      </c>
      <c r="J108" s="1">
        <v>0.0</v>
      </c>
      <c r="K108" s="1">
        <f t="shared" si="2"/>
        <v>-0.005417784733</v>
      </c>
      <c r="L108" s="1">
        <f t="shared" si="3"/>
        <v>-0.5417784733</v>
      </c>
      <c r="M108" s="1">
        <v>0.61</v>
      </c>
    </row>
    <row r="109" ht="15.75" customHeight="1">
      <c r="A109" s="7">
        <v>44046.0</v>
      </c>
      <c r="B109" s="1">
        <v>48.27</v>
      </c>
      <c r="C109" s="1">
        <v>48.630001</v>
      </c>
      <c r="D109" s="1">
        <v>47.740002</v>
      </c>
      <c r="E109" s="1">
        <v>48.299999</v>
      </c>
      <c r="F109" s="1">
        <v>47.340408</v>
      </c>
      <c r="G109" s="1">
        <v>3.17671E7</v>
      </c>
      <c r="I109" s="1">
        <f t="shared" si="1"/>
        <v>0.01194213964</v>
      </c>
      <c r="J109" s="1">
        <v>0.0</v>
      </c>
      <c r="K109" s="1">
        <f t="shared" si="2"/>
        <v>0.01194213964</v>
      </c>
      <c r="L109" s="1">
        <f t="shared" si="3"/>
        <v>1.194213964</v>
      </c>
      <c r="M109" s="1">
        <v>0.98</v>
      </c>
    </row>
    <row r="110" ht="15.75" customHeight="1">
      <c r="A110" s="7">
        <v>44047.0</v>
      </c>
      <c r="B110" s="1">
        <v>48.599998</v>
      </c>
      <c r="C110" s="1">
        <v>49.139999</v>
      </c>
      <c r="D110" s="1">
        <v>48.5</v>
      </c>
      <c r="E110" s="1">
        <v>49.130001</v>
      </c>
      <c r="F110" s="1">
        <v>48.153919</v>
      </c>
      <c r="G110" s="1">
        <v>2.90458E7</v>
      </c>
      <c r="I110" s="1">
        <f t="shared" si="1"/>
        <v>0.01718428367</v>
      </c>
      <c r="J110" s="1">
        <v>0.0</v>
      </c>
      <c r="K110" s="1">
        <f t="shared" si="2"/>
        <v>0.01718428367</v>
      </c>
      <c r="L110" s="1">
        <f t="shared" si="3"/>
        <v>1.718428367</v>
      </c>
      <c r="M110" s="1">
        <v>0.37</v>
      </c>
    </row>
    <row r="111" ht="15.75" customHeight="1">
      <c r="A111" s="7">
        <v>44048.0</v>
      </c>
      <c r="B111" s="1">
        <v>49.720001</v>
      </c>
      <c r="C111" s="1">
        <v>49.720001</v>
      </c>
      <c r="D111" s="1">
        <v>48.66</v>
      </c>
      <c r="E111" s="1">
        <v>48.919998</v>
      </c>
      <c r="F111" s="1">
        <v>47.94809</v>
      </c>
      <c r="G111" s="1">
        <v>2.94711E7</v>
      </c>
      <c r="I111" s="1">
        <f t="shared" si="1"/>
        <v>-0.004274397687</v>
      </c>
      <c r="J111" s="1">
        <v>0.0</v>
      </c>
      <c r="K111" s="1">
        <f t="shared" si="2"/>
        <v>-0.004274397687</v>
      </c>
      <c r="L111" s="1">
        <f t="shared" si="3"/>
        <v>-0.4274397687</v>
      </c>
      <c r="M111" s="1">
        <v>0.78</v>
      </c>
    </row>
    <row r="112" ht="15.75" customHeight="1">
      <c r="A112" s="7">
        <v>44049.0</v>
      </c>
      <c r="B112" s="1">
        <v>48.790001</v>
      </c>
      <c r="C112" s="1">
        <v>48.82</v>
      </c>
      <c r="D112" s="1">
        <v>48.099998</v>
      </c>
      <c r="E112" s="1">
        <v>48.57</v>
      </c>
      <c r="F112" s="1">
        <v>47.928356</v>
      </c>
      <c r="G112" s="1">
        <v>2.37955E7</v>
      </c>
      <c r="I112" s="1">
        <f t="shared" si="1"/>
        <v>-0.0004115700959</v>
      </c>
      <c r="J112" s="1">
        <v>0.0</v>
      </c>
      <c r="K112" s="1">
        <f t="shared" si="2"/>
        <v>-0.0004115700959</v>
      </c>
      <c r="L112" s="1">
        <f t="shared" si="3"/>
        <v>-0.04115700959</v>
      </c>
      <c r="M112" s="1">
        <v>0.53</v>
      </c>
    </row>
    <row r="113" ht="15.75" customHeight="1">
      <c r="A113" s="7">
        <v>44050.0</v>
      </c>
      <c r="B113" s="1">
        <v>48.529999</v>
      </c>
      <c r="C113" s="1">
        <v>48.650002</v>
      </c>
      <c r="D113" s="1">
        <v>47.700001</v>
      </c>
      <c r="E113" s="1">
        <v>48.029999</v>
      </c>
      <c r="F113" s="1">
        <v>47.395489</v>
      </c>
      <c r="G113" s="1">
        <v>3.67652E7</v>
      </c>
      <c r="I113" s="1">
        <f t="shared" si="1"/>
        <v>-0.01111799036</v>
      </c>
      <c r="J113" s="1">
        <v>0.0</v>
      </c>
      <c r="K113" s="1">
        <f t="shared" si="2"/>
        <v>-0.01111799036</v>
      </c>
      <c r="L113" s="1">
        <f t="shared" si="3"/>
        <v>-1.111799036</v>
      </c>
      <c r="M113" s="1">
        <v>0.02</v>
      </c>
    </row>
    <row r="114" ht="15.75" customHeight="1">
      <c r="A114" s="7">
        <v>44053.0</v>
      </c>
      <c r="B114" s="1">
        <v>48.200001</v>
      </c>
      <c r="C114" s="1">
        <v>49.389999</v>
      </c>
      <c r="D114" s="1">
        <v>48.060001</v>
      </c>
      <c r="E114" s="1">
        <v>49.220001</v>
      </c>
      <c r="F114" s="1">
        <v>48.569771</v>
      </c>
      <c r="G114" s="1">
        <v>3.74426E7</v>
      </c>
      <c r="I114" s="1">
        <f t="shared" si="1"/>
        <v>0.02477623978</v>
      </c>
      <c r="J114" s="1">
        <v>0.0</v>
      </c>
      <c r="K114" s="1">
        <f t="shared" si="2"/>
        <v>0.02477623978</v>
      </c>
      <c r="L114" s="1">
        <f t="shared" si="3"/>
        <v>2.477623978</v>
      </c>
      <c r="M114" s="1">
        <v>0.24</v>
      </c>
    </row>
    <row r="115" ht="15.75" customHeight="1">
      <c r="A115" s="7">
        <v>44054.0</v>
      </c>
      <c r="B115" s="1">
        <v>49.630001</v>
      </c>
      <c r="C115" s="1">
        <v>49.73</v>
      </c>
      <c r="D115" s="1">
        <v>48.060001</v>
      </c>
      <c r="E115" s="1">
        <v>48.189999</v>
      </c>
      <c r="F115" s="1">
        <v>47.553371</v>
      </c>
      <c r="G115" s="1">
        <v>3.53481E7</v>
      </c>
      <c r="I115" s="1">
        <f t="shared" si="1"/>
        <v>-0.0209265965</v>
      </c>
      <c r="J115" s="1">
        <v>0.0</v>
      </c>
      <c r="K115" s="1">
        <f t="shared" si="2"/>
        <v>-0.0209265965</v>
      </c>
      <c r="L115" s="1">
        <f t="shared" si="3"/>
        <v>-2.09265965</v>
      </c>
      <c r="M115" s="1">
        <v>-0.83</v>
      </c>
    </row>
    <row r="116" ht="15.75" customHeight="1">
      <c r="A116" s="7">
        <v>44055.0</v>
      </c>
      <c r="B116" s="1">
        <v>48.669998</v>
      </c>
      <c r="C116" s="1">
        <v>49.259998</v>
      </c>
      <c r="D116" s="1">
        <v>48.240002</v>
      </c>
      <c r="E116" s="1">
        <v>49.189999</v>
      </c>
      <c r="F116" s="1">
        <v>48.540161</v>
      </c>
      <c r="G116" s="1">
        <v>3.06872E7</v>
      </c>
      <c r="I116" s="1">
        <f t="shared" si="1"/>
        <v>0.02075121026</v>
      </c>
      <c r="J116" s="1">
        <v>0.0</v>
      </c>
      <c r="K116" s="1">
        <f t="shared" si="2"/>
        <v>0.02075121026</v>
      </c>
      <c r="L116" s="1">
        <f t="shared" si="3"/>
        <v>2.075121026</v>
      </c>
      <c r="M116" s="1">
        <v>1.4</v>
      </c>
    </row>
    <row r="117" ht="15.75" customHeight="1">
      <c r="A117" s="7">
        <v>44056.0</v>
      </c>
      <c r="B117" s="1">
        <v>49.259998</v>
      </c>
      <c r="C117" s="1">
        <v>49.330002</v>
      </c>
      <c r="D117" s="1">
        <v>48.389999</v>
      </c>
      <c r="E117" s="1">
        <v>48.560001</v>
      </c>
      <c r="F117" s="1">
        <v>47.918488</v>
      </c>
      <c r="G117" s="1">
        <v>2.47745E7</v>
      </c>
      <c r="I117" s="1">
        <f t="shared" si="1"/>
        <v>-0.01280739468</v>
      </c>
      <c r="J117" s="1">
        <v>0.0</v>
      </c>
      <c r="K117" s="1">
        <f t="shared" si="2"/>
        <v>-0.01280739468</v>
      </c>
      <c r="L117" s="1">
        <f t="shared" si="3"/>
        <v>-1.280739468</v>
      </c>
      <c r="M117" s="1">
        <v>-0.01</v>
      </c>
    </row>
    <row r="118" ht="15.75" customHeight="1">
      <c r="A118" s="7">
        <v>44057.0</v>
      </c>
      <c r="B118" s="1">
        <v>48.73</v>
      </c>
      <c r="C118" s="1">
        <v>49.209999</v>
      </c>
      <c r="D118" s="1">
        <v>48.650002</v>
      </c>
      <c r="E118" s="1">
        <v>48.889999</v>
      </c>
      <c r="F118" s="1">
        <v>48.244125</v>
      </c>
      <c r="G118" s="1">
        <v>2.23212E7</v>
      </c>
      <c r="I118" s="1">
        <f t="shared" si="1"/>
        <v>0.006795644303</v>
      </c>
      <c r="J118" s="1">
        <v>0.0</v>
      </c>
      <c r="K118" s="1">
        <f t="shared" si="2"/>
        <v>0.006795644303</v>
      </c>
      <c r="L118" s="1">
        <f t="shared" si="3"/>
        <v>0.6795644303</v>
      </c>
      <c r="M118" s="1">
        <v>-0.04</v>
      </c>
    </row>
    <row r="119" ht="15.75" customHeight="1">
      <c r="A119" s="7">
        <v>44060.0</v>
      </c>
      <c r="B119" s="1">
        <v>49.110001</v>
      </c>
      <c r="C119" s="1">
        <v>49.310001</v>
      </c>
      <c r="D119" s="1">
        <v>48.73</v>
      </c>
      <c r="E119" s="1">
        <v>48.93</v>
      </c>
      <c r="F119" s="1">
        <v>48.2836</v>
      </c>
      <c r="G119" s="1">
        <v>2.00183E7</v>
      </c>
      <c r="I119" s="1">
        <f t="shared" si="1"/>
        <v>0.0008182343446</v>
      </c>
      <c r="J119" s="1">
        <v>0.0</v>
      </c>
      <c r="K119" s="1">
        <f t="shared" si="2"/>
        <v>0.0008182343446</v>
      </c>
      <c r="L119" s="1">
        <f t="shared" si="3"/>
        <v>0.08182343446</v>
      </c>
      <c r="M119" s="1">
        <v>0.45</v>
      </c>
    </row>
    <row r="120" ht="15.75" customHeight="1">
      <c r="A120" s="7">
        <v>44061.0</v>
      </c>
      <c r="B120" s="1">
        <v>49.259998</v>
      </c>
      <c r="C120" s="1">
        <v>49.57</v>
      </c>
      <c r="D120" s="1">
        <v>48.619999</v>
      </c>
      <c r="E120" s="1">
        <v>48.650002</v>
      </c>
      <c r="F120" s="1">
        <v>48.007301</v>
      </c>
      <c r="G120" s="1">
        <v>1.92514E7</v>
      </c>
      <c r="I120" s="1">
        <f t="shared" si="1"/>
        <v>-0.005722419207</v>
      </c>
      <c r="J120" s="1">
        <v>0.0</v>
      </c>
      <c r="K120" s="1">
        <f t="shared" si="2"/>
        <v>-0.005722419207</v>
      </c>
      <c r="L120" s="1">
        <f t="shared" si="3"/>
        <v>-0.5722419207</v>
      </c>
      <c r="M120" s="1">
        <v>0.22</v>
      </c>
    </row>
    <row r="121" ht="15.75" customHeight="1">
      <c r="A121" s="7">
        <v>44062.0</v>
      </c>
      <c r="B121" s="1">
        <v>48.790001</v>
      </c>
      <c r="C121" s="1">
        <v>48.98</v>
      </c>
      <c r="D121" s="1">
        <v>48.25</v>
      </c>
      <c r="E121" s="1">
        <v>48.330002</v>
      </c>
      <c r="F121" s="1">
        <v>47.691528</v>
      </c>
      <c r="G121" s="1">
        <v>2.7775E7</v>
      </c>
      <c r="I121" s="1">
        <f t="shared" si="1"/>
        <v>-0.006577603686</v>
      </c>
      <c r="J121" s="1">
        <v>0.0</v>
      </c>
      <c r="K121" s="1">
        <f t="shared" si="2"/>
        <v>-0.006577603686</v>
      </c>
      <c r="L121" s="1">
        <f t="shared" si="3"/>
        <v>-0.6577603686</v>
      </c>
      <c r="M121" s="1">
        <v>-0.38</v>
      </c>
    </row>
    <row r="122" ht="15.75" customHeight="1">
      <c r="A122" s="7">
        <v>44063.0</v>
      </c>
      <c r="B122" s="1">
        <v>49.810001</v>
      </c>
      <c r="C122" s="1">
        <v>50.200001</v>
      </c>
      <c r="D122" s="1">
        <v>49.0</v>
      </c>
      <c r="E122" s="1">
        <v>49.169998</v>
      </c>
      <c r="F122" s="1">
        <v>48.520428</v>
      </c>
      <c r="G122" s="1">
        <v>5.50813E7</v>
      </c>
      <c r="I122" s="1">
        <f t="shared" si="1"/>
        <v>0.01738044543</v>
      </c>
      <c r="J122" s="1">
        <v>0.0</v>
      </c>
      <c r="K122" s="1">
        <f t="shared" si="2"/>
        <v>0.01738044543</v>
      </c>
      <c r="L122" s="1">
        <f t="shared" si="3"/>
        <v>1.738044543</v>
      </c>
      <c r="M122" s="1">
        <v>0.31</v>
      </c>
    </row>
    <row r="123" ht="15.75" customHeight="1">
      <c r="A123" s="7">
        <v>44064.0</v>
      </c>
      <c r="B123" s="1">
        <v>49.02</v>
      </c>
      <c r="C123" s="1">
        <v>49.310001</v>
      </c>
      <c r="D123" s="1">
        <v>48.650002</v>
      </c>
      <c r="E123" s="1">
        <v>49.279999</v>
      </c>
      <c r="F123" s="1">
        <v>48.628975</v>
      </c>
      <c r="G123" s="1">
        <v>3.46215E7</v>
      </c>
      <c r="I123" s="1">
        <f t="shared" si="1"/>
        <v>0.0022371402</v>
      </c>
      <c r="J123" s="1">
        <v>0.0</v>
      </c>
      <c r="K123" s="1">
        <f t="shared" si="2"/>
        <v>0.0022371402</v>
      </c>
      <c r="L123" s="1">
        <f t="shared" si="3"/>
        <v>0.22371402</v>
      </c>
      <c r="M123" s="1">
        <v>0.25</v>
      </c>
    </row>
    <row r="124" ht="15.75" customHeight="1">
      <c r="A124" s="7">
        <v>44067.0</v>
      </c>
      <c r="B124" s="1">
        <v>49.259998</v>
      </c>
      <c r="C124" s="1">
        <v>49.400002</v>
      </c>
      <c r="D124" s="1">
        <v>48.82</v>
      </c>
      <c r="E124" s="1">
        <v>49.139999</v>
      </c>
      <c r="F124" s="1">
        <v>48.490826</v>
      </c>
      <c r="G124" s="1">
        <v>3.62953E7</v>
      </c>
      <c r="I124" s="1">
        <f t="shared" si="1"/>
        <v>-0.002840878304</v>
      </c>
      <c r="J124" s="1">
        <v>0.0</v>
      </c>
      <c r="K124" s="1">
        <f t="shared" si="2"/>
        <v>-0.002840878304</v>
      </c>
      <c r="L124" s="1">
        <f t="shared" si="3"/>
        <v>-0.2840878304</v>
      </c>
      <c r="M124" s="1">
        <v>0.92</v>
      </c>
    </row>
    <row r="125" ht="15.75" customHeight="1">
      <c r="A125" s="7">
        <v>44068.0</v>
      </c>
      <c r="B125" s="1">
        <v>49.349998</v>
      </c>
      <c r="C125" s="1">
        <v>49.880001</v>
      </c>
      <c r="D125" s="1">
        <v>49.209999</v>
      </c>
      <c r="E125" s="1">
        <v>49.43</v>
      </c>
      <c r="F125" s="1">
        <v>48.776993</v>
      </c>
      <c r="G125" s="1">
        <v>3.83843E7</v>
      </c>
      <c r="I125" s="1">
        <f t="shared" si="1"/>
        <v>0.005901466805</v>
      </c>
      <c r="J125" s="1">
        <v>0.0</v>
      </c>
      <c r="K125" s="1">
        <f t="shared" si="2"/>
        <v>0.005901466805</v>
      </c>
      <c r="L125" s="1">
        <f t="shared" si="3"/>
        <v>0.5901466805</v>
      </c>
      <c r="M125" s="1">
        <v>0.36</v>
      </c>
    </row>
    <row r="126" ht="15.75" customHeight="1">
      <c r="A126" s="7">
        <v>44069.0</v>
      </c>
      <c r="B126" s="1">
        <v>49.389999</v>
      </c>
      <c r="C126" s="1">
        <v>49.669998</v>
      </c>
      <c r="D126" s="1">
        <v>49.23</v>
      </c>
      <c r="E126" s="1">
        <v>49.549999</v>
      </c>
      <c r="F126" s="1">
        <v>48.895409</v>
      </c>
      <c r="G126" s="1">
        <v>2.86166E7</v>
      </c>
      <c r="I126" s="1">
        <f t="shared" si="1"/>
        <v>0.002427701929</v>
      </c>
      <c r="J126" s="1">
        <v>0.0</v>
      </c>
      <c r="K126" s="1">
        <f t="shared" si="2"/>
        <v>0.002427701929</v>
      </c>
      <c r="L126" s="1">
        <f t="shared" si="3"/>
        <v>0.2427701929</v>
      </c>
      <c r="M126" s="1">
        <v>1.0</v>
      </c>
    </row>
    <row r="127" ht="15.75" customHeight="1">
      <c r="A127" s="7">
        <v>44070.0</v>
      </c>
      <c r="B127" s="1">
        <v>49.790001</v>
      </c>
      <c r="C127" s="1">
        <v>49.93</v>
      </c>
      <c r="D127" s="1">
        <v>49.169998</v>
      </c>
      <c r="E127" s="1">
        <v>49.400002</v>
      </c>
      <c r="F127" s="1">
        <v>48.747391</v>
      </c>
      <c r="G127" s="1">
        <v>2.44206E7</v>
      </c>
      <c r="I127" s="1">
        <f t="shared" si="1"/>
        <v>-0.003027237179</v>
      </c>
      <c r="J127" s="1">
        <v>0.0</v>
      </c>
      <c r="K127" s="1">
        <f t="shared" si="2"/>
        <v>-0.003027237179</v>
      </c>
      <c r="L127" s="1">
        <f t="shared" si="3"/>
        <v>-0.3027237179</v>
      </c>
      <c r="M127" s="1">
        <v>0.18</v>
      </c>
    </row>
    <row r="128" ht="15.75" customHeight="1">
      <c r="A128" s="7">
        <v>44071.0</v>
      </c>
      <c r="B128" s="1">
        <v>49.57</v>
      </c>
      <c r="C128" s="1">
        <v>50.799999</v>
      </c>
      <c r="D128" s="1">
        <v>49.459999</v>
      </c>
      <c r="E128" s="1">
        <v>50.43</v>
      </c>
      <c r="F128" s="1">
        <v>49.763783</v>
      </c>
      <c r="G128" s="1">
        <v>3.53847E7</v>
      </c>
      <c r="I128" s="1">
        <f t="shared" si="1"/>
        <v>0.02085018253</v>
      </c>
      <c r="J128" s="1">
        <v>0.0</v>
      </c>
      <c r="K128" s="1">
        <f t="shared" si="2"/>
        <v>0.02085018253</v>
      </c>
      <c r="L128" s="1">
        <f t="shared" si="3"/>
        <v>2.085018253</v>
      </c>
      <c r="M128" s="1">
        <v>0.7</v>
      </c>
    </row>
    <row r="129" ht="15.75" customHeight="1">
      <c r="A129" s="7">
        <v>44074.0</v>
      </c>
      <c r="B129" s="1">
        <v>51.0</v>
      </c>
      <c r="C129" s="1">
        <v>51.5</v>
      </c>
      <c r="D129" s="1">
        <v>50.32</v>
      </c>
      <c r="E129" s="1">
        <v>50.950001</v>
      </c>
      <c r="F129" s="1">
        <v>50.276917</v>
      </c>
      <c r="G129" s="1">
        <v>4.61141E7</v>
      </c>
      <c r="I129" s="1">
        <f t="shared" si="1"/>
        <v>0.01031139453</v>
      </c>
      <c r="J129" s="1">
        <v>0.0</v>
      </c>
      <c r="K129" s="1">
        <f t="shared" si="2"/>
        <v>0.01031139453</v>
      </c>
      <c r="L129" s="1">
        <f t="shared" si="3"/>
        <v>1.031139453</v>
      </c>
      <c r="M129" s="1">
        <v>-0.04</v>
      </c>
    </row>
    <row r="130" ht="15.75" customHeight="1">
      <c r="A130" s="7">
        <v>44075.0</v>
      </c>
      <c r="B130" s="1">
        <v>50.91</v>
      </c>
      <c r="C130" s="1">
        <v>51.0</v>
      </c>
      <c r="D130" s="1">
        <v>50.220001</v>
      </c>
      <c r="E130" s="1">
        <v>50.790001</v>
      </c>
      <c r="F130" s="1">
        <v>50.11903</v>
      </c>
      <c r="G130" s="1">
        <v>3.05227E7</v>
      </c>
      <c r="I130" s="1">
        <f t="shared" si="1"/>
        <v>-0.003140347687</v>
      </c>
      <c r="J130" s="1">
        <v>0.0</v>
      </c>
      <c r="K130" s="1">
        <f t="shared" si="2"/>
        <v>-0.003140347687</v>
      </c>
      <c r="L130" s="1">
        <f t="shared" si="3"/>
        <v>-0.3140347687</v>
      </c>
      <c r="M130" s="1">
        <v>0.92</v>
      </c>
    </row>
    <row r="131" ht="15.75" customHeight="1">
      <c r="A131" s="7">
        <v>44076.0</v>
      </c>
      <c r="B131" s="1">
        <v>51.209999</v>
      </c>
      <c r="C131" s="1">
        <v>52.68</v>
      </c>
      <c r="D131" s="1">
        <v>51.09</v>
      </c>
      <c r="E131" s="1">
        <v>52.25</v>
      </c>
      <c r="F131" s="1">
        <v>51.559738</v>
      </c>
      <c r="G131" s="1">
        <v>5.30007E7</v>
      </c>
      <c r="I131" s="1">
        <f t="shared" si="1"/>
        <v>0.02874572792</v>
      </c>
      <c r="J131" s="1">
        <v>0.0</v>
      </c>
      <c r="K131" s="1">
        <f t="shared" si="2"/>
        <v>0.02874572792</v>
      </c>
      <c r="L131" s="1">
        <f t="shared" si="3"/>
        <v>2.874572792</v>
      </c>
      <c r="M131" s="1">
        <v>1.27</v>
      </c>
    </row>
    <row r="132" ht="15.75" customHeight="1">
      <c r="A132" s="7">
        <v>44077.0</v>
      </c>
      <c r="B132" s="1">
        <v>52.5</v>
      </c>
      <c r="C132" s="1">
        <v>52.619999</v>
      </c>
      <c r="D132" s="1">
        <v>50.139999</v>
      </c>
      <c r="E132" s="1">
        <v>50.389999</v>
      </c>
      <c r="F132" s="1">
        <v>49.724312</v>
      </c>
      <c r="G132" s="1">
        <v>4.73943E7</v>
      </c>
      <c r="I132" s="1">
        <f t="shared" si="1"/>
        <v>-0.03559804745</v>
      </c>
      <c r="J132" s="1">
        <v>0.0</v>
      </c>
      <c r="K132" s="1">
        <f t="shared" si="2"/>
        <v>-0.03559804745</v>
      </c>
      <c r="L132" s="1">
        <f t="shared" si="3"/>
        <v>-3.559804745</v>
      </c>
      <c r="M132" s="1">
        <v>-3.7</v>
      </c>
    </row>
    <row r="133" ht="15.75" customHeight="1">
      <c r="A133" s="7">
        <v>44078.0</v>
      </c>
      <c r="B133" s="1">
        <v>50.529999</v>
      </c>
      <c r="C133" s="1">
        <v>51.23</v>
      </c>
      <c r="D133" s="1">
        <v>49.490002</v>
      </c>
      <c r="E133" s="1">
        <v>50.080002</v>
      </c>
      <c r="F133" s="1">
        <v>49.418411</v>
      </c>
      <c r="G133" s="1">
        <v>4.33184E7</v>
      </c>
      <c r="I133" s="1">
        <f t="shared" si="1"/>
        <v>-0.006151940322</v>
      </c>
      <c r="J133" s="1">
        <v>0.0</v>
      </c>
      <c r="K133" s="1">
        <f t="shared" si="2"/>
        <v>-0.006151940322</v>
      </c>
      <c r="L133" s="1">
        <f t="shared" si="3"/>
        <v>-0.6151940322</v>
      </c>
      <c r="M133" s="1">
        <v>-0.87</v>
      </c>
    </row>
    <row r="134" ht="15.75" customHeight="1">
      <c r="A134" s="7">
        <v>44082.0</v>
      </c>
      <c r="B134" s="1">
        <v>49.259998</v>
      </c>
      <c r="C134" s="1">
        <v>49.900002</v>
      </c>
      <c r="D134" s="1">
        <v>48.849998</v>
      </c>
      <c r="E134" s="1">
        <v>48.91</v>
      </c>
      <c r="F134" s="1">
        <v>48.263863</v>
      </c>
      <c r="G134" s="1">
        <v>3.97527E7</v>
      </c>
      <c r="I134" s="1">
        <f t="shared" si="1"/>
        <v>-0.0233627099</v>
      </c>
      <c r="J134" s="1">
        <v>0.0</v>
      </c>
      <c r="K134" s="1">
        <f t="shared" si="2"/>
        <v>-0.0233627099</v>
      </c>
      <c r="L134" s="1">
        <f t="shared" si="3"/>
        <v>-2.33627099</v>
      </c>
      <c r="M134" s="1">
        <v>-2.91</v>
      </c>
    </row>
    <row r="135" ht="15.75" customHeight="1">
      <c r="A135" s="7">
        <v>44083.0</v>
      </c>
      <c r="B135" s="1">
        <v>49.529999</v>
      </c>
      <c r="C135" s="1">
        <v>49.970001</v>
      </c>
      <c r="D135" s="1">
        <v>49.040001</v>
      </c>
      <c r="E135" s="1">
        <v>49.619999</v>
      </c>
      <c r="F135" s="1">
        <v>48.964481</v>
      </c>
      <c r="G135" s="1">
        <v>3.34373E7</v>
      </c>
      <c r="I135" s="1">
        <f t="shared" si="1"/>
        <v>0.01451640951</v>
      </c>
      <c r="J135" s="1">
        <v>0.0</v>
      </c>
      <c r="K135" s="1">
        <f t="shared" si="2"/>
        <v>0.01451640951</v>
      </c>
      <c r="L135" s="1">
        <f t="shared" si="3"/>
        <v>1.451640951</v>
      </c>
      <c r="M135" s="1">
        <v>2.07</v>
      </c>
    </row>
    <row r="136" ht="15.75" customHeight="1">
      <c r="A136" s="7">
        <v>44084.0</v>
      </c>
      <c r="B136" s="1">
        <v>50.0</v>
      </c>
      <c r="C136" s="1">
        <v>50.09</v>
      </c>
      <c r="D136" s="1">
        <v>48.709999</v>
      </c>
      <c r="E136" s="1">
        <v>48.959999</v>
      </c>
      <c r="F136" s="1">
        <v>48.313202</v>
      </c>
      <c r="G136" s="1">
        <v>3.26491E7</v>
      </c>
      <c r="I136" s="1">
        <f t="shared" si="1"/>
        <v>-0.0133010498</v>
      </c>
      <c r="J136" s="1">
        <v>0.0</v>
      </c>
      <c r="K136" s="1">
        <f t="shared" si="2"/>
        <v>-0.0133010498</v>
      </c>
      <c r="L136" s="1">
        <f t="shared" si="3"/>
        <v>-1.33010498</v>
      </c>
      <c r="M136" s="1">
        <v>-1.64</v>
      </c>
    </row>
    <row r="137" ht="15.75" customHeight="1">
      <c r="A137" s="7">
        <v>44085.0</v>
      </c>
      <c r="B137" s="1">
        <v>49.259998</v>
      </c>
      <c r="C137" s="1">
        <v>50.049999</v>
      </c>
      <c r="D137" s="1">
        <v>48.950001</v>
      </c>
      <c r="E137" s="1">
        <v>49.279999</v>
      </c>
      <c r="F137" s="1">
        <v>48.628975</v>
      </c>
      <c r="G137" s="1">
        <v>2.93336E7</v>
      </c>
      <c r="I137" s="1">
        <f t="shared" si="1"/>
        <v>0.006535956776</v>
      </c>
      <c r="J137" s="1">
        <v>0.0</v>
      </c>
      <c r="K137" s="1">
        <f t="shared" si="2"/>
        <v>0.006535956776</v>
      </c>
      <c r="L137" s="1">
        <f t="shared" si="3"/>
        <v>0.6535956776</v>
      </c>
      <c r="M137" s="1">
        <v>-0.06</v>
      </c>
    </row>
    <row r="138" ht="15.75" customHeight="1">
      <c r="A138" s="7">
        <v>44088.0</v>
      </c>
      <c r="B138" s="1">
        <v>48.849998</v>
      </c>
      <c r="C138" s="1">
        <v>49.720001</v>
      </c>
      <c r="D138" s="1">
        <v>48.849998</v>
      </c>
      <c r="E138" s="1">
        <v>49.41</v>
      </c>
      <c r="F138" s="1">
        <v>48.757259</v>
      </c>
      <c r="G138" s="1">
        <v>2.72125E7</v>
      </c>
      <c r="I138" s="1">
        <f t="shared" si="1"/>
        <v>0.00263801571</v>
      </c>
      <c r="J138" s="1">
        <v>0.0</v>
      </c>
      <c r="K138" s="1">
        <f t="shared" si="2"/>
        <v>0.00263801571</v>
      </c>
      <c r="L138" s="1">
        <f t="shared" si="3"/>
        <v>0.263801571</v>
      </c>
      <c r="M138" s="1">
        <v>1.59</v>
      </c>
    </row>
    <row r="139" ht="15.75" customHeight="1">
      <c r="A139" s="7">
        <v>44089.0</v>
      </c>
      <c r="B139" s="1">
        <v>49.790001</v>
      </c>
      <c r="C139" s="1">
        <v>50.599998</v>
      </c>
      <c r="D139" s="1">
        <v>49.73</v>
      </c>
      <c r="E139" s="1">
        <v>50.0</v>
      </c>
      <c r="F139" s="1">
        <v>49.339462</v>
      </c>
      <c r="G139" s="1">
        <v>2.75983E7</v>
      </c>
      <c r="I139" s="1">
        <f t="shared" si="1"/>
        <v>0.01194084762</v>
      </c>
      <c r="J139" s="1">
        <v>0.0</v>
      </c>
      <c r="K139" s="1">
        <f t="shared" si="2"/>
        <v>0.01194084762</v>
      </c>
      <c r="L139" s="1">
        <f t="shared" si="3"/>
        <v>1.194084762</v>
      </c>
      <c r="M139" s="1">
        <v>0.57</v>
      </c>
    </row>
    <row r="140" ht="15.75" customHeight="1">
      <c r="A140" s="7">
        <v>44090.0</v>
      </c>
      <c r="B140" s="1">
        <v>50.509998</v>
      </c>
      <c r="C140" s="1">
        <v>51.029999</v>
      </c>
      <c r="D140" s="1">
        <v>50.169998</v>
      </c>
      <c r="E140" s="1">
        <v>50.369999</v>
      </c>
      <c r="F140" s="1">
        <v>49.704575</v>
      </c>
      <c r="G140" s="1">
        <v>2.65314E7</v>
      </c>
      <c r="I140" s="1">
        <f t="shared" si="1"/>
        <v>0.007400019887</v>
      </c>
      <c r="J140" s="1">
        <v>0.0</v>
      </c>
      <c r="K140" s="1">
        <f t="shared" si="2"/>
        <v>0.007400019887</v>
      </c>
      <c r="L140" s="1">
        <f t="shared" si="3"/>
        <v>0.7400019887</v>
      </c>
      <c r="M140" s="1">
        <v>-0.39</v>
      </c>
    </row>
    <row r="141" ht="15.75" customHeight="1">
      <c r="A141" s="7">
        <v>44091.0</v>
      </c>
      <c r="B141" s="1">
        <v>49.369999</v>
      </c>
      <c r="C141" s="1">
        <v>50.490002</v>
      </c>
      <c r="D141" s="1">
        <v>49.299999</v>
      </c>
      <c r="E141" s="1">
        <v>50.32</v>
      </c>
      <c r="F141" s="1">
        <v>49.655235</v>
      </c>
      <c r="G141" s="1">
        <v>2.69599E7</v>
      </c>
      <c r="I141" s="1">
        <f t="shared" si="1"/>
        <v>-0.0009926651621</v>
      </c>
      <c r="J141" s="1">
        <v>0.0</v>
      </c>
      <c r="K141" s="1">
        <f t="shared" si="2"/>
        <v>-0.0009926651621</v>
      </c>
      <c r="L141" s="1">
        <f t="shared" si="3"/>
        <v>-0.09926651621</v>
      </c>
      <c r="M141" s="1">
        <v>-0.85</v>
      </c>
    </row>
    <row r="142" ht="15.75" customHeight="1">
      <c r="A142" s="7">
        <v>44092.0</v>
      </c>
      <c r="B142" s="1">
        <v>50.330002</v>
      </c>
      <c r="C142" s="1">
        <v>50.5</v>
      </c>
      <c r="D142" s="1">
        <v>49.040001</v>
      </c>
      <c r="E142" s="1">
        <v>49.889999</v>
      </c>
      <c r="F142" s="1">
        <v>49.230915</v>
      </c>
      <c r="G142" s="1">
        <v>5.01235E7</v>
      </c>
      <c r="I142" s="1">
        <f t="shared" si="1"/>
        <v>-0.008545322563</v>
      </c>
      <c r="J142" s="1">
        <v>0.0</v>
      </c>
      <c r="K142" s="1">
        <f t="shared" si="2"/>
        <v>-0.008545322563</v>
      </c>
      <c r="L142" s="1">
        <f t="shared" si="3"/>
        <v>-0.8545322563</v>
      </c>
      <c r="M142" s="1">
        <v>-0.88</v>
      </c>
    </row>
    <row r="143" ht="15.75" customHeight="1">
      <c r="A143" s="7">
        <v>44095.0</v>
      </c>
      <c r="B143" s="1">
        <v>49.389999</v>
      </c>
      <c r="C143" s="1">
        <v>49.75</v>
      </c>
      <c r="D143" s="1">
        <v>48.830002</v>
      </c>
      <c r="E143" s="1">
        <v>49.720001</v>
      </c>
      <c r="F143" s="1">
        <v>49.063164</v>
      </c>
      <c r="G143" s="1">
        <v>2.73771E7</v>
      </c>
      <c r="I143" s="1">
        <f t="shared" si="1"/>
        <v>-0.003407432098</v>
      </c>
      <c r="J143" s="1">
        <v>0.0</v>
      </c>
      <c r="K143" s="1">
        <f t="shared" si="2"/>
        <v>-0.003407432098</v>
      </c>
      <c r="L143" s="1">
        <f t="shared" si="3"/>
        <v>-0.3407432098</v>
      </c>
      <c r="M143" s="1">
        <v>-1.08</v>
      </c>
    </row>
    <row r="144" ht="15.75" customHeight="1">
      <c r="A144" s="7">
        <v>44096.0</v>
      </c>
      <c r="B144" s="1">
        <v>49.889999</v>
      </c>
      <c r="C144" s="1">
        <v>50.209999</v>
      </c>
      <c r="D144" s="1">
        <v>49.470001</v>
      </c>
      <c r="E144" s="1">
        <v>49.950001</v>
      </c>
      <c r="F144" s="1">
        <v>49.290127</v>
      </c>
      <c r="G144" s="1">
        <v>2.22909E7</v>
      </c>
      <c r="I144" s="1">
        <f t="shared" si="1"/>
        <v>0.004625934846</v>
      </c>
      <c r="J144" s="1">
        <v>0.0</v>
      </c>
      <c r="K144" s="1">
        <f t="shared" si="2"/>
        <v>0.004625934846</v>
      </c>
      <c r="L144" s="1">
        <f t="shared" si="3"/>
        <v>0.4625934846</v>
      </c>
      <c r="M144" s="1">
        <v>1.02</v>
      </c>
    </row>
    <row r="145" ht="15.75" customHeight="1">
      <c r="A145" s="7">
        <v>44097.0</v>
      </c>
      <c r="B145" s="1">
        <v>49.830002</v>
      </c>
      <c r="C145" s="1">
        <v>50.150002</v>
      </c>
      <c r="D145" s="1">
        <v>48.66</v>
      </c>
      <c r="E145" s="1">
        <v>48.82</v>
      </c>
      <c r="F145" s="1">
        <v>48.175053</v>
      </c>
      <c r="G145" s="1">
        <v>3.00788E7</v>
      </c>
      <c r="I145" s="1">
        <f t="shared" si="1"/>
        <v>-0.02262266437</v>
      </c>
      <c r="J145" s="1">
        <v>0.0</v>
      </c>
      <c r="K145" s="1">
        <f t="shared" si="2"/>
        <v>-0.02262266437</v>
      </c>
      <c r="L145" s="1">
        <f t="shared" si="3"/>
        <v>-2.262266437</v>
      </c>
      <c r="M145" s="1">
        <v>-2.48</v>
      </c>
    </row>
    <row r="146" ht="15.75" customHeight="1">
      <c r="A146" s="7">
        <v>44098.0</v>
      </c>
      <c r="B146" s="1">
        <v>48.529999</v>
      </c>
      <c r="C146" s="1">
        <v>49.639999</v>
      </c>
      <c r="D146" s="1">
        <v>48.419998</v>
      </c>
      <c r="E146" s="1">
        <v>49.16</v>
      </c>
      <c r="F146" s="1">
        <v>48.510559</v>
      </c>
      <c r="G146" s="1">
        <v>2.93434E7</v>
      </c>
      <c r="I146" s="1">
        <f t="shared" si="1"/>
        <v>0.00696430993</v>
      </c>
      <c r="J146" s="1">
        <v>0.0</v>
      </c>
      <c r="K146" s="1">
        <f t="shared" si="2"/>
        <v>0.00696430993</v>
      </c>
      <c r="L146" s="1">
        <f t="shared" si="3"/>
        <v>0.696430993</v>
      </c>
      <c r="M146" s="1">
        <v>0.25</v>
      </c>
    </row>
    <row r="147" ht="15.75" customHeight="1">
      <c r="A147" s="7">
        <v>44099.0</v>
      </c>
      <c r="B147" s="1">
        <v>48.959999</v>
      </c>
      <c r="C147" s="1">
        <v>50.279999</v>
      </c>
      <c r="D147" s="1">
        <v>48.75</v>
      </c>
      <c r="E147" s="1">
        <v>49.939999</v>
      </c>
      <c r="F147" s="1">
        <v>49.280258</v>
      </c>
      <c r="G147" s="1">
        <v>2.66334E7</v>
      </c>
      <c r="I147" s="1">
        <f t="shared" si="1"/>
        <v>0.01586662813</v>
      </c>
      <c r="J147" s="1">
        <v>0.0</v>
      </c>
      <c r="K147" s="1">
        <f t="shared" si="2"/>
        <v>0.01586662813</v>
      </c>
      <c r="L147" s="1">
        <f t="shared" si="3"/>
        <v>1.586662813</v>
      </c>
      <c r="M147" s="1">
        <v>1.72</v>
      </c>
    </row>
    <row r="148" ht="15.75" customHeight="1">
      <c r="A148" s="7">
        <v>44102.0</v>
      </c>
      <c r="B148" s="1">
        <v>50.509998</v>
      </c>
      <c r="C148" s="1">
        <v>51.459999</v>
      </c>
      <c r="D148" s="1">
        <v>50.16</v>
      </c>
      <c r="E148" s="1">
        <v>51.43</v>
      </c>
      <c r="F148" s="1">
        <v>50.750572</v>
      </c>
      <c r="G148" s="1">
        <v>2.96522E7</v>
      </c>
      <c r="I148" s="1">
        <f t="shared" si="1"/>
        <v>0.02983576101</v>
      </c>
      <c r="J148" s="1">
        <v>0.0</v>
      </c>
      <c r="K148" s="1">
        <f t="shared" si="2"/>
        <v>0.02983576101</v>
      </c>
      <c r="L148" s="1">
        <f t="shared" si="3"/>
        <v>2.983576101</v>
      </c>
      <c r="M148" s="1">
        <v>1.66</v>
      </c>
    </row>
    <row r="149" ht="15.75" customHeight="1">
      <c r="A149" s="7">
        <v>44103.0</v>
      </c>
      <c r="B149" s="1">
        <v>51.310001</v>
      </c>
      <c r="C149" s="1">
        <v>51.740002</v>
      </c>
      <c r="D149" s="1">
        <v>50.950001</v>
      </c>
      <c r="E149" s="1">
        <v>51.189999</v>
      </c>
      <c r="F149" s="1">
        <v>50.513744</v>
      </c>
      <c r="G149" s="1">
        <v>1.95582E7</v>
      </c>
      <c r="I149" s="1">
        <f t="shared" si="1"/>
        <v>-0.00466650898</v>
      </c>
      <c r="J149" s="1">
        <v>0.0</v>
      </c>
      <c r="K149" s="1">
        <f t="shared" si="2"/>
        <v>-0.00466650898</v>
      </c>
      <c r="L149" s="1">
        <f t="shared" si="3"/>
        <v>-0.466650898</v>
      </c>
      <c r="M149" s="1">
        <v>-0.42</v>
      </c>
    </row>
    <row r="150" ht="15.75" customHeight="1">
      <c r="A150" s="7">
        <v>44104.0</v>
      </c>
      <c r="B150" s="1">
        <v>51.240002</v>
      </c>
      <c r="C150" s="1">
        <v>52.380001</v>
      </c>
      <c r="D150" s="1">
        <v>51.150002</v>
      </c>
      <c r="E150" s="1">
        <v>51.779999</v>
      </c>
      <c r="F150" s="1">
        <v>51.095947</v>
      </c>
      <c r="G150" s="1">
        <v>2.77113E7</v>
      </c>
      <c r="I150" s="1">
        <f t="shared" si="1"/>
        <v>0.01152563548</v>
      </c>
      <c r="J150" s="1">
        <v>0.0</v>
      </c>
      <c r="K150" s="1">
        <f t="shared" si="2"/>
        <v>0.01152563548</v>
      </c>
      <c r="L150" s="1">
        <f t="shared" si="3"/>
        <v>1.152563548</v>
      </c>
      <c r="M150" s="1">
        <v>0.79</v>
      </c>
    </row>
    <row r="151" ht="15.75" customHeight="1">
      <c r="A151" s="7">
        <v>44105.0</v>
      </c>
      <c r="B151" s="1">
        <v>52.400002</v>
      </c>
      <c r="C151" s="1">
        <v>52.720001</v>
      </c>
      <c r="D151" s="1">
        <v>51.990002</v>
      </c>
      <c r="E151" s="1">
        <v>52.240002</v>
      </c>
      <c r="F151" s="1">
        <v>51.549873</v>
      </c>
      <c r="G151" s="1">
        <v>2.21276E7</v>
      </c>
      <c r="I151" s="1">
        <f t="shared" si="1"/>
        <v>0.008883796595</v>
      </c>
      <c r="J151" s="1">
        <v>0.0</v>
      </c>
      <c r="K151" s="1">
        <f t="shared" si="2"/>
        <v>0.008883796595</v>
      </c>
      <c r="L151" s="1">
        <f t="shared" si="3"/>
        <v>0.8883796595</v>
      </c>
      <c r="M151" s="1">
        <v>0.79</v>
      </c>
    </row>
    <row r="152" ht="15.75" customHeight="1">
      <c r="A152" s="7">
        <v>44106.0</v>
      </c>
      <c r="B152" s="1">
        <v>51.5</v>
      </c>
      <c r="C152" s="1">
        <v>51.98</v>
      </c>
      <c r="D152" s="1">
        <v>50.990002</v>
      </c>
      <c r="E152" s="1">
        <v>51.009998</v>
      </c>
      <c r="F152" s="1">
        <v>50.336117</v>
      </c>
      <c r="G152" s="1">
        <v>2.58118E7</v>
      </c>
      <c r="I152" s="1">
        <f t="shared" si="1"/>
        <v>-0.02354527624</v>
      </c>
      <c r="J152" s="1">
        <v>0.0</v>
      </c>
      <c r="K152" s="1">
        <f t="shared" si="2"/>
        <v>-0.02354527624</v>
      </c>
      <c r="L152" s="1">
        <f t="shared" si="3"/>
        <v>-2.354527624</v>
      </c>
      <c r="M152" s="1">
        <v>-0.96</v>
      </c>
    </row>
    <row r="153" ht="15.75" customHeight="1">
      <c r="A153" s="7">
        <v>44109.0</v>
      </c>
      <c r="B153" s="1">
        <v>51.299999</v>
      </c>
      <c r="C153" s="1">
        <v>51.810001</v>
      </c>
      <c r="D153" s="1">
        <v>51.27</v>
      </c>
      <c r="E153" s="1">
        <v>51.689999</v>
      </c>
      <c r="F153" s="1">
        <v>51.007137</v>
      </c>
      <c r="G153" s="1">
        <v>2.08832E7</v>
      </c>
      <c r="I153" s="1">
        <f t="shared" si="1"/>
        <v>0.01333078592</v>
      </c>
      <c r="J153" s="1">
        <v>0.0</v>
      </c>
      <c r="K153" s="1">
        <f t="shared" si="2"/>
        <v>0.01333078592</v>
      </c>
      <c r="L153" s="1">
        <f t="shared" si="3"/>
        <v>1.333078592</v>
      </c>
      <c r="M153" s="1">
        <v>1.93</v>
      </c>
    </row>
    <row r="154" ht="15.75" customHeight="1">
      <c r="A154" s="7">
        <v>44110.0</v>
      </c>
      <c r="B154" s="1">
        <v>51.709999</v>
      </c>
      <c r="C154" s="1">
        <v>52.700001</v>
      </c>
      <c r="D154" s="1">
        <v>51.23</v>
      </c>
      <c r="E154" s="1">
        <v>51.369999</v>
      </c>
      <c r="F154" s="1">
        <v>50.691364</v>
      </c>
      <c r="G154" s="1">
        <v>2.56428E7</v>
      </c>
      <c r="I154" s="1">
        <f t="shared" si="1"/>
        <v>-0.006190761109</v>
      </c>
      <c r="J154" s="1">
        <v>0.0</v>
      </c>
      <c r="K154" s="1">
        <f t="shared" si="2"/>
        <v>-0.006190761109</v>
      </c>
      <c r="L154" s="1">
        <f t="shared" si="3"/>
        <v>-0.6190761109</v>
      </c>
      <c r="M154" s="1">
        <v>-1.28</v>
      </c>
    </row>
    <row r="155" ht="15.75" customHeight="1">
      <c r="A155" s="7">
        <v>44111.0</v>
      </c>
      <c r="B155" s="1">
        <v>51.849998</v>
      </c>
      <c r="C155" s="1">
        <v>52.900002</v>
      </c>
      <c r="D155" s="1">
        <v>51.790001</v>
      </c>
      <c r="E155" s="1">
        <v>52.669998</v>
      </c>
      <c r="F155" s="1">
        <v>51.97419</v>
      </c>
      <c r="G155" s="1">
        <v>2.19787E7</v>
      </c>
      <c r="I155" s="1">
        <f t="shared" si="1"/>
        <v>0.02530659858</v>
      </c>
      <c r="J155" s="1">
        <v>0.0</v>
      </c>
      <c r="K155" s="1">
        <f t="shared" si="2"/>
        <v>0.02530659858</v>
      </c>
      <c r="L155" s="1">
        <f t="shared" si="3"/>
        <v>2.530659858</v>
      </c>
      <c r="M155" s="1">
        <v>1.84</v>
      </c>
    </row>
    <row r="156" ht="15.75" customHeight="1">
      <c r="A156" s="7">
        <v>44112.0</v>
      </c>
      <c r="B156" s="1">
        <v>52.91</v>
      </c>
      <c r="C156" s="1">
        <v>53.580002</v>
      </c>
      <c r="D156" s="1">
        <v>52.669998</v>
      </c>
      <c r="E156" s="1">
        <v>53.369999</v>
      </c>
      <c r="F156" s="1">
        <v>52.664944</v>
      </c>
      <c r="G156" s="1">
        <v>2.23695E7</v>
      </c>
      <c r="I156" s="1">
        <f t="shared" si="1"/>
        <v>0.01329032737</v>
      </c>
      <c r="J156" s="1">
        <v>0.0</v>
      </c>
      <c r="K156" s="1">
        <f t="shared" si="2"/>
        <v>0.01329032737</v>
      </c>
      <c r="L156" s="1">
        <f t="shared" si="3"/>
        <v>1.329032737</v>
      </c>
      <c r="M156" s="1">
        <v>0.8</v>
      </c>
    </row>
    <row r="157" ht="15.75" customHeight="1">
      <c r="A157" s="7">
        <v>44113.0</v>
      </c>
      <c r="B157" s="1">
        <v>53.549999</v>
      </c>
      <c r="C157" s="1">
        <v>53.849998</v>
      </c>
      <c r="D157" s="1">
        <v>52.669998</v>
      </c>
      <c r="E157" s="1">
        <v>52.82</v>
      </c>
      <c r="F157" s="1">
        <v>52.122208</v>
      </c>
      <c r="G157" s="1">
        <v>2.43439E7</v>
      </c>
      <c r="I157" s="1">
        <f t="shared" si="1"/>
        <v>-0.010305451</v>
      </c>
      <c r="J157" s="1">
        <v>0.0</v>
      </c>
      <c r="K157" s="1">
        <f t="shared" si="2"/>
        <v>-0.010305451</v>
      </c>
      <c r="L157" s="1">
        <f t="shared" si="3"/>
        <v>-1.0305451</v>
      </c>
      <c r="M157" s="1">
        <v>0.93</v>
      </c>
    </row>
    <row r="158" ht="15.75" customHeight="1">
      <c r="A158" s="7">
        <v>44116.0</v>
      </c>
      <c r="B158" s="1">
        <v>53.549999</v>
      </c>
      <c r="C158" s="1">
        <v>54.200001</v>
      </c>
      <c r="D158" s="1">
        <v>53.209999</v>
      </c>
      <c r="E158" s="1">
        <v>53.880001</v>
      </c>
      <c r="F158" s="1">
        <v>53.168209</v>
      </c>
      <c r="G158" s="1">
        <v>2.73035E7</v>
      </c>
      <c r="I158" s="1">
        <f t="shared" si="1"/>
        <v>0.02006824039</v>
      </c>
      <c r="J158" s="1">
        <v>0.0</v>
      </c>
      <c r="K158" s="1">
        <f t="shared" si="2"/>
        <v>0.02006824039</v>
      </c>
      <c r="L158" s="1">
        <f t="shared" si="3"/>
        <v>2.006824039</v>
      </c>
      <c r="M158" s="1">
        <v>1.53</v>
      </c>
    </row>
    <row r="159" ht="15.75" customHeight="1">
      <c r="A159" s="7">
        <v>44117.0</v>
      </c>
      <c r="B159" s="1">
        <v>54.27</v>
      </c>
      <c r="C159" s="1">
        <v>54.290001</v>
      </c>
      <c r="D159" s="1">
        <v>53.619999</v>
      </c>
      <c r="E159" s="1">
        <v>53.830002</v>
      </c>
      <c r="F159" s="1">
        <v>53.11887</v>
      </c>
      <c r="G159" s="1">
        <v>2.00058E7</v>
      </c>
      <c r="I159" s="1">
        <f t="shared" si="1"/>
        <v>-0.0009279793495</v>
      </c>
      <c r="J159" s="1">
        <v>0.0</v>
      </c>
      <c r="K159" s="1">
        <f t="shared" si="2"/>
        <v>-0.0009279793495</v>
      </c>
      <c r="L159" s="1">
        <f t="shared" si="3"/>
        <v>-0.09279793495</v>
      </c>
      <c r="M159" s="1">
        <v>-0.41</v>
      </c>
    </row>
    <row r="160" ht="15.75" customHeight="1">
      <c r="A160" s="7">
        <v>44118.0</v>
      </c>
      <c r="B160" s="1">
        <v>54.009998</v>
      </c>
      <c r="C160" s="1">
        <v>54.400002</v>
      </c>
      <c r="D160" s="1">
        <v>53.509998</v>
      </c>
      <c r="E160" s="1">
        <v>53.549999</v>
      </c>
      <c r="F160" s="1">
        <v>52.842564</v>
      </c>
      <c r="G160" s="1">
        <v>2.18851E7</v>
      </c>
      <c r="I160" s="1">
        <f t="shared" si="1"/>
        <v>-0.005201654327</v>
      </c>
      <c r="J160" s="1">
        <v>0.0</v>
      </c>
      <c r="K160" s="1">
        <f t="shared" si="2"/>
        <v>-0.005201654327</v>
      </c>
      <c r="L160" s="1">
        <f t="shared" si="3"/>
        <v>-0.5201654327</v>
      </c>
      <c r="M160" s="1">
        <v>-0.65</v>
      </c>
    </row>
    <row r="161" ht="15.75" customHeight="1">
      <c r="A161" s="7">
        <v>44119.0</v>
      </c>
      <c r="B161" s="1">
        <v>52.75</v>
      </c>
      <c r="C161" s="1">
        <v>53.98</v>
      </c>
      <c r="D161" s="1">
        <v>52.619999</v>
      </c>
      <c r="E161" s="1">
        <v>53.849998</v>
      </c>
      <c r="F161" s="1">
        <v>53.138599</v>
      </c>
      <c r="G161" s="1">
        <v>1.82729E7</v>
      </c>
      <c r="I161" s="1">
        <f t="shared" si="1"/>
        <v>0.005602207342</v>
      </c>
      <c r="J161" s="1">
        <v>0.0</v>
      </c>
      <c r="K161" s="1">
        <f t="shared" si="2"/>
        <v>0.005602207342</v>
      </c>
      <c r="L161" s="1">
        <f t="shared" si="3"/>
        <v>0.5602207342</v>
      </c>
      <c r="M161" s="1">
        <v>-0.08</v>
      </c>
    </row>
    <row r="162" ht="15.75" customHeight="1">
      <c r="A162" s="7">
        <v>44120.0</v>
      </c>
      <c r="B162" s="1">
        <v>53.900002</v>
      </c>
      <c r="C162" s="1">
        <v>54.700001</v>
      </c>
      <c r="D162" s="1">
        <v>53.900002</v>
      </c>
      <c r="E162" s="1">
        <v>54.16</v>
      </c>
      <c r="F162" s="1">
        <v>53.444508</v>
      </c>
      <c r="G162" s="1">
        <v>2.34144E7</v>
      </c>
      <c r="I162" s="1">
        <f t="shared" si="1"/>
        <v>0.005756813423</v>
      </c>
      <c r="J162" s="1">
        <v>0.0</v>
      </c>
      <c r="K162" s="1">
        <f t="shared" si="2"/>
        <v>0.005756813423</v>
      </c>
      <c r="L162" s="1">
        <f t="shared" si="3"/>
        <v>0.5756813423</v>
      </c>
      <c r="M162" s="1">
        <v>-0.06</v>
      </c>
    </row>
    <row r="163" ht="15.75" customHeight="1">
      <c r="A163" s="7">
        <v>44123.0</v>
      </c>
      <c r="B163" s="1">
        <v>54.470001</v>
      </c>
      <c r="C163" s="1">
        <v>56.23</v>
      </c>
      <c r="D163" s="1">
        <v>53.84</v>
      </c>
      <c r="E163" s="1">
        <v>54.580002</v>
      </c>
      <c r="F163" s="1">
        <v>53.858959</v>
      </c>
      <c r="G163" s="1">
        <v>4.35372E7</v>
      </c>
      <c r="I163" s="1">
        <f t="shared" si="1"/>
        <v>0.007754791194</v>
      </c>
      <c r="J163" s="1">
        <v>0.0</v>
      </c>
      <c r="K163" s="1">
        <f t="shared" si="2"/>
        <v>0.007754791194</v>
      </c>
      <c r="L163" s="1">
        <f t="shared" si="3"/>
        <v>0.7754791194</v>
      </c>
      <c r="M163" s="1">
        <v>-1.53</v>
      </c>
    </row>
    <row r="164" ht="15.75" customHeight="1">
      <c r="A164" s="7">
        <v>44124.0</v>
      </c>
      <c r="B164" s="1">
        <v>54.599998</v>
      </c>
      <c r="C164" s="1">
        <v>54.700001</v>
      </c>
      <c r="D164" s="1">
        <v>53.27</v>
      </c>
      <c r="E164" s="1">
        <v>53.43</v>
      </c>
      <c r="F164" s="1">
        <v>52.724152</v>
      </c>
      <c r="G164" s="1">
        <v>2.72249E7</v>
      </c>
      <c r="I164" s="1">
        <f t="shared" si="1"/>
        <v>-0.02106997649</v>
      </c>
      <c r="J164" s="1">
        <v>0.0</v>
      </c>
      <c r="K164" s="1">
        <f t="shared" si="2"/>
        <v>-0.02106997649</v>
      </c>
      <c r="L164" s="1">
        <f t="shared" si="3"/>
        <v>-2.106997649</v>
      </c>
      <c r="M164" s="1">
        <v>0.34</v>
      </c>
    </row>
    <row r="165" ht="15.75" customHeight="1">
      <c r="A165" s="7">
        <v>44125.0</v>
      </c>
      <c r="B165" s="1">
        <v>53.139999</v>
      </c>
      <c r="C165" s="1">
        <v>54.07</v>
      </c>
      <c r="D165" s="1">
        <v>52.82</v>
      </c>
      <c r="E165" s="1">
        <v>53.5</v>
      </c>
      <c r="F165" s="1">
        <v>52.793228</v>
      </c>
      <c r="G165" s="1">
        <v>2.1866E7</v>
      </c>
      <c r="I165" s="1">
        <f t="shared" si="1"/>
        <v>0.001310139611</v>
      </c>
      <c r="J165" s="1">
        <v>0.0</v>
      </c>
      <c r="K165" s="1">
        <f t="shared" si="2"/>
        <v>0.001310139611</v>
      </c>
      <c r="L165" s="1">
        <f t="shared" si="3"/>
        <v>0.1310139611</v>
      </c>
      <c r="M165" s="1">
        <v>-0.36</v>
      </c>
    </row>
    <row r="166" ht="15.75" customHeight="1">
      <c r="A166" s="7">
        <v>44126.0</v>
      </c>
      <c r="B166" s="1">
        <v>53.119999</v>
      </c>
      <c r="C166" s="1">
        <v>54.220001</v>
      </c>
      <c r="D166" s="1">
        <v>53.07</v>
      </c>
      <c r="E166" s="1">
        <v>53.900002</v>
      </c>
      <c r="F166" s="1">
        <v>53.187946</v>
      </c>
      <c r="G166" s="1">
        <v>4.15227E7</v>
      </c>
      <c r="I166" s="1">
        <f t="shared" si="1"/>
        <v>0.007476678638</v>
      </c>
      <c r="J166" s="1">
        <v>0.0</v>
      </c>
      <c r="K166" s="1">
        <f t="shared" si="2"/>
        <v>0.007476678638</v>
      </c>
      <c r="L166" s="1">
        <f t="shared" si="3"/>
        <v>0.7476678638</v>
      </c>
      <c r="M166" s="1">
        <v>0.67</v>
      </c>
    </row>
    <row r="167" ht="15.75" customHeight="1">
      <c r="A167" s="7">
        <v>44127.0</v>
      </c>
      <c r="B167" s="1">
        <v>48.349998</v>
      </c>
      <c r="C167" s="1">
        <v>48.669998</v>
      </c>
      <c r="D167" s="1">
        <v>47.66</v>
      </c>
      <c r="E167" s="1">
        <v>48.200001</v>
      </c>
      <c r="F167" s="1">
        <v>47.563244</v>
      </c>
      <c r="G167" s="1">
        <v>9.73225E7</v>
      </c>
      <c r="I167" s="1">
        <f t="shared" si="1"/>
        <v>-0.1057514423</v>
      </c>
      <c r="J167" s="1">
        <v>0.0</v>
      </c>
      <c r="K167" s="1">
        <f t="shared" si="2"/>
        <v>-0.1057514423</v>
      </c>
      <c r="L167" s="1">
        <f t="shared" si="3"/>
        <v>-10.57514423</v>
      </c>
      <c r="M167" s="1">
        <v>0.38</v>
      </c>
    </row>
    <row r="168" ht="15.75" customHeight="1">
      <c r="A168" s="7">
        <v>44130.0</v>
      </c>
      <c r="B168" s="1">
        <v>47.849998</v>
      </c>
      <c r="C168" s="1">
        <v>47.860001</v>
      </c>
      <c r="D168" s="1">
        <v>46.25</v>
      </c>
      <c r="E168" s="1">
        <v>46.720001</v>
      </c>
      <c r="F168" s="1">
        <v>46.102798</v>
      </c>
      <c r="G168" s="1">
        <v>5.41613E7</v>
      </c>
      <c r="I168" s="1">
        <f t="shared" si="1"/>
        <v>-0.03070534886</v>
      </c>
      <c r="J168" s="1">
        <v>0.0</v>
      </c>
      <c r="K168" s="1">
        <f t="shared" si="2"/>
        <v>-0.03070534886</v>
      </c>
      <c r="L168" s="1">
        <f t="shared" si="3"/>
        <v>-3.070534886</v>
      </c>
      <c r="M168" s="1">
        <v>-1.85</v>
      </c>
    </row>
    <row r="169" ht="15.75" customHeight="1">
      <c r="A169" s="7">
        <v>44131.0</v>
      </c>
      <c r="B169" s="1">
        <v>45.98</v>
      </c>
      <c r="C169" s="1">
        <v>46.41</v>
      </c>
      <c r="D169" s="1">
        <v>45.360001</v>
      </c>
      <c r="E169" s="1">
        <v>45.639999</v>
      </c>
      <c r="F169" s="1">
        <v>45.03706</v>
      </c>
      <c r="G169" s="1">
        <v>5.01305E7</v>
      </c>
      <c r="I169" s="1">
        <f t="shared" si="1"/>
        <v>-0.02311655791</v>
      </c>
      <c r="J169" s="1">
        <v>0.0</v>
      </c>
      <c r="K169" s="1">
        <f t="shared" si="2"/>
        <v>-0.02311655791</v>
      </c>
      <c r="L169" s="1">
        <f t="shared" si="3"/>
        <v>-2.311655791</v>
      </c>
      <c r="M169" s="1">
        <v>-0.23</v>
      </c>
    </row>
    <row r="170" ht="15.75" customHeight="1">
      <c r="A170" s="7">
        <v>44132.0</v>
      </c>
      <c r="B170" s="1">
        <v>44.889999</v>
      </c>
      <c r="C170" s="1">
        <v>45.290001</v>
      </c>
      <c r="D170" s="1">
        <v>44.200001</v>
      </c>
      <c r="E170" s="1">
        <v>44.25</v>
      </c>
      <c r="F170" s="1">
        <v>43.665428</v>
      </c>
      <c r="G170" s="1">
        <v>4.5066E7</v>
      </c>
      <c r="I170" s="1">
        <f t="shared" si="1"/>
        <v>-0.03045562921</v>
      </c>
      <c r="J170" s="1">
        <v>0.0</v>
      </c>
      <c r="K170" s="1">
        <f t="shared" si="2"/>
        <v>-0.03045562921</v>
      </c>
      <c r="L170" s="1">
        <f t="shared" si="3"/>
        <v>-3.045562921</v>
      </c>
      <c r="M170" s="1">
        <v>-3.41</v>
      </c>
    </row>
    <row r="171" ht="15.75" customHeight="1">
      <c r="A171" s="7">
        <v>44133.0</v>
      </c>
      <c r="B171" s="1">
        <v>44.240002</v>
      </c>
      <c r="C171" s="1">
        <v>44.470001</v>
      </c>
      <c r="D171" s="1">
        <v>43.919998</v>
      </c>
      <c r="E171" s="1">
        <v>44.110001</v>
      </c>
      <c r="F171" s="1">
        <v>43.527279</v>
      </c>
      <c r="G171" s="1">
        <v>3.67968E7</v>
      </c>
      <c r="I171" s="1">
        <f t="shared" si="1"/>
        <v>-0.003163807303</v>
      </c>
      <c r="J171" s="1">
        <v>0.0</v>
      </c>
      <c r="K171" s="1">
        <f t="shared" si="2"/>
        <v>-0.003163807303</v>
      </c>
      <c r="L171" s="1">
        <f t="shared" si="3"/>
        <v>-0.3163807303</v>
      </c>
      <c r="M171" s="1">
        <v>1.13</v>
      </c>
    </row>
    <row r="172" ht="15.75" customHeight="1">
      <c r="A172" s="7">
        <v>44134.0</v>
      </c>
      <c r="B172" s="1">
        <v>44.099998</v>
      </c>
      <c r="C172" s="1">
        <v>44.799999</v>
      </c>
      <c r="D172" s="1">
        <v>43.610001</v>
      </c>
      <c r="E172" s="1">
        <v>44.279999</v>
      </c>
      <c r="F172" s="1">
        <v>43.69503</v>
      </c>
      <c r="G172" s="1">
        <v>4.67813E7</v>
      </c>
      <c r="I172" s="1">
        <f t="shared" si="1"/>
        <v>0.003853928016</v>
      </c>
      <c r="J172" s="1">
        <v>0.0</v>
      </c>
      <c r="K172" s="1">
        <f t="shared" si="2"/>
        <v>0.003853928016</v>
      </c>
      <c r="L172" s="1">
        <f t="shared" si="3"/>
        <v>0.3853928016</v>
      </c>
      <c r="M172" s="1">
        <v>-1.45</v>
      </c>
    </row>
    <row r="173" ht="15.75" customHeight="1">
      <c r="A173" s="7">
        <v>44137.0</v>
      </c>
      <c r="B173" s="1">
        <v>44.959999</v>
      </c>
      <c r="C173" s="1">
        <v>45.060001</v>
      </c>
      <c r="D173" s="1">
        <v>44.240002</v>
      </c>
      <c r="E173" s="1">
        <v>44.459999</v>
      </c>
      <c r="F173" s="1">
        <v>43.87265</v>
      </c>
      <c r="G173" s="1">
        <v>3.38567E7</v>
      </c>
      <c r="I173" s="1">
        <f t="shared" si="1"/>
        <v>0.004064993204</v>
      </c>
      <c r="J173" s="1">
        <v>0.0</v>
      </c>
      <c r="K173" s="1">
        <f t="shared" si="2"/>
        <v>0.004064993204</v>
      </c>
      <c r="L173" s="1">
        <f t="shared" si="3"/>
        <v>0.4064993204</v>
      </c>
      <c r="M173" s="1">
        <v>1.17</v>
      </c>
    </row>
    <row r="174" ht="15.75" customHeight="1">
      <c r="A174" s="7">
        <v>44138.0</v>
      </c>
      <c r="B174" s="1">
        <v>44.73</v>
      </c>
      <c r="C174" s="1">
        <v>45.459999</v>
      </c>
      <c r="D174" s="1">
        <v>44.700001</v>
      </c>
      <c r="E174" s="1">
        <v>44.849998</v>
      </c>
      <c r="F174" s="1">
        <v>44.2575</v>
      </c>
      <c r="G174" s="1">
        <v>3.43495E7</v>
      </c>
      <c r="I174" s="1">
        <f t="shared" si="1"/>
        <v>0.00877197981</v>
      </c>
      <c r="J174" s="1">
        <v>0.0</v>
      </c>
      <c r="K174" s="1">
        <f t="shared" si="2"/>
        <v>0.00877197981</v>
      </c>
      <c r="L174" s="1">
        <f t="shared" si="3"/>
        <v>0.877197981</v>
      </c>
      <c r="M174" s="1">
        <v>1.93</v>
      </c>
    </row>
    <row r="175" ht="15.75" customHeight="1">
      <c r="A175" s="7">
        <v>44139.0</v>
      </c>
      <c r="B175" s="1">
        <v>45.110001</v>
      </c>
      <c r="C175" s="1">
        <v>46.150002</v>
      </c>
      <c r="D175" s="1">
        <v>44.779999</v>
      </c>
      <c r="E175" s="1">
        <v>45.700001</v>
      </c>
      <c r="F175" s="1">
        <v>45.096272</v>
      </c>
      <c r="G175" s="1">
        <v>3.47482E7</v>
      </c>
      <c r="I175" s="1">
        <f t="shared" si="1"/>
        <v>0.01895208722</v>
      </c>
      <c r="J175" s="1">
        <v>0.0</v>
      </c>
      <c r="K175" s="1">
        <f t="shared" si="2"/>
        <v>0.01895208722</v>
      </c>
      <c r="L175" s="1">
        <f t="shared" si="3"/>
        <v>1.895208722</v>
      </c>
      <c r="M175" s="1">
        <v>2.25</v>
      </c>
    </row>
    <row r="176" ht="15.75" customHeight="1">
      <c r="A176" s="7">
        <v>44140.0</v>
      </c>
      <c r="B176" s="1">
        <v>46.150002</v>
      </c>
      <c r="C176" s="1">
        <v>46.380001</v>
      </c>
      <c r="D176" s="1">
        <v>45.529999</v>
      </c>
      <c r="E176" s="1">
        <v>45.68</v>
      </c>
      <c r="F176" s="1">
        <v>45.4044</v>
      </c>
      <c r="G176" s="1">
        <v>3.11032E7</v>
      </c>
      <c r="I176" s="1">
        <f t="shared" si="1"/>
        <v>0.006832671224</v>
      </c>
      <c r="J176" s="1">
        <v>0.0</v>
      </c>
      <c r="K176" s="1">
        <f t="shared" si="2"/>
        <v>0.006832671224</v>
      </c>
      <c r="L176" s="1">
        <f t="shared" si="3"/>
        <v>0.6832671224</v>
      </c>
      <c r="M176" s="1">
        <v>2.13</v>
      </c>
    </row>
    <row r="177" ht="15.75" customHeight="1">
      <c r="A177" s="7">
        <v>44141.0</v>
      </c>
      <c r="B177" s="1">
        <v>45.540001</v>
      </c>
      <c r="C177" s="1">
        <v>45.799999</v>
      </c>
      <c r="D177" s="1">
        <v>44.900002</v>
      </c>
      <c r="E177" s="1">
        <v>45.389999</v>
      </c>
      <c r="F177" s="1">
        <v>45.116146</v>
      </c>
      <c r="G177" s="1">
        <v>3.62337E7</v>
      </c>
      <c r="I177" s="1">
        <f t="shared" si="1"/>
        <v>-0.006348591766</v>
      </c>
      <c r="J177" s="1">
        <v>0.0</v>
      </c>
      <c r="K177" s="1">
        <f t="shared" si="2"/>
        <v>-0.006348591766</v>
      </c>
      <c r="L177" s="1">
        <f t="shared" si="3"/>
        <v>-0.6348591766</v>
      </c>
      <c r="M177" s="1">
        <v>0.01</v>
      </c>
    </row>
    <row r="178" ht="15.75" customHeight="1">
      <c r="A178" s="7">
        <v>44144.0</v>
      </c>
      <c r="B178" s="1">
        <v>46.639999</v>
      </c>
      <c r="C178" s="1">
        <v>47.349998</v>
      </c>
      <c r="D178" s="1">
        <v>45.540001</v>
      </c>
      <c r="E178" s="1">
        <v>45.599998</v>
      </c>
      <c r="F178" s="1">
        <v>45.324879</v>
      </c>
      <c r="G178" s="1">
        <v>4.84817E7</v>
      </c>
      <c r="I178" s="1">
        <f t="shared" si="1"/>
        <v>0.004626569832</v>
      </c>
      <c r="J178" s="1">
        <v>0.0</v>
      </c>
      <c r="K178" s="1">
        <f t="shared" si="2"/>
        <v>0.004626569832</v>
      </c>
      <c r="L178" s="1">
        <f t="shared" si="3"/>
        <v>0.4626569832</v>
      </c>
      <c r="M178" s="1">
        <v>0.82</v>
      </c>
    </row>
    <row r="179" ht="15.75" customHeight="1">
      <c r="A179" s="7">
        <v>44145.0</v>
      </c>
      <c r="B179" s="1">
        <v>45.400002</v>
      </c>
      <c r="C179" s="1">
        <v>46.48</v>
      </c>
      <c r="D179" s="1">
        <v>45.25</v>
      </c>
      <c r="E179" s="1">
        <v>45.439999</v>
      </c>
      <c r="F179" s="1">
        <v>45.165844</v>
      </c>
      <c r="G179" s="1">
        <v>3.92245E7</v>
      </c>
      <c r="I179" s="1">
        <f t="shared" si="1"/>
        <v>-0.003508779362</v>
      </c>
      <c r="J179" s="1">
        <v>0.0</v>
      </c>
      <c r="K179" s="1">
        <f t="shared" si="2"/>
        <v>-0.003508779362</v>
      </c>
      <c r="L179" s="1">
        <f t="shared" si="3"/>
        <v>-0.3508779362</v>
      </c>
      <c r="M179" s="1">
        <v>-0.17</v>
      </c>
    </row>
    <row r="180" ht="15.75" customHeight="1">
      <c r="A180" s="7">
        <v>44146.0</v>
      </c>
      <c r="B180" s="1">
        <v>45.900002</v>
      </c>
      <c r="C180" s="1">
        <v>46.459999</v>
      </c>
      <c r="D180" s="1">
        <v>45.860001</v>
      </c>
      <c r="E180" s="1">
        <v>46.349998</v>
      </c>
      <c r="F180" s="1">
        <v>46.070354</v>
      </c>
      <c r="G180" s="1">
        <v>3.14969E7</v>
      </c>
      <c r="I180" s="1">
        <f t="shared" si="1"/>
        <v>0.02002641642</v>
      </c>
      <c r="J180" s="1">
        <v>0.0</v>
      </c>
      <c r="K180" s="1">
        <f t="shared" si="2"/>
        <v>0.02002641642</v>
      </c>
      <c r="L180" s="1">
        <f t="shared" si="3"/>
        <v>2.002641642</v>
      </c>
      <c r="M180" s="1">
        <v>0.88</v>
      </c>
    </row>
    <row r="181" ht="15.75" customHeight="1">
      <c r="A181" s="7">
        <v>44147.0</v>
      </c>
      <c r="B181" s="1">
        <v>46.130001</v>
      </c>
      <c r="C181" s="1">
        <v>46.189999</v>
      </c>
      <c r="D181" s="1">
        <v>44.549999</v>
      </c>
      <c r="E181" s="1">
        <v>44.950001</v>
      </c>
      <c r="F181" s="1">
        <v>44.678802</v>
      </c>
      <c r="G181" s="1">
        <v>4.28813E7</v>
      </c>
      <c r="I181" s="1">
        <f t="shared" si="1"/>
        <v>-0.03020493396</v>
      </c>
      <c r="J181" s="1">
        <v>0.0</v>
      </c>
      <c r="K181" s="1">
        <f t="shared" si="2"/>
        <v>-0.03020493396</v>
      </c>
      <c r="L181" s="1">
        <f t="shared" si="3"/>
        <v>-3.020493396</v>
      </c>
      <c r="M181" s="1">
        <v>-0.94</v>
      </c>
    </row>
    <row r="182" ht="15.75" customHeight="1">
      <c r="A182" s="7">
        <v>44148.0</v>
      </c>
      <c r="B182" s="1">
        <v>44.990002</v>
      </c>
      <c r="C182" s="1">
        <v>45.580002</v>
      </c>
      <c r="D182" s="1">
        <v>44.970001</v>
      </c>
      <c r="E182" s="1">
        <v>45.459999</v>
      </c>
      <c r="F182" s="1">
        <v>45.185726</v>
      </c>
      <c r="G182" s="1">
        <v>3.08847E7</v>
      </c>
      <c r="I182" s="1">
        <f t="shared" si="1"/>
        <v>0.01134596223</v>
      </c>
      <c r="J182" s="1">
        <v>0.0</v>
      </c>
      <c r="K182" s="1">
        <f t="shared" si="2"/>
        <v>0.01134596223</v>
      </c>
      <c r="L182" s="1">
        <f t="shared" si="3"/>
        <v>1.134596223</v>
      </c>
      <c r="M182" s="1">
        <v>1.31</v>
      </c>
    </row>
    <row r="183" ht="15.75" customHeight="1">
      <c r="A183" s="7">
        <v>44151.0</v>
      </c>
      <c r="B183" s="1">
        <v>46.040001</v>
      </c>
      <c r="C183" s="1">
        <v>46.75</v>
      </c>
      <c r="D183" s="1">
        <v>45.790001</v>
      </c>
      <c r="E183" s="1">
        <v>46.189999</v>
      </c>
      <c r="F183" s="1">
        <v>45.91132</v>
      </c>
      <c r="G183" s="1">
        <v>3.63063E7</v>
      </c>
      <c r="I183" s="1">
        <f t="shared" si="1"/>
        <v>0.01605803567</v>
      </c>
      <c r="J183" s="1">
        <v>0.0</v>
      </c>
      <c r="K183" s="1">
        <f t="shared" si="2"/>
        <v>0.01605803567</v>
      </c>
      <c r="L183" s="1">
        <f t="shared" si="3"/>
        <v>1.605803567</v>
      </c>
      <c r="M183" s="1">
        <v>1.22</v>
      </c>
    </row>
    <row r="184" ht="15.75" customHeight="1">
      <c r="A184" s="7">
        <v>44152.0</v>
      </c>
      <c r="B184" s="1">
        <v>45.75</v>
      </c>
      <c r="C184" s="1">
        <v>46.119999</v>
      </c>
      <c r="D184" s="1">
        <v>45.41</v>
      </c>
      <c r="E184" s="1">
        <v>45.529999</v>
      </c>
      <c r="F184" s="1">
        <v>45.255302</v>
      </c>
      <c r="G184" s="1">
        <v>3.1118E7</v>
      </c>
      <c r="I184" s="1">
        <f t="shared" si="1"/>
        <v>-0.0142888072</v>
      </c>
      <c r="J184" s="1">
        <v>0.0</v>
      </c>
      <c r="K184" s="1">
        <f t="shared" si="2"/>
        <v>-0.0142888072</v>
      </c>
      <c r="L184" s="1">
        <f t="shared" si="3"/>
        <v>-1.42888072</v>
      </c>
      <c r="M184" s="1">
        <v>-0.19</v>
      </c>
    </row>
    <row r="185" ht="15.75" customHeight="1">
      <c r="A185" s="7">
        <v>44153.0</v>
      </c>
      <c r="B185" s="1">
        <v>45.549999</v>
      </c>
      <c r="C185" s="1">
        <v>45.689999</v>
      </c>
      <c r="D185" s="1">
        <v>45.040001</v>
      </c>
      <c r="E185" s="1">
        <v>45.060001</v>
      </c>
      <c r="F185" s="1">
        <v>44.788139</v>
      </c>
      <c r="G185" s="1">
        <v>3.28179E7</v>
      </c>
      <c r="I185" s="1">
        <f t="shared" si="1"/>
        <v>-0.01032283466</v>
      </c>
      <c r="J185" s="1">
        <v>0.0</v>
      </c>
      <c r="K185" s="1">
        <f t="shared" si="2"/>
        <v>-0.01032283466</v>
      </c>
      <c r="L185" s="1">
        <f t="shared" si="3"/>
        <v>-1.032283466</v>
      </c>
      <c r="M185" s="1">
        <v>-0.93</v>
      </c>
    </row>
    <row r="186" ht="15.75" customHeight="1">
      <c r="A186" s="7">
        <v>44154.0</v>
      </c>
      <c r="B186" s="1">
        <v>44.919998</v>
      </c>
      <c r="C186" s="1">
        <v>45.669998</v>
      </c>
      <c r="D186" s="1">
        <v>44.700001</v>
      </c>
      <c r="E186" s="1">
        <v>45.619999</v>
      </c>
      <c r="F186" s="1">
        <v>45.344761</v>
      </c>
      <c r="G186" s="1">
        <v>2.94691E7</v>
      </c>
      <c r="I186" s="1">
        <f t="shared" si="1"/>
        <v>0.01242788855</v>
      </c>
      <c r="J186" s="1">
        <v>0.0</v>
      </c>
      <c r="K186" s="1">
        <f t="shared" si="2"/>
        <v>0.01242788855</v>
      </c>
      <c r="L186" s="1">
        <f t="shared" si="3"/>
        <v>1.242788855</v>
      </c>
      <c r="M186" s="1">
        <v>0.59</v>
      </c>
    </row>
    <row r="187" ht="15.75" customHeight="1">
      <c r="A187" s="7">
        <v>44155.0</v>
      </c>
      <c r="B187" s="1">
        <v>45.66</v>
      </c>
      <c r="C187" s="1">
        <v>45.880001</v>
      </c>
      <c r="D187" s="1">
        <v>45.330002</v>
      </c>
      <c r="E187" s="1">
        <v>45.389999</v>
      </c>
      <c r="F187" s="1">
        <v>45.116146</v>
      </c>
      <c r="G187" s="1">
        <v>2.41993E7</v>
      </c>
      <c r="I187" s="1">
        <f t="shared" si="1"/>
        <v>-0.005041707023</v>
      </c>
      <c r="J187" s="1">
        <v>0.0</v>
      </c>
      <c r="K187" s="1">
        <f t="shared" si="2"/>
        <v>-0.005041707023</v>
      </c>
      <c r="L187" s="1">
        <f t="shared" si="3"/>
        <v>-0.5041707023</v>
      </c>
      <c r="M187" s="1">
        <v>-0.51</v>
      </c>
    </row>
    <row r="188" ht="15.75" customHeight="1">
      <c r="A188" s="7">
        <v>44158.0</v>
      </c>
      <c r="B188" s="1">
        <v>45.48</v>
      </c>
      <c r="C188" s="1">
        <v>46.209999</v>
      </c>
      <c r="D188" s="1">
        <v>45.450001</v>
      </c>
      <c r="E188" s="1">
        <v>46.060001</v>
      </c>
      <c r="F188" s="1">
        <v>45.782108</v>
      </c>
      <c r="G188" s="1">
        <v>3.54896E7</v>
      </c>
      <c r="I188" s="1">
        <f t="shared" si="1"/>
        <v>0.01476105694</v>
      </c>
      <c r="J188" s="1">
        <v>0.0</v>
      </c>
      <c r="K188" s="1">
        <f t="shared" si="2"/>
        <v>0.01476105694</v>
      </c>
      <c r="L188" s="1">
        <f t="shared" si="3"/>
        <v>1.476105694</v>
      </c>
      <c r="M188" s="1">
        <v>0.83</v>
      </c>
    </row>
    <row r="189" ht="15.75" customHeight="1">
      <c r="A189" s="7">
        <v>44159.0</v>
      </c>
      <c r="B189" s="1">
        <v>46.290001</v>
      </c>
      <c r="C189" s="1">
        <v>47.299999</v>
      </c>
      <c r="D189" s="1">
        <v>46.009998</v>
      </c>
      <c r="E189" s="1">
        <v>47.009998</v>
      </c>
      <c r="F189" s="1">
        <v>46.726372</v>
      </c>
      <c r="G189" s="1">
        <v>3.39012E7</v>
      </c>
      <c r="I189" s="1">
        <f t="shared" si="1"/>
        <v>0.02062517523</v>
      </c>
      <c r="J189" s="1">
        <v>0.0</v>
      </c>
      <c r="K189" s="1">
        <f t="shared" si="2"/>
        <v>0.02062517523</v>
      </c>
      <c r="L189" s="1">
        <f t="shared" si="3"/>
        <v>2.062517523</v>
      </c>
      <c r="M189" s="1">
        <v>1.56</v>
      </c>
    </row>
    <row r="190" ht="15.75" customHeight="1">
      <c r="A190" s="7">
        <v>44160.0</v>
      </c>
      <c r="B190" s="1">
        <v>47.029999</v>
      </c>
      <c r="C190" s="1">
        <v>47.18</v>
      </c>
      <c r="D190" s="1">
        <v>46.57</v>
      </c>
      <c r="E190" s="1">
        <v>47.049999</v>
      </c>
      <c r="F190" s="1">
        <v>46.766132</v>
      </c>
      <c r="G190" s="1">
        <v>2.81269E7</v>
      </c>
      <c r="I190" s="1">
        <f t="shared" si="1"/>
        <v>0.000850911344</v>
      </c>
      <c r="J190" s="1">
        <v>0.0</v>
      </c>
      <c r="K190" s="1">
        <f t="shared" si="2"/>
        <v>0.000850911344</v>
      </c>
      <c r="L190" s="1">
        <f t="shared" si="3"/>
        <v>0.0850911344</v>
      </c>
      <c r="M190" s="1">
        <v>0.03</v>
      </c>
    </row>
    <row r="191" ht="15.75" customHeight="1">
      <c r="A191" s="7">
        <v>44162.0</v>
      </c>
      <c r="B191" s="1">
        <v>47.360001</v>
      </c>
      <c r="C191" s="1">
        <v>48.099998</v>
      </c>
      <c r="D191" s="1">
        <v>47.360001</v>
      </c>
      <c r="E191" s="1">
        <v>47.450001</v>
      </c>
      <c r="F191" s="1">
        <v>47.163719</v>
      </c>
      <c r="G191" s="1">
        <v>1.59214E7</v>
      </c>
      <c r="I191" s="1">
        <f t="shared" si="1"/>
        <v>0.008501601116</v>
      </c>
      <c r="J191" s="1">
        <v>0.0</v>
      </c>
      <c r="K191" s="1">
        <f t="shared" si="2"/>
        <v>0.008501601116</v>
      </c>
      <c r="L191" s="1">
        <f t="shared" si="3"/>
        <v>0.8501601116</v>
      </c>
      <c r="M191" s="1">
        <v>0.43</v>
      </c>
    </row>
    <row r="192" ht="15.75" customHeight="1">
      <c r="A192" s="7">
        <v>44165.0</v>
      </c>
      <c r="B192" s="1">
        <v>47.419998</v>
      </c>
      <c r="C192" s="1">
        <v>48.5</v>
      </c>
      <c r="D192" s="1">
        <v>47.27</v>
      </c>
      <c r="E192" s="1">
        <v>48.349998</v>
      </c>
      <c r="F192" s="1">
        <v>48.058289</v>
      </c>
      <c r="G192" s="1">
        <v>4.63327E7</v>
      </c>
      <c r="I192" s="1">
        <f t="shared" si="1"/>
        <v>0.01896733377</v>
      </c>
      <c r="J192" s="1">
        <v>0.0</v>
      </c>
      <c r="K192" s="1">
        <f t="shared" si="2"/>
        <v>0.01896733377</v>
      </c>
      <c r="L192" s="1">
        <f t="shared" si="3"/>
        <v>1.896733377</v>
      </c>
      <c r="M192" s="1">
        <v>-0.53</v>
      </c>
    </row>
    <row r="193" ht="15.75" customHeight="1">
      <c r="A193" s="7">
        <v>44166.0</v>
      </c>
      <c r="B193" s="1">
        <v>48.75</v>
      </c>
      <c r="C193" s="1">
        <v>50.23</v>
      </c>
      <c r="D193" s="1">
        <v>48.709999</v>
      </c>
      <c r="E193" s="1">
        <v>49.560001</v>
      </c>
      <c r="F193" s="1">
        <v>49.26099</v>
      </c>
      <c r="G193" s="1">
        <v>5.77782E7</v>
      </c>
      <c r="I193" s="1">
        <f t="shared" si="1"/>
        <v>0.02502588055</v>
      </c>
      <c r="J193" s="1">
        <v>0.0</v>
      </c>
      <c r="K193" s="1">
        <f t="shared" si="2"/>
        <v>0.02502588055</v>
      </c>
      <c r="L193" s="1">
        <f t="shared" si="3"/>
        <v>2.502588055</v>
      </c>
      <c r="M193" s="1">
        <v>0.98</v>
      </c>
    </row>
    <row r="194" ht="15.75" customHeight="1">
      <c r="A194" s="7">
        <v>44167.0</v>
      </c>
      <c r="B194" s="1">
        <v>49.220001</v>
      </c>
      <c r="C194" s="1">
        <v>50.060001</v>
      </c>
      <c r="D194" s="1">
        <v>49.18</v>
      </c>
      <c r="E194" s="1">
        <v>49.900002</v>
      </c>
      <c r="F194" s="1">
        <v>49.598938</v>
      </c>
      <c r="G194" s="1">
        <v>3.37535E7</v>
      </c>
      <c r="I194" s="1">
        <f t="shared" si="1"/>
        <v>0.006860357455</v>
      </c>
      <c r="J194" s="1">
        <v>0.0</v>
      </c>
      <c r="K194" s="1">
        <f t="shared" si="2"/>
        <v>0.006860357455</v>
      </c>
      <c r="L194" s="1">
        <f t="shared" si="3"/>
        <v>0.6860357455</v>
      </c>
      <c r="M194" s="1">
        <v>0.11</v>
      </c>
    </row>
    <row r="195" ht="15.75" customHeight="1">
      <c r="A195" s="7">
        <v>44168.0</v>
      </c>
      <c r="B195" s="1">
        <v>49.919998</v>
      </c>
      <c r="C195" s="1">
        <v>51.110001</v>
      </c>
      <c r="D195" s="1">
        <v>49.779999</v>
      </c>
      <c r="E195" s="1">
        <v>50.990002</v>
      </c>
      <c r="F195" s="1">
        <v>50.682365</v>
      </c>
      <c r="G195" s="1">
        <v>5.02612E7</v>
      </c>
      <c r="I195" s="1">
        <f t="shared" si="1"/>
        <v>0.02184375399</v>
      </c>
      <c r="J195" s="1">
        <v>0.0</v>
      </c>
      <c r="K195" s="1">
        <f t="shared" si="2"/>
        <v>0.02184375399</v>
      </c>
      <c r="L195" s="1">
        <f t="shared" si="3"/>
        <v>2.184375399</v>
      </c>
      <c r="M195" s="1">
        <v>0.18</v>
      </c>
    </row>
    <row r="196" ht="15.75" customHeight="1">
      <c r="A196" s="7">
        <v>44169.0</v>
      </c>
      <c r="B196" s="1">
        <v>51.060001</v>
      </c>
      <c r="C196" s="1">
        <v>52.650002</v>
      </c>
      <c r="D196" s="1">
        <v>51.0</v>
      </c>
      <c r="E196" s="1">
        <v>51.990002</v>
      </c>
      <c r="F196" s="1">
        <v>51.676331</v>
      </c>
      <c r="G196" s="1">
        <v>3.97677E7</v>
      </c>
      <c r="I196" s="1">
        <f t="shared" si="1"/>
        <v>0.01961167361</v>
      </c>
      <c r="J196" s="1">
        <v>0.0</v>
      </c>
      <c r="K196" s="1">
        <f t="shared" si="2"/>
        <v>0.01961167361</v>
      </c>
      <c r="L196" s="1">
        <f t="shared" si="3"/>
        <v>1.961167361</v>
      </c>
      <c r="M196" s="1">
        <v>1.02</v>
      </c>
    </row>
    <row r="197" ht="15.75" customHeight="1">
      <c r="A197" s="7">
        <v>44172.0</v>
      </c>
      <c r="B197" s="1">
        <v>51.0</v>
      </c>
      <c r="C197" s="1">
        <v>51.290001</v>
      </c>
      <c r="D197" s="1">
        <v>49.560001</v>
      </c>
      <c r="E197" s="1">
        <v>50.200001</v>
      </c>
      <c r="F197" s="1">
        <v>49.897129</v>
      </c>
      <c r="G197" s="1">
        <v>5.10403E7</v>
      </c>
      <c r="I197" s="1">
        <f t="shared" si="1"/>
        <v>-0.03442972761</v>
      </c>
      <c r="J197" s="1">
        <v>0.0</v>
      </c>
      <c r="K197" s="1">
        <f t="shared" si="2"/>
        <v>-0.03442972761</v>
      </c>
      <c r="L197" s="1">
        <f t="shared" si="3"/>
        <v>-3.442972761</v>
      </c>
      <c r="M197" s="1">
        <v>0.03</v>
      </c>
    </row>
    <row r="198" ht="15.75" customHeight="1">
      <c r="A198" s="7">
        <v>44173.0</v>
      </c>
      <c r="B198" s="1">
        <v>49.830002</v>
      </c>
      <c r="C198" s="1">
        <v>50.720001</v>
      </c>
      <c r="D198" s="1">
        <v>49.810001</v>
      </c>
      <c r="E198" s="1">
        <v>50.689999</v>
      </c>
      <c r="F198" s="1">
        <v>50.384171</v>
      </c>
      <c r="G198" s="1">
        <v>2.89565E7</v>
      </c>
      <c r="I198" s="1">
        <f t="shared" si="1"/>
        <v>0.009760922317</v>
      </c>
      <c r="J198" s="1">
        <v>0.0</v>
      </c>
      <c r="K198" s="1">
        <f t="shared" si="2"/>
        <v>0.009760922317</v>
      </c>
      <c r="L198" s="1">
        <f t="shared" si="3"/>
        <v>0.9760922317</v>
      </c>
      <c r="M198" s="1">
        <v>0.47</v>
      </c>
    </row>
    <row r="199" ht="15.75" customHeight="1">
      <c r="A199" s="7">
        <v>44174.0</v>
      </c>
      <c r="B199" s="1">
        <v>50.279999</v>
      </c>
      <c r="C199" s="1">
        <v>50.84</v>
      </c>
      <c r="D199" s="1">
        <v>49.73</v>
      </c>
      <c r="E199" s="1">
        <v>50.07</v>
      </c>
      <c r="F199" s="1">
        <v>49.767914</v>
      </c>
      <c r="G199" s="1">
        <v>3.40684E7</v>
      </c>
      <c r="I199" s="1">
        <f t="shared" si="1"/>
        <v>-0.01223116284</v>
      </c>
      <c r="J199" s="1">
        <v>0.0</v>
      </c>
      <c r="K199" s="1">
        <f t="shared" si="2"/>
        <v>-0.01223116284</v>
      </c>
      <c r="L199" s="1">
        <f t="shared" si="3"/>
        <v>-1.223116284</v>
      </c>
      <c r="M199" s="1">
        <v>-1.03</v>
      </c>
    </row>
    <row r="200" ht="15.75" customHeight="1">
      <c r="A200" s="7">
        <v>44175.0</v>
      </c>
      <c r="B200" s="1">
        <v>49.66</v>
      </c>
      <c r="C200" s="1">
        <v>50.720001</v>
      </c>
      <c r="D200" s="1">
        <v>49.59</v>
      </c>
      <c r="E200" s="1">
        <v>50.259998</v>
      </c>
      <c r="F200" s="1">
        <v>49.956764</v>
      </c>
      <c r="G200" s="1">
        <v>3.3706E7</v>
      </c>
      <c r="I200" s="1">
        <f t="shared" si="1"/>
        <v>0.003794613534</v>
      </c>
      <c r="J200" s="1">
        <v>0.0</v>
      </c>
      <c r="K200" s="1">
        <f t="shared" si="2"/>
        <v>0.003794613534</v>
      </c>
      <c r="L200" s="1">
        <f t="shared" si="3"/>
        <v>0.3794613534</v>
      </c>
      <c r="M200" s="1">
        <v>0.24</v>
      </c>
    </row>
    <row r="201" ht="15.75" customHeight="1">
      <c r="A201" s="7">
        <v>44176.0</v>
      </c>
      <c r="B201" s="1">
        <v>50.139999</v>
      </c>
      <c r="C201" s="1">
        <v>50.139999</v>
      </c>
      <c r="D201" s="1">
        <v>49.119999</v>
      </c>
      <c r="E201" s="1">
        <v>49.73</v>
      </c>
      <c r="F201" s="1">
        <v>49.429962</v>
      </c>
      <c r="G201" s="1">
        <v>2.93988E7</v>
      </c>
      <c r="I201" s="1">
        <f t="shared" si="1"/>
        <v>-0.01054515861</v>
      </c>
      <c r="J201" s="1">
        <v>0.0</v>
      </c>
      <c r="K201" s="1">
        <f t="shared" si="2"/>
        <v>-0.01054515861</v>
      </c>
      <c r="L201" s="1">
        <f t="shared" si="3"/>
        <v>-1.054515861</v>
      </c>
      <c r="M201" s="1">
        <v>-0.2</v>
      </c>
    </row>
    <row r="202" ht="15.75" customHeight="1">
      <c r="A202" s="7">
        <v>44179.0</v>
      </c>
      <c r="B202" s="1">
        <v>49.82</v>
      </c>
      <c r="C202" s="1">
        <v>51.34</v>
      </c>
      <c r="D202" s="1">
        <v>49.740002</v>
      </c>
      <c r="E202" s="1">
        <v>50.470001</v>
      </c>
      <c r="F202" s="1">
        <v>50.165501</v>
      </c>
      <c r="G202" s="1">
        <v>3.34364E7</v>
      </c>
      <c r="I202" s="1">
        <f t="shared" si="1"/>
        <v>0.01488042819</v>
      </c>
      <c r="J202" s="1">
        <v>0.0</v>
      </c>
      <c r="K202" s="1">
        <f t="shared" si="2"/>
        <v>0.01488042819</v>
      </c>
      <c r="L202" s="1">
        <f t="shared" si="3"/>
        <v>1.488042819</v>
      </c>
      <c r="M202" s="1">
        <v>-0.28</v>
      </c>
    </row>
    <row r="203" ht="15.75" customHeight="1">
      <c r="A203" s="7">
        <v>44180.0</v>
      </c>
      <c r="B203" s="1">
        <v>50.98</v>
      </c>
      <c r="C203" s="1">
        <v>51.009998</v>
      </c>
      <c r="D203" s="1">
        <v>50.209999</v>
      </c>
      <c r="E203" s="1">
        <v>50.669998</v>
      </c>
      <c r="F203" s="1">
        <v>50.364292</v>
      </c>
      <c r="G203" s="1">
        <v>2.5473E7</v>
      </c>
      <c r="I203" s="1">
        <f t="shared" si="1"/>
        <v>0.003962703373</v>
      </c>
      <c r="J203" s="1">
        <v>0.0</v>
      </c>
      <c r="K203" s="1">
        <f t="shared" si="2"/>
        <v>0.003962703373</v>
      </c>
      <c r="L203" s="1">
        <f t="shared" si="3"/>
        <v>0.3962703373</v>
      </c>
      <c r="M203" s="1">
        <v>1.28</v>
      </c>
    </row>
    <row r="204" ht="15.75" customHeight="1">
      <c r="A204" s="7">
        <v>44181.0</v>
      </c>
      <c r="B204" s="1">
        <v>50.709999</v>
      </c>
      <c r="C204" s="1">
        <v>51.459999</v>
      </c>
      <c r="D204" s="1">
        <v>50.68</v>
      </c>
      <c r="E204" s="1">
        <v>51.119999</v>
      </c>
      <c r="F204" s="1">
        <v>50.811577</v>
      </c>
      <c r="G204" s="1">
        <v>2.8351E7</v>
      </c>
      <c r="I204" s="1">
        <f t="shared" si="1"/>
        <v>0.008880994495</v>
      </c>
      <c r="J204" s="1">
        <v>0.0</v>
      </c>
      <c r="K204" s="1">
        <f t="shared" si="2"/>
        <v>0.008880994495</v>
      </c>
      <c r="L204" s="1">
        <f t="shared" si="3"/>
        <v>0.8880994495</v>
      </c>
      <c r="M204" s="1">
        <v>0.17</v>
      </c>
    </row>
    <row r="205" ht="15.75" customHeight="1">
      <c r="A205" s="7">
        <v>44182.0</v>
      </c>
      <c r="B205" s="1">
        <v>51.150002</v>
      </c>
      <c r="C205" s="1">
        <v>51.32</v>
      </c>
      <c r="D205" s="1">
        <v>50.220001</v>
      </c>
      <c r="E205" s="1">
        <v>50.650002</v>
      </c>
      <c r="F205" s="1">
        <v>50.344414</v>
      </c>
      <c r="G205" s="1">
        <v>2.6399E7</v>
      </c>
      <c r="I205" s="1">
        <f t="shared" si="1"/>
        <v>-0.009194026786</v>
      </c>
      <c r="J205" s="1">
        <v>0.0</v>
      </c>
      <c r="K205" s="1">
        <f t="shared" si="2"/>
        <v>-0.009194026786</v>
      </c>
      <c r="L205" s="1">
        <f t="shared" si="3"/>
        <v>-0.9194026786</v>
      </c>
      <c r="M205" s="1">
        <v>0.79</v>
      </c>
    </row>
    <row r="206" ht="15.75" customHeight="1">
      <c r="A206" s="7">
        <v>44183.0</v>
      </c>
      <c r="B206" s="1">
        <v>50.57</v>
      </c>
      <c r="C206" s="1">
        <v>50.68</v>
      </c>
      <c r="D206" s="1">
        <v>47.110001</v>
      </c>
      <c r="E206" s="1">
        <v>47.459999</v>
      </c>
      <c r="F206" s="1">
        <v>47.17366</v>
      </c>
      <c r="G206" s="1">
        <v>1.192984E8</v>
      </c>
      <c r="I206" s="1">
        <f t="shared" si="1"/>
        <v>-0.06298124753</v>
      </c>
      <c r="J206" s="1">
        <v>0.0</v>
      </c>
      <c r="K206" s="1">
        <f t="shared" si="2"/>
        <v>-0.06298124753</v>
      </c>
      <c r="L206" s="1">
        <f t="shared" si="3"/>
        <v>-6.298124753</v>
      </c>
      <c r="M206" s="1">
        <v>-0.12</v>
      </c>
    </row>
    <row r="207" ht="15.75" customHeight="1">
      <c r="A207" s="7">
        <v>44186.0</v>
      </c>
      <c r="B207" s="1">
        <v>46.32</v>
      </c>
      <c r="C207" s="1">
        <v>46.450001</v>
      </c>
      <c r="D207" s="1">
        <v>45.240002</v>
      </c>
      <c r="E207" s="1">
        <v>46.360001</v>
      </c>
      <c r="F207" s="1">
        <v>46.080296</v>
      </c>
      <c r="G207" s="1">
        <v>5.37757E7</v>
      </c>
      <c r="I207" s="1">
        <f t="shared" si="1"/>
        <v>-0.02317742571</v>
      </c>
      <c r="J207" s="1">
        <v>0.0</v>
      </c>
      <c r="K207" s="1">
        <f t="shared" si="2"/>
        <v>-0.02317742571</v>
      </c>
      <c r="L207" s="1">
        <f t="shared" si="3"/>
        <v>-2.317742571</v>
      </c>
      <c r="M207" s="1">
        <v>-0.23</v>
      </c>
    </row>
    <row r="208" ht="15.75" customHeight="1">
      <c r="A208" s="7">
        <v>44187.0</v>
      </c>
      <c r="B208" s="1">
        <v>46.25</v>
      </c>
      <c r="C208" s="1">
        <v>46.34</v>
      </c>
      <c r="D208" s="1">
        <v>45.77</v>
      </c>
      <c r="E208" s="1">
        <v>46.169998</v>
      </c>
      <c r="F208" s="1">
        <v>45.891441</v>
      </c>
      <c r="G208" s="1">
        <v>3.21712E7</v>
      </c>
      <c r="I208" s="1">
        <f t="shared" si="1"/>
        <v>-0.004098389472</v>
      </c>
      <c r="J208" s="1">
        <v>0.0</v>
      </c>
      <c r="K208" s="1">
        <f t="shared" si="2"/>
        <v>-0.004098389472</v>
      </c>
      <c r="L208" s="1">
        <f t="shared" si="3"/>
        <v>-0.4098389472</v>
      </c>
      <c r="M208" s="1">
        <v>0.06</v>
      </c>
    </row>
    <row r="209" ht="15.75" customHeight="1">
      <c r="A209" s="7">
        <v>44188.0</v>
      </c>
      <c r="B209" s="1">
        <v>46.169998</v>
      </c>
      <c r="C209" s="1">
        <v>47.029999</v>
      </c>
      <c r="D209" s="1">
        <v>46.07</v>
      </c>
      <c r="E209" s="1">
        <v>46.57</v>
      </c>
      <c r="F209" s="1">
        <v>46.289028</v>
      </c>
      <c r="G209" s="1">
        <v>2.25642E7</v>
      </c>
      <c r="I209" s="1">
        <f t="shared" si="1"/>
        <v>0.008663641658</v>
      </c>
      <c r="J209" s="1">
        <v>0.0</v>
      </c>
      <c r="K209" s="1">
        <f t="shared" si="2"/>
        <v>0.008663641658</v>
      </c>
      <c r="L209" s="1">
        <f t="shared" si="3"/>
        <v>0.8663641658</v>
      </c>
      <c r="M209" s="1">
        <v>0.1</v>
      </c>
    </row>
    <row r="210" ht="15.75" customHeight="1">
      <c r="A210" s="7">
        <v>44189.0</v>
      </c>
      <c r="B210" s="1">
        <v>46.599998</v>
      </c>
      <c r="C210" s="1">
        <v>47.09</v>
      </c>
      <c r="D210" s="1">
        <v>46.34</v>
      </c>
      <c r="E210" s="1">
        <v>47.07</v>
      </c>
      <c r="F210" s="1">
        <v>46.786011</v>
      </c>
      <c r="G210" s="1">
        <v>1.18656E7</v>
      </c>
      <c r="I210" s="1">
        <f t="shared" si="1"/>
        <v>0.01073651838</v>
      </c>
      <c r="J210" s="1">
        <v>0.0</v>
      </c>
      <c r="K210" s="1">
        <f t="shared" si="2"/>
        <v>0.01073651838</v>
      </c>
      <c r="L210" s="1">
        <f t="shared" si="3"/>
        <v>1.073651838</v>
      </c>
      <c r="M210" s="1">
        <v>0.21</v>
      </c>
    </row>
    <row r="211" ht="15.75" customHeight="1">
      <c r="A211" s="7">
        <v>44193.0</v>
      </c>
      <c r="B211" s="1">
        <v>47.189999</v>
      </c>
      <c r="C211" s="1">
        <v>47.639999</v>
      </c>
      <c r="D211" s="1">
        <v>46.860001</v>
      </c>
      <c r="E211" s="1">
        <v>47.07</v>
      </c>
      <c r="F211" s="1">
        <v>46.786011</v>
      </c>
      <c r="G211" s="1">
        <v>2.12692E7</v>
      </c>
      <c r="I211" s="1">
        <f t="shared" si="1"/>
        <v>0</v>
      </c>
      <c r="J211" s="1">
        <v>0.0</v>
      </c>
      <c r="K211" s="1">
        <f t="shared" si="2"/>
        <v>0</v>
      </c>
      <c r="L211" s="1">
        <f t="shared" si="3"/>
        <v>0</v>
      </c>
      <c r="M211" s="1">
        <v>0.46</v>
      </c>
    </row>
    <row r="212" ht="15.75" customHeight="1">
      <c r="A212" s="7">
        <v>44194.0</v>
      </c>
      <c r="B212" s="1">
        <v>47.220001</v>
      </c>
      <c r="C212" s="1">
        <v>50.669998</v>
      </c>
      <c r="D212" s="1">
        <v>46.490002</v>
      </c>
      <c r="E212" s="1">
        <v>49.389999</v>
      </c>
      <c r="F212" s="1">
        <v>49.092014</v>
      </c>
      <c r="G212" s="1">
        <v>8.45314E7</v>
      </c>
      <c r="I212" s="1">
        <f t="shared" si="1"/>
        <v>0.04928830115</v>
      </c>
      <c r="J212" s="1">
        <v>0.0</v>
      </c>
      <c r="K212" s="1">
        <f t="shared" si="2"/>
        <v>0.04928830115</v>
      </c>
      <c r="L212" s="1">
        <f t="shared" si="3"/>
        <v>4.928830115</v>
      </c>
      <c r="M212" s="1">
        <v>-0.4</v>
      </c>
    </row>
    <row r="213" ht="15.75" customHeight="1">
      <c r="A213" s="7">
        <v>44195.0</v>
      </c>
      <c r="B213" s="1">
        <v>49.110001</v>
      </c>
      <c r="C213" s="1">
        <v>49.189999</v>
      </c>
      <c r="D213" s="1">
        <v>48.560001</v>
      </c>
      <c r="E213" s="1">
        <v>48.75</v>
      </c>
      <c r="F213" s="1">
        <v>48.455875</v>
      </c>
      <c r="G213" s="1">
        <v>3.73854E7</v>
      </c>
      <c r="I213" s="1">
        <f t="shared" si="1"/>
        <v>-0.01295809538</v>
      </c>
      <c r="J213" s="1">
        <v>0.0</v>
      </c>
      <c r="K213" s="1">
        <f t="shared" si="2"/>
        <v>-0.01295809538</v>
      </c>
      <c r="L213" s="1">
        <f t="shared" si="3"/>
        <v>-1.295809538</v>
      </c>
      <c r="M213" s="1">
        <v>0.27</v>
      </c>
    </row>
    <row r="214" ht="15.75" customHeight="1">
      <c r="A214" s="7">
        <v>44196.0</v>
      </c>
      <c r="B214" s="1">
        <v>48.75</v>
      </c>
      <c r="C214" s="1">
        <v>50.189999</v>
      </c>
      <c r="D214" s="1">
        <v>48.720001</v>
      </c>
      <c r="E214" s="1">
        <v>49.82</v>
      </c>
      <c r="F214" s="1">
        <v>49.519421</v>
      </c>
      <c r="G214" s="1">
        <v>2.85768E7</v>
      </c>
      <c r="I214" s="1">
        <f t="shared" si="1"/>
        <v>0.02194875234</v>
      </c>
      <c r="J214" s="1">
        <v>0.0</v>
      </c>
      <c r="K214" s="1">
        <f t="shared" si="2"/>
        <v>0.02194875234</v>
      </c>
      <c r="L214" s="1">
        <f t="shared" si="3"/>
        <v>2.194875234</v>
      </c>
      <c r="M214" s="1">
        <v>0.39</v>
      </c>
    </row>
    <row r="215" ht="15.75" customHeight="1">
      <c r="A215" s="7">
        <v>44200.0</v>
      </c>
      <c r="B215" s="1">
        <v>49.889999</v>
      </c>
      <c r="C215" s="1">
        <v>51.389999</v>
      </c>
      <c r="D215" s="1">
        <v>49.400002</v>
      </c>
      <c r="E215" s="1">
        <v>49.669998</v>
      </c>
      <c r="F215" s="1">
        <v>49.370323</v>
      </c>
      <c r="G215" s="1">
        <v>4.61025E7</v>
      </c>
      <c r="I215" s="1">
        <f t="shared" si="1"/>
        <v>-0.003010899501</v>
      </c>
      <c r="J215" s="1">
        <v>0.0</v>
      </c>
      <c r="K215" s="1">
        <f t="shared" si="2"/>
        <v>-0.003010899501</v>
      </c>
      <c r="L215" s="1">
        <f t="shared" si="3"/>
        <v>-0.3010899501</v>
      </c>
      <c r="M215" s="1">
        <v>-1.41</v>
      </c>
    </row>
    <row r="216" ht="15.75" customHeight="1">
      <c r="A216" s="7">
        <v>44201.0</v>
      </c>
      <c r="B216" s="1">
        <v>49.450001</v>
      </c>
      <c r="C216" s="1">
        <v>50.830002</v>
      </c>
      <c r="D216" s="1">
        <v>49.330002</v>
      </c>
      <c r="E216" s="1">
        <v>50.610001</v>
      </c>
      <c r="F216" s="1">
        <v>50.304657</v>
      </c>
      <c r="G216" s="1">
        <v>2.48666E7</v>
      </c>
      <c r="I216" s="1">
        <f t="shared" si="1"/>
        <v>0.01892501291</v>
      </c>
      <c r="J216" s="1">
        <v>0.0</v>
      </c>
      <c r="K216" s="1">
        <f t="shared" si="2"/>
        <v>0.01892501291</v>
      </c>
      <c r="L216" s="1">
        <f t="shared" si="3"/>
        <v>1.892501291</v>
      </c>
      <c r="M216" s="1">
        <v>0.86</v>
      </c>
    </row>
    <row r="217" ht="15.75" customHeight="1">
      <c r="A217" s="7">
        <v>44202.0</v>
      </c>
      <c r="B217" s="1">
        <v>50.439999</v>
      </c>
      <c r="C217" s="1">
        <v>52.150002</v>
      </c>
      <c r="D217" s="1">
        <v>50.200001</v>
      </c>
      <c r="E217" s="1">
        <v>51.099998</v>
      </c>
      <c r="F217" s="1">
        <v>50.791698</v>
      </c>
      <c r="G217" s="1">
        <v>3.68096E7</v>
      </c>
      <c r="I217" s="1">
        <f t="shared" si="1"/>
        <v>0.009681827271</v>
      </c>
      <c r="J217" s="1">
        <v>0.0</v>
      </c>
      <c r="K217" s="1">
        <f t="shared" si="2"/>
        <v>0.009681827271</v>
      </c>
      <c r="L217" s="1">
        <f t="shared" si="3"/>
        <v>0.9681827271</v>
      </c>
      <c r="M217" s="1">
        <v>0.79</v>
      </c>
    </row>
    <row r="218" ht="15.75" customHeight="1">
      <c r="A218" s="7">
        <v>44203.0</v>
      </c>
      <c r="B218" s="1">
        <v>51.490002</v>
      </c>
      <c r="C218" s="1">
        <v>52.689999</v>
      </c>
      <c r="D218" s="1">
        <v>51.299999</v>
      </c>
      <c r="E218" s="1">
        <v>52.189999</v>
      </c>
      <c r="F218" s="1">
        <v>51.875122</v>
      </c>
      <c r="G218" s="1">
        <v>3.20923E7</v>
      </c>
      <c r="I218" s="1">
        <f t="shared" si="1"/>
        <v>0.02133073007</v>
      </c>
      <c r="J218" s="1">
        <v>0.0</v>
      </c>
      <c r="K218" s="1">
        <f t="shared" si="2"/>
        <v>0.02133073007</v>
      </c>
      <c r="L218" s="1">
        <f t="shared" si="3"/>
        <v>2.133073007</v>
      </c>
      <c r="M218" s="1">
        <v>1.76</v>
      </c>
    </row>
    <row r="219" ht="15.75" customHeight="1">
      <c r="A219" s="7">
        <v>44204.0</v>
      </c>
      <c r="B219" s="1">
        <v>52.450001</v>
      </c>
      <c r="C219" s="1">
        <v>52.529999</v>
      </c>
      <c r="D219" s="1">
        <v>51.27</v>
      </c>
      <c r="E219" s="1">
        <v>51.650002</v>
      </c>
      <c r="F219" s="1">
        <v>51.338383</v>
      </c>
      <c r="G219" s="1">
        <v>3.46254E7</v>
      </c>
      <c r="I219" s="1">
        <f t="shared" si="1"/>
        <v>-0.01034675157</v>
      </c>
      <c r="J219" s="1">
        <v>0.0</v>
      </c>
      <c r="K219" s="1">
        <f t="shared" si="2"/>
        <v>-0.01034675157</v>
      </c>
      <c r="L219" s="1">
        <f t="shared" si="3"/>
        <v>-1.034675157</v>
      </c>
      <c r="M219" s="1">
        <v>0.51</v>
      </c>
    </row>
    <row r="220" ht="15.75" customHeight="1">
      <c r="A220" s="7">
        <v>44207.0</v>
      </c>
      <c r="B220" s="1">
        <v>51.290001</v>
      </c>
      <c r="C220" s="1">
        <v>52.240002</v>
      </c>
      <c r="D220" s="1">
        <v>51.25</v>
      </c>
      <c r="E220" s="1">
        <v>51.540001</v>
      </c>
      <c r="F220" s="1">
        <v>51.229046</v>
      </c>
      <c r="G220" s="1">
        <v>3.29333E7</v>
      </c>
      <c r="I220" s="1">
        <f t="shared" si="1"/>
        <v>-0.002129732056</v>
      </c>
      <c r="J220" s="1">
        <v>0.0</v>
      </c>
      <c r="K220" s="1">
        <f t="shared" si="2"/>
        <v>-0.002129732056</v>
      </c>
      <c r="L220" s="1">
        <f t="shared" si="3"/>
        <v>-0.2129732056</v>
      </c>
      <c r="M220" s="1">
        <v>-0.51</v>
      </c>
    </row>
    <row r="221" ht="15.75" customHeight="1">
      <c r="A221" s="7">
        <v>44208.0</v>
      </c>
      <c r="B221" s="1">
        <v>51.900002</v>
      </c>
      <c r="C221" s="1">
        <v>53.849998</v>
      </c>
      <c r="D221" s="1">
        <v>51.560001</v>
      </c>
      <c r="E221" s="1">
        <v>53.240002</v>
      </c>
      <c r="F221" s="1">
        <v>52.918789</v>
      </c>
      <c r="G221" s="1">
        <v>3.98839E7</v>
      </c>
      <c r="I221" s="1">
        <f t="shared" si="1"/>
        <v>0.03298408095</v>
      </c>
      <c r="J221" s="1">
        <v>0.0</v>
      </c>
      <c r="K221" s="1">
        <f t="shared" si="2"/>
        <v>0.03298408095</v>
      </c>
      <c r="L221" s="1">
        <f t="shared" si="3"/>
        <v>3.298408095</v>
      </c>
      <c r="M221" s="1">
        <v>0.38</v>
      </c>
    </row>
    <row r="222" ht="15.75" customHeight="1">
      <c r="A222" s="7">
        <v>44209.0</v>
      </c>
      <c r="B222" s="1">
        <v>59.5</v>
      </c>
      <c r="C222" s="1">
        <v>60.25</v>
      </c>
      <c r="D222" s="1">
        <v>56.900002</v>
      </c>
      <c r="E222" s="1">
        <v>56.950001</v>
      </c>
      <c r="F222" s="1">
        <v>56.606403</v>
      </c>
      <c r="G222" s="1">
        <v>1.240707E8</v>
      </c>
      <c r="I222" s="1">
        <f t="shared" si="1"/>
        <v>0.06968439886</v>
      </c>
      <c r="J222" s="1">
        <v>0.0</v>
      </c>
      <c r="K222" s="1">
        <f t="shared" si="2"/>
        <v>0.06968439886</v>
      </c>
      <c r="L222" s="1">
        <f t="shared" si="3"/>
        <v>6.968439886</v>
      </c>
      <c r="M222" s="1">
        <v>0.07</v>
      </c>
    </row>
    <row r="223" ht="15.75" customHeight="1">
      <c r="A223" s="7">
        <v>44210.0</v>
      </c>
      <c r="B223" s="1">
        <v>58.450001</v>
      </c>
      <c r="C223" s="1">
        <v>60.139999</v>
      </c>
      <c r="D223" s="1">
        <v>57.84</v>
      </c>
      <c r="E223" s="1">
        <v>59.25</v>
      </c>
      <c r="F223" s="1">
        <v>58.892529</v>
      </c>
      <c r="G223" s="1">
        <v>7.46809E7</v>
      </c>
      <c r="I223" s="1">
        <f t="shared" si="1"/>
        <v>0.04038634993</v>
      </c>
      <c r="J223" s="1">
        <v>0.0</v>
      </c>
      <c r="K223" s="1">
        <f t="shared" si="2"/>
        <v>0.04038634993</v>
      </c>
      <c r="L223" s="1">
        <f t="shared" si="3"/>
        <v>4.038634993</v>
      </c>
      <c r="M223" s="1">
        <v>-0.11</v>
      </c>
    </row>
    <row r="224" ht="15.75" customHeight="1">
      <c r="A224" s="7">
        <v>44211.0</v>
      </c>
      <c r="B224" s="1">
        <v>58.849998</v>
      </c>
      <c r="C224" s="1">
        <v>59.650002</v>
      </c>
      <c r="D224" s="1">
        <v>57.5</v>
      </c>
      <c r="E224" s="1">
        <v>57.580002</v>
      </c>
      <c r="F224" s="1">
        <v>57.232605</v>
      </c>
      <c r="G224" s="1">
        <v>5.02654E7</v>
      </c>
      <c r="I224" s="1">
        <f t="shared" si="1"/>
        <v>-0.02818564643</v>
      </c>
      <c r="J224" s="1">
        <v>0.0</v>
      </c>
      <c r="K224" s="1">
        <f t="shared" si="2"/>
        <v>-0.02818564643</v>
      </c>
      <c r="L224" s="1">
        <f t="shared" si="3"/>
        <v>-2.818564643</v>
      </c>
      <c r="M224" s="1">
        <v>-0.86</v>
      </c>
    </row>
    <row r="225" ht="15.75" customHeight="1">
      <c r="A225" s="7">
        <v>44215.0</v>
      </c>
      <c r="B225" s="1">
        <v>57.939999</v>
      </c>
      <c r="C225" s="1">
        <v>58.34</v>
      </c>
      <c r="D225" s="1">
        <v>57.099998</v>
      </c>
      <c r="E225" s="1">
        <v>57.990002</v>
      </c>
      <c r="F225" s="1">
        <v>57.640129</v>
      </c>
      <c r="G225" s="1">
        <v>3.56471E7</v>
      </c>
      <c r="I225" s="1">
        <f t="shared" si="1"/>
        <v>0.007120486653</v>
      </c>
      <c r="J225" s="1">
        <v>0.0</v>
      </c>
      <c r="K225" s="1">
        <f t="shared" si="2"/>
        <v>0.007120486653</v>
      </c>
      <c r="L225" s="1">
        <f t="shared" si="3"/>
        <v>0.7120486653</v>
      </c>
      <c r="M225" s="1">
        <v>0.91</v>
      </c>
    </row>
    <row r="226" ht="15.75" customHeight="1">
      <c r="A226" s="7">
        <v>44216.0</v>
      </c>
      <c r="B226" s="1">
        <v>58.240002</v>
      </c>
      <c r="C226" s="1">
        <v>59.220001</v>
      </c>
      <c r="D226" s="1">
        <v>58.09</v>
      </c>
      <c r="E226" s="1">
        <v>58.669998</v>
      </c>
      <c r="F226" s="1">
        <v>58.316025</v>
      </c>
      <c r="G226" s="1">
        <v>2.87013E7</v>
      </c>
      <c r="I226" s="1">
        <f t="shared" si="1"/>
        <v>0.01172613614</v>
      </c>
      <c r="J226" s="1">
        <v>0.0</v>
      </c>
      <c r="K226" s="1">
        <f t="shared" si="2"/>
        <v>0.01172613614</v>
      </c>
      <c r="L226" s="1">
        <f t="shared" si="3"/>
        <v>1.172613614</v>
      </c>
      <c r="M226" s="1">
        <v>1.26</v>
      </c>
    </row>
    <row r="227" ht="15.75" customHeight="1">
      <c r="A227" s="7">
        <v>44217.0</v>
      </c>
      <c r="B227" s="1">
        <v>59.040001</v>
      </c>
      <c r="C227" s="1">
        <v>63.950001</v>
      </c>
      <c r="D227" s="1">
        <v>58.220001</v>
      </c>
      <c r="E227" s="1">
        <v>62.459999</v>
      </c>
      <c r="F227" s="1">
        <v>62.08316</v>
      </c>
      <c r="G227" s="1">
        <v>8.71565E7</v>
      </c>
      <c r="I227" s="1">
        <f t="shared" si="1"/>
        <v>0.06459862448</v>
      </c>
      <c r="J227" s="1">
        <v>0.0</v>
      </c>
      <c r="K227" s="1">
        <f t="shared" si="2"/>
        <v>0.06459862448</v>
      </c>
      <c r="L227" s="1">
        <f t="shared" si="3"/>
        <v>6.459862448</v>
      </c>
      <c r="M227" s="1">
        <v>-0.04</v>
      </c>
    </row>
    <row r="228" ht="15.75" customHeight="1">
      <c r="A228" s="7">
        <v>44218.0</v>
      </c>
      <c r="B228" s="1">
        <v>58.849998</v>
      </c>
      <c r="C228" s="1">
        <v>59.619999</v>
      </c>
      <c r="D228" s="1">
        <v>56.650002</v>
      </c>
      <c r="E228" s="1">
        <v>56.66</v>
      </c>
      <c r="F228" s="1">
        <v>56.318153</v>
      </c>
      <c r="G228" s="1">
        <v>8.57293E7</v>
      </c>
      <c r="I228" s="1">
        <f t="shared" si="1"/>
        <v>-0.09285943241</v>
      </c>
      <c r="J228" s="1">
        <v>0.0</v>
      </c>
      <c r="K228" s="1">
        <f t="shared" si="2"/>
        <v>-0.09285943241</v>
      </c>
      <c r="L228" s="1">
        <f t="shared" si="3"/>
        <v>-9.285943241</v>
      </c>
      <c r="M228" s="1">
        <v>-0.07</v>
      </c>
    </row>
    <row r="229" ht="15.75" customHeight="1">
      <c r="A229" s="7">
        <v>44221.0</v>
      </c>
      <c r="B229" s="1">
        <v>56.380001</v>
      </c>
      <c r="C229" s="1">
        <v>56.5</v>
      </c>
      <c r="D229" s="1">
        <v>54.060001</v>
      </c>
      <c r="E229" s="1">
        <v>55.439999</v>
      </c>
      <c r="F229" s="1">
        <v>55.105511</v>
      </c>
      <c r="G229" s="1">
        <v>6.19685E7</v>
      </c>
      <c r="I229" s="1">
        <f t="shared" si="1"/>
        <v>-0.02153199165</v>
      </c>
      <c r="J229" s="1">
        <v>0.0</v>
      </c>
      <c r="K229" s="1">
        <f t="shared" si="2"/>
        <v>-0.02153199165</v>
      </c>
      <c r="L229" s="1">
        <f t="shared" si="3"/>
        <v>-2.153199165</v>
      </c>
      <c r="M229" s="1">
        <v>0.28</v>
      </c>
    </row>
    <row r="230" ht="15.75" customHeight="1">
      <c r="A230" s="7">
        <v>44222.0</v>
      </c>
      <c r="B230" s="1">
        <v>55.279999</v>
      </c>
      <c r="C230" s="1">
        <v>56.200001</v>
      </c>
      <c r="D230" s="1">
        <v>54.849998</v>
      </c>
      <c r="E230" s="1">
        <v>55.209999</v>
      </c>
      <c r="F230" s="1">
        <v>54.8769</v>
      </c>
      <c r="G230" s="1">
        <v>3.14859E7</v>
      </c>
      <c r="I230" s="1">
        <f t="shared" si="1"/>
        <v>-0.004148605028</v>
      </c>
      <c r="J230" s="1">
        <v>0.0</v>
      </c>
      <c r="K230" s="1">
        <f t="shared" si="2"/>
        <v>-0.004148605028</v>
      </c>
      <c r="L230" s="1">
        <f t="shared" si="3"/>
        <v>-0.4148605028</v>
      </c>
      <c r="M230" s="1">
        <v>-0.32</v>
      </c>
    </row>
    <row r="231" ht="15.75" customHeight="1">
      <c r="A231" s="7">
        <v>44223.0</v>
      </c>
      <c r="B231" s="1">
        <v>54.610001</v>
      </c>
      <c r="C231" s="1">
        <v>54.849998</v>
      </c>
      <c r="D231" s="1">
        <v>53.299999</v>
      </c>
      <c r="E231" s="1">
        <v>53.59</v>
      </c>
      <c r="F231" s="1">
        <v>53.266674</v>
      </c>
      <c r="G231" s="1">
        <v>4.97229E7</v>
      </c>
      <c r="I231" s="1">
        <f t="shared" si="1"/>
        <v>-0.02934251024</v>
      </c>
      <c r="J231" s="1">
        <v>0.0</v>
      </c>
      <c r="K231" s="1">
        <f t="shared" si="2"/>
        <v>-0.02934251024</v>
      </c>
      <c r="L231" s="1">
        <f t="shared" si="3"/>
        <v>-2.934251024</v>
      </c>
      <c r="M231" s="1">
        <v>-2.53</v>
      </c>
    </row>
    <row r="232" ht="15.75" customHeight="1">
      <c r="A232" s="7">
        <v>44224.0</v>
      </c>
      <c r="B232" s="1">
        <v>54.790001</v>
      </c>
      <c r="C232" s="1">
        <v>57.400002</v>
      </c>
      <c r="D232" s="1">
        <v>54.700001</v>
      </c>
      <c r="E232" s="1">
        <v>56.07</v>
      </c>
      <c r="F232" s="1">
        <v>55.731712</v>
      </c>
      <c r="G232" s="1">
        <v>4.92026E7</v>
      </c>
      <c r="I232" s="1">
        <f t="shared" si="1"/>
        <v>0.04627730277</v>
      </c>
      <c r="J232" s="1">
        <v>0.0</v>
      </c>
      <c r="K232" s="1">
        <f t="shared" si="2"/>
        <v>0.04627730277</v>
      </c>
      <c r="L232" s="1">
        <f t="shared" si="3"/>
        <v>4.627730277</v>
      </c>
      <c r="M232" s="1">
        <v>0.92</v>
      </c>
    </row>
    <row r="233" ht="15.75" customHeight="1">
      <c r="A233" s="7">
        <v>44225.0</v>
      </c>
      <c r="B233" s="1">
        <v>55.98</v>
      </c>
      <c r="C233" s="1">
        <v>57.16</v>
      </c>
      <c r="D233" s="1">
        <v>55.360001</v>
      </c>
      <c r="E233" s="1">
        <v>55.509998</v>
      </c>
      <c r="F233" s="1">
        <v>55.175091</v>
      </c>
      <c r="G233" s="1">
        <v>3.7238E7</v>
      </c>
      <c r="I233" s="1">
        <f t="shared" si="1"/>
        <v>-0.009987509445</v>
      </c>
      <c r="J233" s="1">
        <v>0.0</v>
      </c>
      <c r="K233" s="1">
        <f t="shared" si="2"/>
        <v>-0.009987509445</v>
      </c>
      <c r="L233" s="1">
        <f t="shared" si="3"/>
        <v>-0.9987509445</v>
      </c>
      <c r="M233" s="1">
        <v>-1.84</v>
      </c>
    </row>
    <row r="234" ht="15.75" customHeight="1">
      <c r="A234" s="7">
        <v>44228.0</v>
      </c>
      <c r="B234" s="1">
        <v>55.950001</v>
      </c>
      <c r="C234" s="1">
        <v>57.389999</v>
      </c>
      <c r="D234" s="1">
        <v>55.709999</v>
      </c>
      <c r="E234" s="1">
        <v>56.689999</v>
      </c>
      <c r="F234" s="1">
        <v>56.347969</v>
      </c>
      <c r="G234" s="1">
        <v>2.69266E7</v>
      </c>
      <c r="I234" s="1">
        <f t="shared" si="1"/>
        <v>0.02125738225</v>
      </c>
      <c r="J234" s="1">
        <v>0.0</v>
      </c>
      <c r="K234" s="1">
        <f t="shared" si="2"/>
        <v>0.02125738225</v>
      </c>
      <c r="L234" s="1">
        <f t="shared" si="3"/>
        <v>2.125738225</v>
      </c>
      <c r="M234" s="1">
        <v>1.73</v>
      </c>
    </row>
    <row r="235" ht="15.75" customHeight="1">
      <c r="A235" s="7">
        <v>44229.0</v>
      </c>
      <c r="B235" s="1">
        <v>57.189999</v>
      </c>
      <c r="C235" s="1">
        <v>58.279999</v>
      </c>
      <c r="D235" s="1">
        <v>56.880001</v>
      </c>
      <c r="E235" s="1">
        <v>58.0</v>
      </c>
      <c r="F235" s="1">
        <v>57.65007</v>
      </c>
      <c r="G235" s="1">
        <v>2.35809E7</v>
      </c>
      <c r="I235" s="1">
        <f t="shared" si="1"/>
        <v>0.02310821531</v>
      </c>
      <c r="J235" s="1">
        <v>0.0</v>
      </c>
      <c r="K235" s="1">
        <f t="shared" si="2"/>
        <v>0.02310821531</v>
      </c>
      <c r="L235" s="1">
        <f t="shared" si="3"/>
        <v>2.310821531</v>
      </c>
      <c r="M235" s="1">
        <v>1.48</v>
      </c>
    </row>
    <row r="236" ht="15.75" customHeight="1">
      <c r="A236" s="7">
        <v>44230.0</v>
      </c>
      <c r="B236" s="1">
        <v>57.889999</v>
      </c>
      <c r="C236" s="1">
        <v>58.330002</v>
      </c>
      <c r="D236" s="1">
        <v>57.380001</v>
      </c>
      <c r="E236" s="1">
        <v>57.68</v>
      </c>
      <c r="F236" s="1">
        <v>57.332001</v>
      </c>
      <c r="G236" s="1">
        <v>2.18932E7</v>
      </c>
      <c r="I236" s="1">
        <f t="shared" si="1"/>
        <v>-0.005517235278</v>
      </c>
      <c r="J236" s="1">
        <v>0.0</v>
      </c>
      <c r="K236" s="1">
        <f t="shared" si="2"/>
        <v>-0.005517235278</v>
      </c>
      <c r="L236" s="1">
        <f t="shared" si="3"/>
        <v>-0.5517235278</v>
      </c>
      <c r="M236" s="1">
        <v>0.16</v>
      </c>
    </row>
    <row r="237" ht="15.75" customHeight="1">
      <c r="A237" s="7">
        <v>44231.0</v>
      </c>
      <c r="B237" s="1">
        <v>57.610001</v>
      </c>
      <c r="C237" s="1">
        <v>58.880001</v>
      </c>
      <c r="D237" s="1">
        <v>57.189999</v>
      </c>
      <c r="E237" s="1">
        <v>58.790001</v>
      </c>
      <c r="F237" s="1">
        <v>58.790001</v>
      </c>
      <c r="G237" s="1">
        <v>2.98538E7</v>
      </c>
      <c r="I237" s="1">
        <f t="shared" si="1"/>
        <v>0.02543082353</v>
      </c>
      <c r="J237" s="1">
        <v>0.0</v>
      </c>
      <c r="K237" s="1">
        <f t="shared" si="2"/>
        <v>0.02543082353</v>
      </c>
      <c r="L237" s="1">
        <f t="shared" si="3"/>
        <v>2.543082353</v>
      </c>
      <c r="M237" s="1">
        <v>1.23</v>
      </c>
    </row>
    <row r="238" ht="15.75" customHeight="1">
      <c r="A238" s="7">
        <v>44232.0</v>
      </c>
      <c r="B238" s="1">
        <v>59.0</v>
      </c>
      <c r="C238" s="1">
        <v>59.080002</v>
      </c>
      <c r="D238" s="1">
        <v>58.119999</v>
      </c>
      <c r="E238" s="1">
        <v>58.18</v>
      </c>
      <c r="F238" s="1">
        <v>58.18</v>
      </c>
      <c r="G238" s="1">
        <v>2.34224E7</v>
      </c>
      <c r="I238" s="1">
        <f t="shared" si="1"/>
        <v>-0.0103759311</v>
      </c>
      <c r="J238" s="1">
        <v>0.0</v>
      </c>
      <c r="K238" s="1">
        <f t="shared" si="2"/>
        <v>-0.0103759311</v>
      </c>
      <c r="L238" s="1">
        <f t="shared" si="3"/>
        <v>-1.03759311</v>
      </c>
      <c r="M238" s="1">
        <v>0.58</v>
      </c>
    </row>
    <row r="239" ht="15.75" customHeight="1">
      <c r="A239" s="7">
        <v>44235.0</v>
      </c>
      <c r="B239" s="1">
        <v>58.380001</v>
      </c>
      <c r="C239" s="1">
        <v>59.220001</v>
      </c>
      <c r="D239" s="1">
        <v>57.950001</v>
      </c>
      <c r="E239" s="1">
        <v>59.16</v>
      </c>
      <c r="F239" s="1">
        <v>59.16</v>
      </c>
      <c r="G239" s="1">
        <v>3.43583E7</v>
      </c>
      <c r="I239" s="1">
        <f t="shared" si="1"/>
        <v>0.01684427638</v>
      </c>
      <c r="J239" s="1">
        <v>0.0</v>
      </c>
      <c r="K239" s="1">
        <f t="shared" si="2"/>
        <v>0.01684427638</v>
      </c>
      <c r="L239" s="1">
        <f t="shared" si="3"/>
        <v>1.684427638</v>
      </c>
      <c r="M239" s="1">
        <v>0.96</v>
      </c>
    </row>
    <row r="240" ht="15.75" customHeight="1">
      <c r="A240" s="7">
        <v>44236.0</v>
      </c>
      <c r="B240" s="1">
        <v>58.77</v>
      </c>
      <c r="C240" s="1">
        <v>59.310001</v>
      </c>
      <c r="D240" s="1">
        <v>57.939999</v>
      </c>
      <c r="E240" s="1">
        <v>58.779999</v>
      </c>
      <c r="F240" s="1">
        <v>58.779999</v>
      </c>
      <c r="G240" s="1">
        <v>2.87541E7</v>
      </c>
      <c r="I240" s="1">
        <f t="shared" si="1"/>
        <v>-0.006423275862</v>
      </c>
      <c r="J240" s="1">
        <v>0.0</v>
      </c>
      <c r="K240" s="1">
        <f t="shared" si="2"/>
        <v>-0.006423275862</v>
      </c>
      <c r="L240" s="1">
        <f t="shared" si="3"/>
        <v>-0.6423275862</v>
      </c>
      <c r="M240" s="1">
        <v>0.05</v>
      </c>
    </row>
    <row r="241" ht="15.75" customHeight="1">
      <c r="A241" s="7">
        <v>44237.0</v>
      </c>
      <c r="B241" s="1">
        <v>59.299999</v>
      </c>
      <c r="C241" s="1">
        <v>59.419998</v>
      </c>
      <c r="D241" s="1">
        <v>58.119999</v>
      </c>
      <c r="E241" s="1">
        <v>58.860001</v>
      </c>
      <c r="F241" s="1">
        <v>58.860001</v>
      </c>
      <c r="G241" s="1">
        <v>1.63251E7</v>
      </c>
      <c r="I241" s="1">
        <f t="shared" si="1"/>
        <v>0.001361041194</v>
      </c>
      <c r="J241" s="1">
        <v>0.0</v>
      </c>
      <c r="K241" s="1">
        <f t="shared" si="2"/>
        <v>0.001361041194</v>
      </c>
      <c r="L241" s="1">
        <f t="shared" si="3"/>
        <v>0.1361041194</v>
      </c>
      <c r="M241" s="1">
        <v>-0.07</v>
      </c>
    </row>
    <row r="242" ht="15.75" customHeight="1">
      <c r="A242" s="7">
        <v>44238.0</v>
      </c>
      <c r="B242" s="1">
        <v>59.099998</v>
      </c>
      <c r="C242" s="1">
        <v>60.990002</v>
      </c>
      <c r="D242" s="1">
        <v>58.860001</v>
      </c>
      <c r="E242" s="1">
        <v>60.66</v>
      </c>
      <c r="F242" s="1">
        <v>60.66</v>
      </c>
      <c r="G242" s="1">
        <v>2.75001E7</v>
      </c>
      <c r="I242" s="1">
        <f t="shared" si="1"/>
        <v>0.03058102225</v>
      </c>
      <c r="J242" s="1">
        <v>0.0</v>
      </c>
      <c r="K242" s="1">
        <f t="shared" si="2"/>
        <v>0.03058102225</v>
      </c>
      <c r="L242" s="1">
        <f t="shared" si="3"/>
        <v>3.058102225</v>
      </c>
      <c r="M242" s="1">
        <v>0.19</v>
      </c>
    </row>
    <row r="243" ht="15.75" customHeight="1">
      <c r="A243" s="7">
        <v>44239.0</v>
      </c>
      <c r="B243" s="1">
        <v>60.599998</v>
      </c>
      <c r="C243" s="1">
        <v>62.509998</v>
      </c>
      <c r="D243" s="1">
        <v>60.43</v>
      </c>
      <c r="E243" s="1">
        <v>61.810001</v>
      </c>
      <c r="F243" s="1">
        <v>61.810001</v>
      </c>
      <c r="G243" s="1">
        <v>2.61979E7</v>
      </c>
      <c r="I243" s="1">
        <f t="shared" si="1"/>
        <v>0.01895814375</v>
      </c>
      <c r="J243" s="1">
        <v>0.0</v>
      </c>
      <c r="K243" s="1">
        <f t="shared" si="2"/>
        <v>0.01895814375</v>
      </c>
      <c r="L243" s="1">
        <f t="shared" si="3"/>
        <v>1.895814375</v>
      </c>
      <c r="M243" s="1">
        <v>0.49</v>
      </c>
    </row>
    <row r="244" ht="15.75" customHeight="1">
      <c r="A244" s="7">
        <v>44243.0</v>
      </c>
      <c r="B244" s="1">
        <v>62.0</v>
      </c>
      <c r="C244" s="1">
        <v>62.869999</v>
      </c>
      <c r="D244" s="1">
        <v>61.700001</v>
      </c>
      <c r="E244" s="1">
        <v>62.470001</v>
      </c>
      <c r="F244" s="1">
        <v>62.470001</v>
      </c>
      <c r="G244" s="1">
        <v>2.63263E7</v>
      </c>
      <c r="I244" s="1">
        <f t="shared" si="1"/>
        <v>0.01067788366</v>
      </c>
      <c r="J244" s="1">
        <v>0.0</v>
      </c>
      <c r="K244" s="1">
        <f t="shared" si="2"/>
        <v>0.01067788366</v>
      </c>
      <c r="L244" s="1">
        <f t="shared" si="3"/>
        <v>1.067788366</v>
      </c>
      <c r="M244" s="1">
        <v>-0.14</v>
      </c>
    </row>
    <row r="245" ht="15.75" customHeight="1">
      <c r="A245" s="7">
        <v>44244.0</v>
      </c>
      <c r="B245" s="1">
        <v>61.490002</v>
      </c>
      <c r="C245" s="1">
        <v>62.189999</v>
      </c>
      <c r="D245" s="1">
        <v>61.209999</v>
      </c>
      <c r="E245" s="1">
        <v>61.849998</v>
      </c>
      <c r="F245" s="1">
        <v>61.849998</v>
      </c>
      <c r="G245" s="1">
        <v>2.10554E7</v>
      </c>
      <c r="I245" s="1">
        <f t="shared" si="1"/>
        <v>-0.009924811751</v>
      </c>
      <c r="J245" s="1">
        <v>0.0</v>
      </c>
      <c r="K245" s="1">
        <f t="shared" si="2"/>
        <v>-0.009924811751</v>
      </c>
      <c r="L245" s="1">
        <f t="shared" si="3"/>
        <v>-0.9924811751</v>
      </c>
      <c r="M245" s="1">
        <v>-0.2</v>
      </c>
    </row>
    <row r="246" ht="15.75" customHeight="1">
      <c r="A246" s="7">
        <v>44245.0</v>
      </c>
      <c r="B246" s="1">
        <v>60.650002</v>
      </c>
      <c r="C246" s="1">
        <v>61.98</v>
      </c>
      <c r="D246" s="1">
        <v>60.639999</v>
      </c>
      <c r="E246" s="1">
        <v>61.610001</v>
      </c>
      <c r="F246" s="1">
        <v>61.610001</v>
      </c>
      <c r="G246" s="1">
        <v>1.78461E7</v>
      </c>
      <c r="I246" s="1">
        <f t="shared" si="1"/>
        <v>-0.00388030732</v>
      </c>
      <c r="J246" s="1">
        <v>0.0</v>
      </c>
      <c r="K246" s="1">
        <f t="shared" si="2"/>
        <v>-0.00388030732</v>
      </c>
      <c r="L246" s="1">
        <f t="shared" si="3"/>
        <v>-0.388030732</v>
      </c>
      <c r="M246" s="1">
        <v>-0.63</v>
      </c>
    </row>
    <row r="247" ht="15.75" customHeight="1">
      <c r="A247" s="7">
        <v>44246.0</v>
      </c>
      <c r="B247" s="1">
        <v>61.91</v>
      </c>
      <c r="C247" s="1">
        <v>63.259998</v>
      </c>
      <c r="D247" s="1">
        <v>61.849998</v>
      </c>
      <c r="E247" s="1">
        <v>63.009998</v>
      </c>
      <c r="F247" s="1">
        <v>63.009998</v>
      </c>
      <c r="G247" s="1">
        <v>2.82901E7</v>
      </c>
      <c r="I247" s="1">
        <f t="shared" si="1"/>
        <v>0.02272353477</v>
      </c>
      <c r="J247" s="1">
        <v>0.0</v>
      </c>
      <c r="K247" s="1">
        <f t="shared" si="2"/>
        <v>0.02272353477</v>
      </c>
      <c r="L247" s="1">
        <f t="shared" si="3"/>
        <v>2.272353477</v>
      </c>
      <c r="M247" s="1">
        <v>0.16</v>
      </c>
    </row>
    <row r="248" ht="15.75" customHeight="1">
      <c r="A248" s="7">
        <v>44249.0</v>
      </c>
      <c r="B248" s="1">
        <v>61.880001</v>
      </c>
      <c r="C248" s="1">
        <v>62.700001</v>
      </c>
      <c r="D248" s="1">
        <v>60.66</v>
      </c>
      <c r="E248" s="1">
        <v>60.709999</v>
      </c>
      <c r="F248" s="1">
        <v>60.709999</v>
      </c>
      <c r="G248" s="1">
        <v>3.22882E7</v>
      </c>
      <c r="I248" s="1">
        <f t="shared" si="1"/>
        <v>-0.03650212781</v>
      </c>
      <c r="J248" s="1">
        <v>0.0</v>
      </c>
      <c r="K248" s="1">
        <f t="shared" si="2"/>
        <v>-0.03650212781</v>
      </c>
      <c r="L248" s="1">
        <f t="shared" si="3"/>
        <v>-3.650212781</v>
      </c>
      <c r="M248" s="1">
        <v>-1.12</v>
      </c>
    </row>
    <row r="249" ht="15.75" customHeight="1">
      <c r="A249" s="7">
        <v>44250.0</v>
      </c>
      <c r="B249" s="1">
        <v>60.48</v>
      </c>
      <c r="C249" s="1">
        <v>61.5</v>
      </c>
      <c r="D249" s="1">
        <v>59.169998</v>
      </c>
      <c r="E249" s="1">
        <v>61.119999</v>
      </c>
      <c r="F249" s="1">
        <v>61.119999</v>
      </c>
      <c r="G249" s="1">
        <v>2.73746E7</v>
      </c>
      <c r="I249" s="1">
        <f t="shared" si="1"/>
        <v>0.006753418</v>
      </c>
      <c r="J249" s="1">
        <v>0.0</v>
      </c>
      <c r="K249" s="1">
        <f t="shared" si="2"/>
        <v>0.006753418</v>
      </c>
      <c r="L249" s="1">
        <f t="shared" si="3"/>
        <v>0.6753418</v>
      </c>
      <c r="M249" s="1">
        <v>-0.15</v>
      </c>
    </row>
    <row r="250" ht="15.75" customHeight="1">
      <c r="A250" s="7">
        <v>44251.0</v>
      </c>
      <c r="B250" s="1">
        <v>60.529999</v>
      </c>
      <c r="C250" s="1">
        <v>63.279999</v>
      </c>
      <c r="D250" s="1">
        <v>60.380001</v>
      </c>
      <c r="E250" s="1">
        <v>63.189999</v>
      </c>
      <c r="F250" s="1">
        <v>63.189999</v>
      </c>
      <c r="G250" s="1">
        <v>2.46699E7</v>
      </c>
      <c r="I250" s="1">
        <f t="shared" si="1"/>
        <v>0.0338678016</v>
      </c>
      <c r="J250" s="1">
        <v>0.0</v>
      </c>
      <c r="K250" s="1">
        <f t="shared" si="2"/>
        <v>0.0338678016</v>
      </c>
      <c r="L250" s="1">
        <f t="shared" si="3"/>
        <v>3.38678016</v>
      </c>
      <c r="M250" s="1">
        <v>1.15</v>
      </c>
    </row>
    <row r="251" ht="15.75" customHeight="1">
      <c r="A251" s="7">
        <v>44252.0</v>
      </c>
      <c r="B251" s="1">
        <v>62.41</v>
      </c>
      <c r="C251" s="1">
        <v>63.540001</v>
      </c>
      <c r="D251" s="1">
        <v>60.130001</v>
      </c>
      <c r="E251" s="1">
        <v>60.400002</v>
      </c>
      <c r="F251" s="1">
        <v>60.400002</v>
      </c>
      <c r="G251" s="1">
        <v>3.6394E7</v>
      </c>
      <c r="I251" s="1">
        <f t="shared" si="1"/>
        <v>-0.04415250901</v>
      </c>
      <c r="J251" s="1">
        <v>0.0</v>
      </c>
      <c r="K251" s="1">
        <f t="shared" si="2"/>
        <v>-0.04415250901</v>
      </c>
      <c r="L251" s="1">
        <f t="shared" si="3"/>
        <v>-4.415250901</v>
      </c>
      <c r="M251" s="1">
        <v>-2.73</v>
      </c>
    </row>
    <row r="252" ht="15.75" customHeight="1">
      <c r="A252" s="7">
        <v>44253.0</v>
      </c>
      <c r="B252" s="1">
        <v>60.889999</v>
      </c>
      <c r="C252" s="1">
        <v>61.689999</v>
      </c>
      <c r="D252" s="1">
        <v>59.68</v>
      </c>
      <c r="E252" s="1">
        <v>60.779999</v>
      </c>
      <c r="F252" s="1">
        <v>60.779999</v>
      </c>
      <c r="G252" s="1">
        <v>3.82104E7</v>
      </c>
      <c r="I252" s="1">
        <f t="shared" si="1"/>
        <v>0.006291340851</v>
      </c>
      <c r="J252" s="1">
        <v>0.0</v>
      </c>
      <c r="K252" s="1">
        <f t="shared" si="2"/>
        <v>0.006291340851</v>
      </c>
      <c r="L252" s="1">
        <f t="shared" si="3"/>
        <v>0.6291340851</v>
      </c>
      <c r="M252" s="1">
        <v>-0.28</v>
      </c>
    </row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1.0" footer="0.0" header="0.0" left="0.75" right="0.75" top="1.0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2021-04-29T13:57:47Z</dcterms:created>
  <dc:creator>Microsoft Office User</dc:creator>
</cp:coreProperties>
</file>