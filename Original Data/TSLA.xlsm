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5FA49F40-930A-794A-A39B-0A6BBD6A283C}" xr6:coauthVersionLast="46" xr6:coauthVersionMax="46" xr10:uidLastSave="{00000000-0000-0000-0000-000000000000}"/>
  <bookViews>
    <workbookView xWindow="1980" yWindow="2460" windowWidth="26440" windowHeight="14240" xr2:uid="{00000000-000D-0000-FFFF-FFFF00000000}"/>
  </bookViews>
  <sheets>
    <sheet name="Sheet1" sheetId="2" r:id="rId1"/>
    <sheet name="Sheet2" sheetId="3" r:id="rId2"/>
    <sheet name="TSLA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<sst xmlns="http://schemas.openxmlformats.org/spreadsheetml/2006/main" count="64" uniqueCount="39">
  <si>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</si>
  <si>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</si>
  <si>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</si>
  <si>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</si>
  <si>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</si>
  <si>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</si>
  <si>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</si>
  <si>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>Mkt-RF</t>
  </si>
  <si>
    <t>TSLA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</si>
  <si>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</si>
  <si>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</si>
  <si>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</si>
  <si>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</si>
  <si>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</si>
  <si>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</si>
  <si>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</si>
  <si>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</si>
  <si>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</si>
  <si>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</si>
  <si>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</si>
  <si>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</si>
  <si>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</si>
  <si>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</si>
  <si>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</si>
  <si>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</si>
  <si>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</si>
  <si>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</si>
  <si>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</si>
  <si>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</si>
  <si>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</si>
  <si>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</si>
  <si>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</si>
  <si>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</si>
  <si>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</si>
  <si>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Daily Return</t>
  </si>
  <si>
    <t>RF rate</t>
  </si>
  <si>
    <t>Excess Return for TSLA</t>
  </si>
  <si>
    <t>Intercept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</si>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</sst>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tabSelected="1" workbookViewId="0">
      <selection activeCell="C27" sqref="C27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0.52280121493416909</v>
      </c>
    </row>
    <row r="5" spans="1:9" x14ac:dyDescent="0.2">
      <c r="A5" s="2" t="s">
        <v>12</v>
      </c>
      <c r="B5" s="2">
        <v>0.2733211103366433</v>
      </c>
    </row>
    <row r="6" spans="1:9" x14ac:dyDescent="0.2">
      <c r="A6" s="2" t="s">
        <v>13</v>
      </c>
      <c r="B6" s="2">
        <v>0.27039095352348463</v>
      </c>
    </row>
    <row r="7" spans="1:9" x14ac:dyDescent="0.2">
      <c r="A7" s="2" t="s">
        <v>14</v>
      </c>
      <c r="B7" s="2">
        <v>4.515546507396099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1901.9668904076507</v>
      </c>
      <c r="D12" s="2">
        <v>1901.9668904076507</v>
      </c>
      <c r="E12" s="2">
        <v>93.278663144995406</v>
      </c>
      <c r="F12" s="2">
        <v>6.136382619077651E-19</v>
      </c>
    </row>
    <row r="13" spans="1:9" x14ac:dyDescent="0.2">
      <c r="A13" s="2" t="s">
        <v>18</v>
      </c>
      <c r="B13" s="2">
        <v>248</v>
      </c>
      <c r="C13" s="2">
        <v>5056.7597445933634</v>
      </c>
      <c r="D13" s="2">
        <v>20.390160260457112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6958.7266350010141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0.52067861382228198</v>
      </c>
      <c r="C17" s="2">
        <v>0.28616262956431054</v>
      </c>
      <c r="D17" s="2">
        <v>1.8195199513473428</v>
      </c>
      <c r="E17" s="2">
        <v>7.0037831922741364E-2</v>
      </c>
      <c r="F17" s="2">
        <v>-4.2940334345209163E-2</v>
      </c>
      <c r="G17" s="2">
        <v>1.0842975619897732</v>
      </c>
      <c r="H17" s="2">
        <v>-4.2940334345209163E-2</v>
      </c>
      <c r="I17" s="2">
        <v>1.0842975619897732</v>
      </c>
    </row>
    <row r="18" spans="1:9" ht="17" thickBot="1" x14ac:dyDescent="0.25">
      <c r="A18" s="3" t="s">
        <v>33</v>
      </c>
      <c r="B18" s="3">
        <v>1.2861887993844563</v>
      </c>
      <c r="C18" s="3">
        <v>0.13317219764500182</v>
      </c>
      <c r="D18" s="3">
        <v>9.6580879652753033</v>
      </c>
      <c r="E18" s="3">
        <v>6.1363826190770771E-19</v>
      </c>
      <c r="F18" s="3">
        <v>1.0238960811629774</v>
      </c>
      <c r="G18" s="3">
        <v>1.5484815176059352</v>
      </c>
      <c r="H18" s="3">
        <v>1.0238960811629774</v>
      </c>
      <c r="I18" s="3">
        <v>1.5484815176059352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39D-9760-714A-99A8-34FDDA911071}">
  <dimension ref="A1:I18"/>
  <sheetViews>
    <sheetView workbookViewId="0">
      <selection activeCell="J15" sqref="J15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0.49227755747106289</v>
      </c>
    </row>
    <row r="5" spans="1:9" x14ac:dyDescent="0.2">
      <c r="A5" s="2" t="s">
        <v>12</v>
      </c>
      <c r="B5" s="2">
        <v>0.24233719358967562</v>
      </c>
    </row>
    <row r="6" spans="1:9" x14ac:dyDescent="0.2">
      <c r="A6" s="2" t="s">
        <v>13</v>
      </c>
      <c r="B6" s="2">
        <v>0.2389994719755332</v>
      </c>
    </row>
    <row r="7" spans="1:9" x14ac:dyDescent="0.2">
      <c r="A7" s="2" t="s">
        <v>14</v>
      </c>
      <c r="B7" s="2">
        <v>4.1484143860338518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1249.4941478413484</v>
      </c>
      <c r="D12" s="2">
        <v>1249.4941478413484</v>
      </c>
      <c r="E12" s="2">
        <v>72.605573982820701</v>
      </c>
      <c r="F12" s="2">
        <v>2.2182988304014691E-15</v>
      </c>
    </row>
    <row r="13" spans="1:9" x14ac:dyDescent="0.2">
      <c r="A13" s="2" t="s">
        <v>18</v>
      </c>
      <c r="B13" s="2">
        <v>227</v>
      </c>
      <c r="C13" s="2">
        <v>3906.5206154433454</v>
      </c>
      <c r="D13" s="2">
        <v>17.209341918252623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5156.0147632846938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37</v>
      </c>
      <c r="B17" s="2">
        <v>0.56878045571914981</v>
      </c>
      <c r="C17" s="2">
        <v>0.27738522084258216</v>
      </c>
      <c r="D17" s="2">
        <v>2.0505074278702695</v>
      </c>
      <c r="E17" s="2">
        <v>4.1463680446902178E-2</v>
      </c>
      <c r="F17" s="2">
        <v>2.2201334788744753E-2</v>
      </c>
      <c r="G17" s="2">
        <v>1.115359576649555</v>
      </c>
      <c r="H17" s="2">
        <v>2.2201334788744753E-2</v>
      </c>
      <c r="I17" s="2">
        <v>1.115359576649555</v>
      </c>
    </row>
    <row r="18" spans="1:9" ht="17" thickBot="1" x14ac:dyDescent="0.25">
      <c r="A18" s="3" t="s">
        <v>38</v>
      </c>
      <c r="B18" s="3">
        <v>1.6856871527689008</v>
      </c>
      <c r="C18" s="3">
        <v>0.19782992910973296</v>
      </c>
      <c r="D18" s="3">
        <v>8.5208904454182886</v>
      </c>
      <c r="E18" s="3">
        <v>2.2182988304014923E-15</v>
      </c>
      <c r="F18" s="3">
        <v>1.2958693087681692</v>
      </c>
      <c r="G18" s="3">
        <v>2.0755049967696326</v>
      </c>
      <c r="H18" s="3">
        <v>1.2958693087681692</v>
      </c>
      <c r="I18" s="3">
        <v>2.0755049967696326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N5" sqref="N5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142.25199900000001</v>
      </c>
      <c r="C2">
        <v>148.73800700000001</v>
      </c>
      <c r="D2">
        <v>137.334</v>
      </c>
      <c r="E2">
        <v>148.72399899999999</v>
      </c>
      <c r="F2">
        <v>148.72399899999999</v>
      </c>
      <c r="G2">
        <v>100975000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161</v>
      </c>
      <c r="C3">
        <v>161.395996</v>
      </c>
      <c r="D3">
        <v>143.22200000000001</v>
      </c>
      <c r="E3">
        <v>149.10200499999999</v>
      </c>
      <c r="F3">
        <v>149.10200499999999</v>
      </c>
      <c r="G3">
        <v>128920000</v>
      </c>
      <c r="I3">
        <f>(F3-F2)/F2</f>
        <v>2.541661080536163E-3</v>
      </c>
      <c r="J3">
        <v>6.0000000000000001E-3</v>
      </c>
      <c r="K3">
        <f>I3-J3</f>
        <v>-3.4583389194638371E-3</v>
      </c>
      <c r="L3">
        <f>100*K3</f>
        <v>-0.3458338919463837</v>
      </c>
      <c r="M3">
        <v>-2.79</v>
      </c>
    </row>
    <row r="4" spans="1:13" x14ac:dyDescent="0.2">
      <c r="A4" s="1">
        <v>43894</v>
      </c>
      <c r="B4">
        <v>152.79200700000001</v>
      </c>
      <c r="C4">
        <v>153.304001</v>
      </c>
      <c r="D4">
        <v>144.945999</v>
      </c>
      <c r="E4">
        <v>149.89999399999999</v>
      </c>
      <c r="F4">
        <v>149.89999399999999</v>
      </c>
      <c r="G4">
        <v>75245000</v>
      </c>
      <c r="I4">
        <f>(F4-F3)/F3</f>
        <v>5.3519669302904494E-3</v>
      </c>
      <c r="J4">
        <v>6.0000000000000001E-3</v>
      </c>
      <c r="K4">
        <f t="shared" ref="K4:K67" si="0">I4-J4</f>
        <v>-6.4803306970955075E-4</v>
      </c>
      <c r="L4">
        <f t="shared" ref="L4:L67" si="1">100*K4</f>
        <v>-6.4803306970955071E-2</v>
      </c>
      <c r="M4">
        <v>4.03</v>
      </c>
    </row>
    <row r="5" spans="1:13" x14ac:dyDescent="0.2">
      <c r="A5" s="1">
        <v>43895</v>
      </c>
      <c r="B5">
        <v>144.753998</v>
      </c>
      <c r="C5">
        <v>149.14999399999999</v>
      </c>
      <c r="D5">
        <v>143.61399800000001</v>
      </c>
      <c r="E5">
        <v>144.908005</v>
      </c>
      <c r="F5">
        <v>144.908005</v>
      </c>
      <c r="G5">
        <v>54263500</v>
      </c>
      <c r="I5">
        <f t="shared" ref="I5:I68" si="2">(F5-F4)/F4</f>
        <v>-3.3302129418364017E-2</v>
      </c>
      <c r="J5">
        <v>6.0000000000000001E-3</v>
      </c>
      <c r="K5">
        <f t="shared" si="0"/>
        <v>-3.9302129418364015E-2</v>
      </c>
      <c r="L5">
        <f t="shared" si="1"/>
        <v>-3.9302129418364014</v>
      </c>
      <c r="M5">
        <v>-3.38</v>
      </c>
    </row>
    <row r="6" spans="1:13" x14ac:dyDescent="0.2">
      <c r="A6" s="1">
        <v>43896</v>
      </c>
      <c r="B6">
        <v>138</v>
      </c>
      <c r="C6">
        <v>141.39999399999999</v>
      </c>
      <c r="D6">
        <v>136.854004</v>
      </c>
      <c r="E6">
        <v>140.695999</v>
      </c>
      <c r="F6">
        <v>140.695999</v>
      </c>
      <c r="G6">
        <v>63314500</v>
      </c>
      <c r="I6">
        <f t="shared" si="2"/>
        <v>-2.9066758596255619E-2</v>
      </c>
      <c r="J6">
        <v>6.0000000000000001E-3</v>
      </c>
      <c r="K6">
        <f t="shared" si="0"/>
        <v>-3.5066758596255618E-2</v>
      </c>
      <c r="L6">
        <f t="shared" si="1"/>
        <v>-3.5066758596255618</v>
      </c>
      <c r="M6">
        <v>-1.78</v>
      </c>
    </row>
    <row r="7" spans="1:13" x14ac:dyDescent="0.2">
      <c r="A7" s="1">
        <v>43899</v>
      </c>
      <c r="B7">
        <v>121.078003</v>
      </c>
      <c r="C7">
        <v>132.60000600000001</v>
      </c>
      <c r="D7">
        <v>121</v>
      </c>
      <c r="E7">
        <v>121.599998</v>
      </c>
      <c r="F7">
        <v>121.599998</v>
      </c>
      <c r="G7">
        <v>85368500</v>
      </c>
      <c r="I7">
        <f t="shared" si="2"/>
        <v>-0.13572525967849308</v>
      </c>
      <c r="J7">
        <v>6.0000000000000001E-3</v>
      </c>
      <c r="K7">
        <f t="shared" si="0"/>
        <v>-0.14172525967849309</v>
      </c>
      <c r="L7">
        <f t="shared" si="1"/>
        <v>-14.172525967849309</v>
      </c>
      <c r="M7">
        <v>-7.79</v>
      </c>
    </row>
    <row r="8" spans="1:13" x14ac:dyDescent="0.2">
      <c r="A8" s="1">
        <v>43900</v>
      </c>
      <c r="B8">
        <v>131.88600199999999</v>
      </c>
      <c r="C8">
        <v>133.60000600000001</v>
      </c>
      <c r="D8">
        <v>121.599998</v>
      </c>
      <c r="E8">
        <v>129.06599399999999</v>
      </c>
      <c r="F8">
        <v>129.06599399999999</v>
      </c>
      <c r="G8">
        <v>77972000</v>
      </c>
      <c r="I8">
        <f t="shared" si="2"/>
        <v>6.1397994430887982E-2</v>
      </c>
      <c r="J8">
        <v>6.0000000000000001E-3</v>
      </c>
      <c r="K8">
        <f t="shared" si="0"/>
        <v>5.5397994430887984E-2</v>
      </c>
      <c r="L8">
        <f t="shared" si="1"/>
        <v>5.539799443088798</v>
      </c>
      <c r="M8">
        <v>4.74</v>
      </c>
    </row>
    <row r="9" spans="1:13" x14ac:dyDescent="0.2">
      <c r="A9" s="1">
        <v>43901</v>
      </c>
      <c r="B9">
        <v>128.03999300000001</v>
      </c>
      <c r="C9">
        <v>130.716003</v>
      </c>
      <c r="D9">
        <v>122.599998</v>
      </c>
      <c r="E9">
        <v>126.846001</v>
      </c>
      <c r="F9">
        <v>126.846001</v>
      </c>
      <c r="G9">
        <v>66612500</v>
      </c>
      <c r="I9">
        <f t="shared" si="2"/>
        <v>-1.7200448632503373E-2</v>
      </c>
      <c r="J9">
        <v>6.0000000000000001E-3</v>
      </c>
      <c r="K9">
        <f t="shared" si="0"/>
        <v>-2.3200448632503375E-2</v>
      </c>
      <c r="L9">
        <f t="shared" si="1"/>
        <v>-2.3200448632503377</v>
      </c>
      <c r="M9">
        <v>-5.05</v>
      </c>
    </row>
    <row r="10" spans="1:13" x14ac:dyDescent="0.2">
      <c r="A10" s="1">
        <v>43902</v>
      </c>
      <c r="B10">
        <v>116.17800099999999</v>
      </c>
      <c r="C10">
        <v>118.900002</v>
      </c>
      <c r="D10">
        <v>109.25</v>
      </c>
      <c r="E10">
        <v>112.110001</v>
      </c>
      <c r="F10">
        <v>112.110001</v>
      </c>
      <c r="G10">
        <v>94545500</v>
      </c>
      <c r="I10">
        <f t="shared" si="2"/>
        <v>-0.11617236557579773</v>
      </c>
      <c r="J10">
        <v>6.0000000000000001E-3</v>
      </c>
      <c r="K10">
        <f t="shared" si="0"/>
        <v>-0.12217236557579773</v>
      </c>
      <c r="L10">
        <f t="shared" si="1"/>
        <v>-12.217236557579774</v>
      </c>
      <c r="M10">
        <v>-9.6300000000000008</v>
      </c>
    </row>
    <row r="11" spans="1:13" x14ac:dyDescent="0.2">
      <c r="A11" s="1">
        <v>43903</v>
      </c>
      <c r="B11">
        <v>119</v>
      </c>
      <c r="C11">
        <v>121.514</v>
      </c>
      <c r="D11">
        <v>100.400002</v>
      </c>
      <c r="E11">
        <v>109.32399700000001</v>
      </c>
      <c r="F11">
        <v>109.32399700000001</v>
      </c>
      <c r="G11">
        <v>113201500</v>
      </c>
      <c r="I11">
        <f t="shared" si="2"/>
        <v>-2.4850628625005464E-2</v>
      </c>
      <c r="J11">
        <v>6.0000000000000001E-3</v>
      </c>
      <c r="K11">
        <f t="shared" si="0"/>
        <v>-3.0850628625005462E-2</v>
      </c>
      <c r="L11">
        <f t="shared" si="1"/>
        <v>-3.0850628625005463</v>
      </c>
      <c r="M11">
        <v>8.9600000000000009</v>
      </c>
    </row>
    <row r="12" spans="1:13" x14ac:dyDescent="0.2">
      <c r="A12" s="1">
        <v>43906</v>
      </c>
      <c r="B12">
        <v>93.900002000000001</v>
      </c>
      <c r="C12">
        <v>98.973999000000006</v>
      </c>
      <c r="D12">
        <v>88.433998000000003</v>
      </c>
      <c r="E12">
        <v>89.013999999999996</v>
      </c>
      <c r="F12">
        <v>89.013999999999996</v>
      </c>
      <c r="G12">
        <v>102447500</v>
      </c>
      <c r="I12">
        <f t="shared" si="2"/>
        <v>-0.18577803188077735</v>
      </c>
      <c r="J12">
        <v>6.0000000000000001E-3</v>
      </c>
      <c r="K12">
        <f t="shared" si="0"/>
        <v>-0.19177803188077736</v>
      </c>
      <c r="L12">
        <f t="shared" si="1"/>
        <v>-19.177803188077736</v>
      </c>
      <c r="M12">
        <v>-12</v>
      </c>
    </row>
    <row r="13" spans="1:13" x14ac:dyDescent="0.2">
      <c r="A13" s="1">
        <v>43907</v>
      </c>
      <c r="B13">
        <v>88.001998999999998</v>
      </c>
      <c r="C13">
        <v>94.370002999999997</v>
      </c>
      <c r="D13">
        <v>79.199996999999996</v>
      </c>
      <c r="E13">
        <v>86.040001000000004</v>
      </c>
      <c r="F13">
        <v>86.040001000000004</v>
      </c>
      <c r="G13">
        <v>119973000</v>
      </c>
      <c r="I13">
        <f t="shared" si="2"/>
        <v>-3.3410463522591867E-2</v>
      </c>
      <c r="J13">
        <v>6.0000000000000001E-3</v>
      </c>
      <c r="K13">
        <f t="shared" si="0"/>
        <v>-3.9410463522591865E-2</v>
      </c>
      <c r="L13">
        <f t="shared" si="1"/>
        <v>-3.9410463522591863</v>
      </c>
      <c r="M13">
        <v>5.87</v>
      </c>
    </row>
    <row r="14" spans="1:13" x14ac:dyDescent="0.2">
      <c r="A14" s="1">
        <v>43908</v>
      </c>
      <c r="B14">
        <v>77.800003000000004</v>
      </c>
      <c r="C14">
        <v>80.971999999999994</v>
      </c>
      <c r="D14">
        <v>70.101996999999997</v>
      </c>
      <c r="E14">
        <v>72.244003000000006</v>
      </c>
      <c r="F14">
        <v>72.244003000000006</v>
      </c>
      <c r="G14">
        <v>118931000</v>
      </c>
      <c r="I14">
        <f t="shared" si="2"/>
        <v>-0.16034400092580189</v>
      </c>
      <c r="J14">
        <v>6.0000000000000001E-3</v>
      </c>
      <c r="K14">
        <f t="shared" si="0"/>
        <v>-0.1663440009258019</v>
      </c>
      <c r="L14">
        <f t="shared" si="1"/>
        <v>-16.63440009258019</v>
      </c>
      <c r="M14">
        <v>-5.56</v>
      </c>
    </row>
    <row r="15" spans="1:13" x14ac:dyDescent="0.2">
      <c r="A15" s="1">
        <v>43909</v>
      </c>
      <c r="B15">
        <v>74.940002000000007</v>
      </c>
      <c r="C15">
        <v>90.400002000000001</v>
      </c>
      <c r="D15">
        <v>71.692001000000005</v>
      </c>
      <c r="E15">
        <v>85.528000000000006</v>
      </c>
      <c r="F15">
        <v>85.528000000000006</v>
      </c>
      <c r="G15">
        <v>150977500</v>
      </c>
      <c r="I15">
        <f t="shared" si="2"/>
        <v>0.18387681258470684</v>
      </c>
      <c r="J15">
        <v>6.0000000000000001E-3</v>
      </c>
      <c r="K15">
        <f t="shared" si="0"/>
        <v>0.17787681258470683</v>
      </c>
      <c r="L15">
        <f t="shared" si="1"/>
        <v>17.787681258470684</v>
      </c>
      <c r="M15">
        <v>1.31</v>
      </c>
    </row>
    <row r="16" spans="1:13" x14ac:dyDescent="0.2">
      <c r="A16" s="1">
        <v>43910</v>
      </c>
      <c r="B16">
        <v>87.639999000000003</v>
      </c>
      <c r="C16">
        <v>95.400002000000001</v>
      </c>
      <c r="D16">
        <v>85.157996999999995</v>
      </c>
      <c r="E16">
        <v>85.505996999999994</v>
      </c>
      <c r="F16">
        <v>85.505996999999994</v>
      </c>
      <c r="G16">
        <v>141427500</v>
      </c>
      <c r="I16">
        <f t="shared" si="2"/>
        <v>-2.5726078009555005E-4</v>
      </c>
      <c r="J16">
        <v>6.0000000000000001E-3</v>
      </c>
      <c r="K16">
        <f t="shared" si="0"/>
        <v>-6.2572607800955504E-3</v>
      </c>
      <c r="L16">
        <f t="shared" si="1"/>
        <v>-0.62572607800955504</v>
      </c>
      <c r="M16">
        <v>-4.1500000000000004</v>
      </c>
    </row>
    <row r="17" spans="1:13" x14ac:dyDescent="0.2">
      <c r="A17" s="1">
        <v>43913</v>
      </c>
      <c r="B17">
        <v>86.720000999999996</v>
      </c>
      <c r="C17">
        <v>88.400002000000001</v>
      </c>
      <c r="D17">
        <v>82.099997999999999</v>
      </c>
      <c r="E17">
        <v>86.858001999999999</v>
      </c>
      <c r="F17">
        <v>86.858001999999999</v>
      </c>
      <c r="G17">
        <v>82272500</v>
      </c>
      <c r="I17">
        <f t="shared" si="2"/>
        <v>1.5811814930361032E-2</v>
      </c>
      <c r="J17">
        <v>6.0000000000000001E-3</v>
      </c>
      <c r="K17">
        <f t="shared" si="0"/>
        <v>9.8118149303610316E-3</v>
      </c>
      <c r="L17">
        <f t="shared" si="1"/>
        <v>0.98118149303610314</v>
      </c>
      <c r="M17">
        <v>-2.5499999999999998</v>
      </c>
    </row>
    <row r="18" spans="1:13" x14ac:dyDescent="0.2">
      <c r="A18" s="1">
        <v>43914</v>
      </c>
      <c r="B18">
        <v>95.459998999999996</v>
      </c>
      <c r="C18">
        <v>102.737999</v>
      </c>
      <c r="D18">
        <v>94.800003000000004</v>
      </c>
      <c r="E18">
        <v>101</v>
      </c>
      <c r="F18">
        <v>101</v>
      </c>
      <c r="G18">
        <v>114476000</v>
      </c>
      <c r="I18">
        <f t="shared" si="2"/>
        <v>0.1628174454208606</v>
      </c>
      <c r="J18">
        <v>6.0000000000000001E-3</v>
      </c>
      <c r="K18">
        <f t="shared" si="0"/>
        <v>0.1568174454208606</v>
      </c>
      <c r="L18">
        <f t="shared" si="1"/>
        <v>15.68174454208606</v>
      </c>
      <c r="M18">
        <v>9.34</v>
      </c>
    </row>
    <row r="19" spans="1:13" x14ac:dyDescent="0.2">
      <c r="A19" s="1">
        <v>43915</v>
      </c>
      <c r="B19">
        <v>109.050003</v>
      </c>
      <c r="C19">
        <v>111.400002</v>
      </c>
      <c r="D19">
        <v>102.22199999999999</v>
      </c>
      <c r="E19">
        <v>107.849998</v>
      </c>
      <c r="F19">
        <v>107.849998</v>
      </c>
      <c r="G19">
        <v>106113500</v>
      </c>
      <c r="I19">
        <f t="shared" si="2"/>
        <v>6.7821762376237618E-2</v>
      </c>
      <c r="J19">
        <v>6.0000000000000001E-3</v>
      </c>
      <c r="K19">
        <f t="shared" si="0"/>
        <v>6.182176237623762E-2</v>
      </c>
      <c r="L19">
        <f t="shared" si="1"/>
        <v>6.1821762376237617</v>
      </c>
      <c r="M19">
        <v>1.18</v>
      </c>
    </row>
    <row r="20" spans="1:13" x14ac:dyDescent="0.2">
      <c r="A20" s="1">
        <v>43916</v>
      </c>
      <c r="B20">
        <v>109.477997</v>
      </c>
      <c r="C20">
        <v>112</v>
      </c>
      <c r="D20">
        <v>102.449997</v>
      </c>
      <c r="E20">
        <v>105.63200399999999</v>
      </c>
      <c r="F20">
        <v>105.63200399999999</v>
      </c>
      <c r="G20">
        <v>86903500</v>
      </c>
      <c r="I20">
        <f t="shared" si="2"/>
        <v>-2.0565545119435279E-2</v>
      </c>
      <c r="J20">
        <v>6.0000000000000001E-3</v>
      </c>
      <c r="K20">
        <f t="shared" si="0"/>
        <v>-2.6565545119435277E-2</v>
      </c>
      <c r="L20">
        <f t="shared" si="1"/>
        <v>-2.6565545119435279</v>
      </c>
      <c r="M20">
        <v>6.02</v>
      </c>
    </row>
    <row r="21" spans="1:13" x14ac:dyDescent="0.2">
      <c r="A21" s="1">
        <v>43917</v>
      </c>
      <c r="B21">
        <v>101</v>
      </c>
      <c r="C21">
        <v>105.160004</v>
      </c>
      <c r="D21">
        <v>98.805999999999997</v>
      </c>
      <c r="E21">
        <v>102.87200199999999</v>
      </c>
      <c r="F21">
        <v>102.87200199999999</v>
      </c>
      <c r="G21">
        <v>71887000</v>
      </c>
      <c r="I21">
        <f t="shared" si="2"/>
        <v>-2.6128463869718881E-2</v>
      </c>
      <c r="J21">
        <v>6.0000000000000001E-3</v>
      </c>
      <c r="K21">
        <f t="shared" si="0"/>
        <v>-3.2128463869718883E-2</v>
      </c>
      <c r="L21">
        <f t="shared" si="1"/>
        <v>-3.2128463869718882</v>
      </c>
      <c r="M21">
        <v>-3.48</v>
      </c>
    </row>
    <row r="22" spans="1:13" x14ac:dyDescent="0.2">
      <c r="A22" s="1">
        <v>43920</v>
      </c>
      <c r="B22">
        <v>102.052002</v>
      </c>
      <c r="C22">
        <v>103.33000199999999</v>
      </c>
      <c r="D22">
        <v>98.246002000000004</v>
      </c>
      <c r="E22">
        <v>100.42600299999999</v>
      </c>
      <c r="F22">
        <v>100.42600299999999</v>
      </c>
      <c r="G22">
        <v>59990500</v>
      </c>
      <c r="I22">
        <f t="shared" si="2"/>
        <v>-2.3777110899426267E-2</v>
      </c>
      <c r="J22">
        <v>6.0000000000000001E-3</v>
      </c>
      <c r="K22">
        <f t="shared" si="0"/>
        <v>-2.9777110899426265E-2</v>
      </c>
      <c r="L22">
        <f t="shared" si="1"/>
        <v>-2.9777110899426265</v>
      </c>
      <c r="M22">
        <v>3.16</v>
      </c>
    </row>
    <row r="23" spans="1:13" x14ac:dyDescent="0.2">
      <c r="A23" s="1">
        <v>43921</v>
      </c>
      <c r="B23">
        <v>100.25</v>
      </c>
      <c r="C23">
        <v>108.59200300000001</v>
      </c>
      <c r="D23">
        <v>99.400002000000001</v>
      </c>
      <c r="E23">
        <v>104.800003</v>
      </c>
      <c r="F23">
        <v>104.800003</v>
      </c>
      <c r="G23">
        <v>88857500</v>
      </c>
      <c r="I23">
        <f t="shared" si="2"/>
        <v>4.3554456707791206E-2</v>
      </c>
      <c r="J23">
        <v>6.0000000000000001E-3</v>
      </c>
      <c r="K23">
        <f t="shared" si="0"/>
        <v>3.7554456707791208E-2</v>
      </c>
      <c r="L23">
        <f t="shared" si="1"/>
        <v>3.7554456707791206</v>
      </c>
      <c r="M23">
        <v>-1.44</v>
      </c>
    </row>
    <row r="24" spans="1:13" x14ac:dyDescent="0.2">
      <c r="A24" s="1">
        <v>43922</v>
      </c>
      <c r="B24">
        <v>100.800003</v>
      </c>
      <c r="C24">
        <v>102.790001</v>
      </c>
      <c r="D24">
        <v>95.019997000000004</v>
      </c>
      <c r="E24">
        <v>96.311995999999994</v>
      </c>
      <c r="F24">
        <v>96.311995999999994</v>
      </c>
      <c r="G24">
        <v>66766000</v>
      </c>
      <c r="I24">
        <f t="shared" si="2"/>
        <v>-8.0992430887621342E-2</v>
      </c>
      <c r="J24">
        <v>0</v>
      </c>
      <c r="K24">
        <f t="shared" si="0"/>
        <v>-8.0992430887621342E-2</v>
      </c>
      <c r="L24">
        <f t="shared" si="1"/>
        <v>-8.0992430887621349</v>
      </c>
      <c r="M24">
        <v>-4.51</v>
      </c>
    </row>
    <row r="25" spans="1:13" x14ac:dyDescent="0.2">
      <c r="A25" s="1">
        <v>43923</v>
      </c>
      <c r="B25">
        <v>96.206001000000001</v>
      </c>
      <c r="C25">
        <v>98.851996999999997</v>
      </c>
      <c r="D25">
        <v>89.279999000000004</v>
      </c>
      <c r="E25">
        <v>90.893996999999999</v>
      </c>
      <c r="F25">
        <v>90.893996999999999</v>
      </c>
      <c r="G25">
        <v>99292000</v>
      </c>
      <c r="I25">
        <f t="shared" si="2"/>
        <v>-5.6254664268405308E-2</v>
      </c>
      <c r="J25">
        <v>0</v>
      </c>
      <c r="K25">
        <f t="shared" si="0"/>
        <v>-5.6254664268405308E-2</v>
      </c>
      <c r="L25">
        <f t="shared" si="1"/>
        <v>-5.6254664268405303</v>
      </c>
      <c r="M25">
        <v>2.1</v>
      </c>
    </row>
    <row r="26" spans="1:13" x14ac:dyDescent="0.2">
      <c r="A26" s="1">
        <v>43924</v>
      </c>
      <c r="B26">
        <v>101.900002</v>
      </c>
      <c r="C26">
        <v>103.098</v>
      </c>
      <c r="D26">
        <v>93.678000999999995</v>
      </c>
      <c r="E26">
        <v>96.001998999999998</v>
      </c>
      <c r="F26">
        <v>96.001998999999998</v>
      </c>
      <c r="G26">
        <v>112810500</v>
      </c>
      <c r="I26">
        <f t="shared" si="2"/>
        <v>5.6197352615046721E-2</v>
      </c>
      <c r="J26">
        <v>0</v>
      </c>
      <c r="K26">
        <f t="shared" si="0"/>
        <v>5.6197352615046721E-2</v>
      </c>
      <c r="L26">
        <f t="shared" si="1"/>
        <v>5.6197352615046725</v>
      </c>
      <c r="M26">
        <v>-1.64</v>
      </c>
    </row>
    <row r="27" spans="1:13" x14ac:dyDescent="0.2">
      <c r="A27" s="1">
        <v>43927</v>
      </c>
      <c r="B27">
        <v>102.239998</v>
      </c>
      <c r="C27">
        <v>104.199997</v>
      </c>
      <c r="D27">
        <v>99.592003000000005</v>
      </c>
      <c r="E27">
        <v>103.248001</v>
      </c>
      <c r="F27">
        <v>103.248001</v>
      </c>
      <c r="G27">
        <v>74509000</v>
      </c>
      <c r="I27">
        <f t="shared" si="2"/>
        <v>7.5477615835895295E-2</v>
      </c>
      <c r="J27">
        <v>0</v>
      </c>
      <c r="K27">
        <f t="shared" si="0"/>
        <v>7.5477615835895295E-2</v>
      </c>
      <c r="L27">
        <f t="shared" si="1"/>
        <v>7.54776158358953</v>
      </c>
      <c r="M27">
        <v>7.06</v>
      </c>
    </row>
    <row r="28" spans="1:13" x14ac:dyDescent="0.2">
      <c r="A28" s="1">
        <v>43928</v>
      </c>
      <c r="B28">
        <v>109</v>
      </c>
      <c r="C28">
        <v>113</v>
      </c>
      <c r="D28">
        <v>106.468002</v>
      </c>
      <c r="E28">
        <v>109.089996</v>
      </c>
      <c r="F28">
        <v>109.089996</v>
      </c>
      <c r="G28">
        <v>89599000</v>
      </c>
      <c r="I28">
        <f t="shared" si="2"/>
        <v>5.6582160849777588E-2</v>
      </c>
      <c r="J28">
        <v>0</v>
      </c>
      <c r="K28">
        <f t="shared" si="0"/>
        <v>5.6582160849777588E-2</v>
      </c>
      <c r="L28">
        <f t="shared" si="1"/>
        <v>5.6582160849777585</v>
      </c>
      <c r="M28">
        <v>-0.11</v>
      </c>
    </row>
    <row r="29" spans="1:13" x14ac:dyDescent="0.2">
      <c r="A29" s="1">
        <v>43929</v>
      </c>
      <c r="B29">
        <v>110.839996</v>
      </c>
      <c r="C29">
        <v>111.442001</v>
      </c>
      <c r="D29">
        <v>106.666</v>
      </c>
      <c r="E29">
        <v>109.76799800000001</v>
      </c>
      <c r="F29">
        <v>109.76799800000001</v>
      </c>
      <c r="G29">
        <v>63280000</v>
      </c>
      <c r="I29">
        <f t="shared" si="2"/>
        <v>6.2150703534722511E-3</v>
      </c>
      <c r="J29">
        <v>0</v>
      </c>
      <c r="K29">
        <f t="shared" si="0"/>
        <v>6.2150703534722511E-3</v>
      </c>
      <c r="L29">
        <f t="shared" si="1"/>
        <v>0.62150703534722507</v>
      </c>
      <c r="M29">
        <v>3.4</v>
      </c>
    </row>
    <row r="30" spans="1:13" x14ac:dyDescent="0.2">
      <c r="A30" s="1">
        <v>43930</v>
      </c>
      <c r="B30">
        <v>112.41799899999999</v>
      </c>
      <c r="C30">
        <v>115.03600299999999</v>
      </c>
      <c r="D30">
        <v>111.421997</v>
      </c>
      <c r="E30">
        <v>114.599998</v>
      </c>
      <c r="F30">
        <v>114.599998</v>
      </c>
      <c r="G30">
        <v>68250000</v>
      </c>
      <c r="I30">
        <f t="shared" si="2"/>
        <v>4.4020115954014151E-2</v>
      </c>
      <c r="J30">
        <v>0</v>
      </c>
      <c r="K30">
        <f t="shared" si="0"/>
        <v>4.4020115954014151E-2</v>
      </c>
      <c r="L30">
        <f t="shared" si="1"/>
        <v>4.4020115954014152</v>
      </c>
      <c r="M30">
        <v>1.59</v>
      </c>
    </row>
    <row r="31" spans="1:13" x14ac:dyDescent="0.2">
      <c r="A31" s="1">
        <v>43934</v>
      </c>
      <c r="B31">
        <v>118.031998</v>
      </c>
      <c r="C31">
        <v>130.39999399999999</v>
      </c>
      <c r="D31">
        <v>116.106003</v>
      </c>
      <c r="E31">
        <v>130.19000199999999</v>
      </c>
      <c r="F31">
        <v>130.19000199999999</v>
      </c>
      <c r="G31">
        <v>112377000</v>
      </c>
      <c r="I31">
        <f t="shared" si="2"/>
        <v>0.13603843169351532</v>
      </c>
      <c r="J31">
        <v>0</v>
      </c>
      <c r="K31">
        <f t="shared" si="0"/>
        <v>0.13603843169351532</v>
      </c>
      <c r="L31">
        <f t="shared" si="1"/>
        <v>13.603843169351531</v>
      </c>
      <c r="M31">
        <v>-0.92</v>
      </c>
    </row>
    <row r="32" spans="1:13" x14ac:dyDescent="0.2">
      <c r="A32" s="1">
        <v>43935</v>
      </c>
      <c r="B32">
        <v>139.794006</v>
      </c>
      <c r="C32">
        <v>148.37600699999999</v>
      </c>
      <c r="D32">
        <v>138.48599200000001</v>
      </c>
      <c r="E32">
        <v>141.97799699999999</v>
      </c>
      <c r="F32">
        <v>141.97799699999999</v>
      </c>
      <c r="G32">
        <v>152882500</v>
      </c>
      <c r="I32">
        <f t="shared" si="2"/>
        <v>9.0544548881718243E-2</v>
      </c>
      <c r="J32">
        <v>0</v>
      </c>
      <c r="K32">
        <f t="shared" si="0"/>
        <v>9.0544548881718243E-2</v>
      </c>
      <c r="L32">
        <f t="shared" si="1"/>
        <v>9.0544548881718239</v>
      </c>
      <c r="M32">
        <v>3.02</v>
      </c>
    </row>
    <row r="33" spans="1:13" x14ac:dyDescent="0.2">
      <c r="A33" s="1">
        <v>43936</v>
      </c>
      <c r="B33">
        <v>148.39999399999999</v>
      </c>
      <c r="C33">
        <v>150.62600699999999</v>
      </c>
      <c r="D33">
        <v>142</v>
      </c>
      <c r="E33">
        <v>145.966003</v>
      </c>
      <c r="F33">
        <v>145.966003</v>
      </c>
      <c r="G33">
        <v>117885000</v>
      </c>
      <c r="I33">
        <f t="shared" si="2"/>
        <v>2.8088901690872657E-2</v>
      </c>
      <c r="J33">
        <v>0</v>
      </c>
      <c r="K33">
        <f t="shared" si="0"/>
        <v>2.8088901690872657E-2</v>
      </c>
      <c r="L33">
        <f t="shared" si="1"/>
        <v>2.8088901690872659</v>
      </c>
      <c r="M33">
        <v>-2.15</v>
      </c>
    </row>
    <row r="34" spans="1:13" x14ac:dyDescent="0.2">
      <c r="A34" s="1">
        <v>43937</v>
      </c>
      <c r="B34">
        <v>143.38800000000001</v>
      </c>
      <c r="C34">
        <v>151.88999899999999</v>
      </c>
      <c r="D34">
        <v>141.34399400000001</v>
      </c>
      <c r="E34">
        <v>149.04200700000001</v>
      </c>
      <c r="F34">
        <v>149.04200700000001</v>
      </c>
      <c r="G34">
        <v>103289500</v>
      </c>
      <c r="I34">
        <f t="shared" si="2"/>
        <v>2.1073427625472568E-2</v>
      </c>
      <c r="J34">
        <v>0</v>
      </c>
      <c r="K34">
        <f t="shared" si="0"/>
        <v>2.1073427625472568E-2</v>
      </c>
      <c r="L34">
        <f t="shared" si="1"/>
        <v>2.1073427625472569</v>
      </c>
      <c r="M34">
        <v>0.62</v>
      </c>
    </row>
    <row r="35" spans="1:13" x14ac:dyDescent="0.2">
      <c r="A35" s="1">
        <v>43938</v>
      </c>
      <c r="B35">
        <v>154.455994</v>
      </c>
      <c r="C35">
        <v>154.990005</v>
      </c>
      <c r="D35">
        <v>149.53199799999999</v>
      </c>
      <c r="E35">
        <v>150.77799999999999</v>
      </c>
      <c r="F35">
        <v>150.77799999999999</v>
      </c>
      <c r="G35">
        <v>65641000</v>
      </c>
      <c r="I35">
        <f t="shared" si="2"/>
        <v>1.164767594682202E-2</v>
      </c>
      <c r="J35">
        <v>0</v>
      </c>
      <c r="K35">
        <f t="shared" si="0"/>
        <v>1.164767594682202E-2</v>
      </c>
      <c r="L35">
        <f t="shared" si="1"/>
        <v>1.164767594682202</v>
      </c>
      <c r="M35">
        <v>2.72</v>
      </c>
    </row>
    <row r="36" spans="1:13" x14ac:dyDescent="0.2">
      <c r="A36" s="1">
        <v>43941</v>
      </c>
      <c r="B36">
        <v>146.53999300000001</v>
      </c>
      <c r="C36">
        <v>153.11399800000001</v>
      </c>
      <c r="D36">
        <v>142.442001</v>
      </c>
      <c r="E36">
        <v>149.27200300000001</v>
      </c>
      <c r="F36">
        <v>149.27200300000001</v>
      </c>
      <c r="G36">
        <v>73733000</v>
      </c>
      <c r="I36">
        <f t="shared" si="2"/>
        <v>-9.9881746673916583E-3</v>
      </c>
      <c r="J36">
        <v>0</v>
      </c>
      <c r="K36">
        <f t="shared" si="0"/>
        <v>-9.9881746673916583E-3</v>
      </c>
      <c r="L36">
        <f t="shared" si="1"/>
        <v>-0.99881746673916583</v>
      </c>
      <c r="M36">
        <v>-1.56</v>
      </c>
    </row>
    <row r="37" spans="1:13" x14ac:dyDescent="0.2">
      <c r="A37" s="1">
        <v>43942</v>
      </c>
      <c r="B37">
        <v>146.024002</v>
      </c>
      <c r="C37">
        <v>150.666</v>
      </c>
      <c r="D37">
        <v>134.75799599999999</v>
      </c>
      <c r="E37">
        <v>137.34399400000001</v>
      </c>
      <c r="F37">
        <v>137.34399400000001</v>
      </c>
      <c r="G37">
        <v>101045500</v>
      </c>
      <c r="I37">
        <f t="shared" si="2"/>
        <v>-7.990787796958819E-2</v>
      </c>
      <c r="J37">
        <v>0</v>
      </c>
      <c r="K37">
        <f t="shared" si="0"/>
        <v>-7.990787796958819E-2</v>
      </c>
      <c r="L37">
        <f t="shared" si="1"/>
        <v>-7.990787796958819</v>
      </c>
      <c r="M37">
        <v>-3.08</v>
      </c>
    </row>
    <row r="38" spans="1:13" x14ac:dyDescent="0.2">
      <c r="A38" s="1">
        <v>43943</v>
      </c>
      <c r="B38">
        <v>140.79600500000001</v>
      </c>
      <c r="C38">
        <v>146.800003</v>
      </c>
      <c r="D38">
        <v>137.74200400000001</v>
      </c>
      <c r="E38">
        <v>146.421997</v>
      </c>
      <c r="F38">
        <v>146.421997</v>
      </c>
      <c r="G38">
        <v>70827500</v>
      </c>
      <c r="I38">
        <f t="shared" si="2"/>
        <v>6.6096832745376505E-2</v>
      </c>
      <c r="J38">
        <v>0</v>
      </c>
      <c r="K38">
        <f t="shared" si="0"/>
        <v>6.6096832745376505E-2</v>
      </c>
      <c r="L38">
        <f t="shared" si="1"/>
        <v>6.6096832745376508</v>
      </c>
      <c r="M38">
        <v>2.31</v>
      </c>
    </row>
    <row r="39" spans="1:13" x14ac:dyDescent="0.2">
      <c r="A39" s="1">
        <v>43944</v>
      </c>
      <c r="B39">
        <v>145.520004</v>
      </c>
      <c r="C39">
        <v>146.800003</v>
      </c>
      <c r="D39">
        <v>140.62600699999999</v>
      </c>
      <c r="E39">
        <v>141.12600699999999</v>
      </c>
      <c r="F39">
        <v>141.12600699999999</v>
      </c>
      <c r="G39">
        <v>66183500</v>
      </c>
      <c r="I39">
        <f t="shared" si="2"/>
        <v>-3.6169360536723302E-2</v>
      </c>
      <c r="J39">
        <v>0</v>
      </c>
      <c r="K39">
        <f t="shared" si="0"/>
        <v>-3.6169360536723302E-2</v>
      </c>
      <c r="L39">
        <f t="shared" si="1"/>
        <v>-3.6169360536723301</v>
      </c>
      <c r="M39">
        <v>0.13</v>
      </c>
    </row>
    <row r="40" spans="1:13" x14ac:dyDescent="0.2">
      <c r="A40" s="1">
        <v>43945</v>
      </c>
      <c r="B40">
        <v>142.162003</v>
      </c>
      <c r="C40">
        <v>146.145996</v>
      </c>
      <c r="D40">
        <v>139.63600199999999</v>
      </c>
      <c r="E40">
        <v>145.029999</v>
      </c>
      <c r="F40">
        <v>145.029999</v>
      </c>
      <c r="G40">
        <v>66060000</v>
      </c>
      <c r="I40">
        <f t="shared" si="2"/>
        <v>2.7663164876478203E-2</v>
      </c>
      <c r="J40">
        <v>0</v>
      </c>
      <c r="K40">
        <f t="shared" si="0"/>
        <v>2.7663164876478203E-2</v>
      </c>
      <c r="L40">
        <f t="shared" si="1"/>
        <v>2.7663164876478201</v>
      </c>
      <c r="M40">
        <v>1.44</v>
      </c>
    </row>
    <row r="41" spans="1:13" x14ac:dyDescent="0.2">
      <c r="A41" s="1">
        <v>43948</v>
      </c>
      <c r="B41">
        <v>147.52200300000001</v>
      </c>
      <c r="C41">
        <v>159.89799500000001</v>
      </c>
      <c r="D41">
        <v>147</v>
      </c>
      <c r="E41">
        <v>159.75</v>
      </c>
      <c r="F41">
        <v>159.75</v>
      </c>
      <c r="G41">
        <v>103407000</v>
      </c>
      <c r="I41">
        <f t="shared" si="2"/>
        <v>0.1014962497517496</v>
      </c>
      <c r="J41">
        <v>0</v>
      </c>
      <c r="K41">
        <f t="shared" si="0"/>
        <v>0.1014962497517496</v>
      </c>
      <c r="L41">
        <f t="shared" si="1"/>
        <v>10.149624975174961</v>
      </c>
      <c r="M41">
        <v>1.73</v>
      </c>
    </row>
    <row r="42" spans="1:13" x14ac:dyDescent="0.2">
      <c r="A42" s="1">
        <v>43949</v>
      </c>
      <c r="B42">
        <v>159.128006</v>
      </c>
      <c r="C42">
        <v>161</v>
      </c>
      <c r="D42">
        <v>151.337997</v>
      </c>
      <c r="E42">
        <v>153.824005</v>
      </c>
      <c r="F42">
        <v>153.824005</v>
      </c>
      <c r="G42">
        <v>76110000</v>
      </c>
      <c r="I42">
        <f t="shared" si="2"/>
        <v>-3.7095430359937405E-2</v>
      </c>
      <c r="J42">
        <v>0</v>
      </c>
      <c r="K42">
        <f t="shared" si="0"/>
        <v>-3.7095430359937405E-2</v>
      </c>
      <c r="L42">
        <f t="shared" si="1"/>
        <v>-3.7095430359937405</v>
      </c>
      <c r="M42">
        <v>-0.45</v>
      </c>
    </row>
    <row r="43" spans="1:13" x14ac:dyDescent="0.2">
      <c r="A43" s="1">
        <v>43950</v>
      </c>
      <c r="B43">
        <v>158.033997</v>
      </c>
      <c r="C43">
        <v>160.63999899999999</v>
      </c>
      <c r="D43">
        <v>156.63200399999999</v>
      </c>
      <c r="E43">
        <v>160.10200499999999</v>
      </c>
      <c r="F43">
        <v>160.10200499999999</v>
      </c>
      <c r="G43">
        <v>81080000</v>
      </c>
      <c r="I43">
        <f t="shared" si="2"/>
        <v>4.0812875727686271E-2</v>
      </c>
      <c r="J43">
        <v>0</v>
      </c>
      <c r="K43">
        <f t="shared" si="0"/>
        <v>4.0812875727686271E-2</v>
      </c>
      <c r="L43">
        <f t="shared" si="1"/>
        <v>4.0812875727686269</v>
      </c>
      <c r="M43">
        <v>2.92</v>
      </c>
    </row>
    <row r="44" spans="1:13" x14ac:dyDescent="0.2">
      <c r="A44" s="1">
        <v>43951</v>
      </c>
      <c r="B44">
        <v>171.037994</v>
      </c>
      <c r="C44">
        <v>173.96400499999999</v>
      </c>
      <c r="D44">
        <v>152.699997</v>
      </c>
      <c r="E44">
        <v>156.37600699999999</v>
      </c>
      <c r="F44">
        <v>156.37600699999999</v>
      </c>
      <c r="G44">
        <v>142359500</v>
      </c>
      <c r="I44">
        <f t="shared" si="2"/>
        <v>-2.3272650458062684E-2</v>
      </c>
      <c r="J44">
        <v>0</v>
      </c>
      <c r="K44">
        <f t="shared" si="0"/>
        <v>-2.3272650458062684E-2</v>
      </c>
      <c r="L44">
        <f t="shared" si="1"/>
        <v>-2.3272650458062683</v>
      </c>
      <c r="M44">
        <v>-1.18</v>
      </c>
    </row>
    <row r="45" spans="1:13" x14ac:dyDescent="0.2">
      <c r="A45" s="1">
        <v>43952</v>
      </c>
      <c r="B45">
        <v>151</v>
      </c>
      <c r="C45">
        <v>154.554001</v>
      </c>
      <c r="D45">
        <v>136.608002</v>
      </c>
      <c r="E45">
        <v>140.26400799999999</v>
      </c>
      <c r="F45">
        <v>140.26400799999999</v>
      </c>
      <c r="G45">
        <v>162659000</v>
      </c>
      <c r="I45">
        <f t="shared" si="2"/>
        <v>-0.10303370260630838</v>
      </c>
      <c r="J45">
        <v>0</v>
      </c>
      <c r="K45">
        <f t="shared" si="0"/>
        <v>-0.10303370260630838</v>
      </c>
      <c r="L45">
        <f t="shared" si="1"/>
        <v>-10.303370260630839</v>
      </c>
      <c r="M45">
        <v>-2.91</v>
      </c>
    </row>
    <row r="46" spans="1:13" x14ac:dyDescent="0.2">
      <c r="A46" s="1">
        <v>43955</v>
      </c>
      <c r="B46">
        <v>140.199997</v>
      </c>
      <c r="C46">
        <v>152.39999399999999</v>
      </c>
      <c r="D46">
        <v>139.60000600000001</v>
      </c>
      <c r="E46">
        <v>152.23800700000001</v>
      </c>
      <c r="F46">
        <v>152.23800700000001</v>
      </c>
      <c r="G46">
        <v>96185500</v>
      </c>
      <c r="I46">
        <f t="shared" si="2"/>
        <v>8.5367580541403185E-2</v>
      </c>
      <c r="J46">
        <v>0</v>
      </c>
      <c r="K46">
        <f t="shared" si="0"/>
        <v>8.5367580541403185E-2</v>
      </c>
      <c r="L46">
        <f t="shared" si="1"/>
        <v>8.5367580541403179</v>
      </c>
      <c r="M46">
        <v>0.53</v>
      </c>
    </row>
    <row r="47" spans="1:13" x14ac:dyDescent="0.2">
      <c r="A47" s="1">
        <v>43956</v>
      </c>
      <c r="B47">
        <v>157.95799299999999</v>
      </c>
      <c r="C47">
        <v>159.783997</v>
      </c>
      <c r="D47">
        <v>152.43600499999999</v>
      </c>
      <c r="E47">
        <v>153.641998</v>
      </c>
      <c r="F47">
        <v>153.641998</v>
      </c>
      <c r="G47">
        <v>84958500</v>
      </c>
      <c r="I47">
        <f t="shared" si="2"/>
        <v>9.2223422236471508E-3</v>
      </c>
      <c r="J47">
        <v>0</v>
      </c>
      <c r="K47">
        <f t="shared" si="0"/>
        <v>9.2223422236471508E-3</v>
      </c>
      <c r="L47">
        <f t="shared" si="1"/>
        <v>0.92223422236471508</v>
      </c>
      <c r="M47">
        <v>0.95</v>
      </c>
    </row>
    <row r="48" spans="1:13" x14ac:dyDescent="0.2">
      <c r="A48" s="1">
        <v>43957</v>
      </c>
      <c r="B48">
        <v>155.300003</v>
      </c>
      <c r="C48">
        <v>157.96000699999999</v>
      </c>
      <c r="D48">
        <v>152.22200000000001</v>
      </c>
      <c r="E48">
        <v>156.516006</v>
      </c>
      <c r="F48">
        <v>156.516006</v>
      </c>
      <c r="G48">
        <v>55616000</v>
      </c>
      <c r="I48">
        <f t="shared" si="2"/>
        <v>1.8705874939220744E-2</v>
      </c>
      <c r="J48">
        <v>0</v>
      </c>
      <c r="K48">
        <f t="shared" si="0"/>
        <v>1.8705874939220744E-2</v>
      </c>
      <c r="L48">
        <f t="shared" si="1"/>
        <v>1.8705874939220744</v>
      </c>
      <c r="M48">
        <v>-0.52</v>
      </c>
    </row>
    <row r="49" spans="1:13" x14ac:dyDescent="0.2">
      <c r="A49" s="1">
        <v>43958</v>
      </c>
      <c r="B49">
        <v>155.442001</v>
      </c>
      <c r="C49">
        <v>159.279999</v>
      </c>
      <c r="D49">
        <v>154.470001</v>
      </c>
      <c r="E49">
        <v>156.00799599999999</v>
      </c>
      <c r="F49">
        <v>156.00799599999999</v>
      </c>
      <c r="G49">
        <v>57638500</v>
      </c>
      <c r="I49">
        <f t="shared" si="2"/>
        <v>-3.2457383304300069E-3</v>
      </c>
      <c r="J49">
        <v>0</v>
      </c>
      <c r="K49">
        <f t="shared" si="0"/>
        <v>-3.2457383304300069E-3</v>
      </c>
      <c r="L49">
        <f t="shared" si="1"/>
        <v>-0.32457383304300069</v>
      </c>
      <c r="M49">
        <v>1.33</v>
      </c>
    </row>
    <row r="50" spans="1:13" x14ac:dyDescent="0.2">
      <c r="A50" s="1">
        <v>43959</v>
      </c>
      <c r="B50">
        <v>158.753998</v>
      </c>
      <c r="C50">
        <v>164.800003</v>
      </c>
      <c r="D50">
        <v>157.401993</v>
      </c>
      <c r="E50">
        <v>163.88400300000001</v>
      </c>
      <c r="F50">
        <v>163.88400300000001</v>
      </c>
      <c r="G50">
        <v>80432500</v>
      </c>
      <c r="I50">
        <f t="shared" si="2"/>
        <v>5.0484636697724239E-2</v>
      </c>
      <c r="J50">
        <v>0</v>
      </c>
      <c r="K50">
        <f t="shared" si="0"/>
        <v>5.0484636697724239E-2</v>
      </c>
      <c r="L50">
        <f t="shared" si="1"/>
        <v>5.0484636697724241</v>
      </c>
      <c r="M50">
        <v>1.9</v>
      </c>
    </row>
    <row r="51" spans="1:13" x14ac:dyDescent="0.2">
      <c r="A51" s="1">
        <v>43962</v>
      </c>
      <c r="B51">
        <v>158.10200499999999</v>
      </c>
      <c r="C51">
        <v>164.800003</v>
      </c>
      <c r="D51">
        <v>157</v>
      </c>
      <c r="E51">
        <v>162.25799599999999</v>
      </c>
      <c r="F51">
        <v>162.25799599999999</v>
      </c>
      <c r="G51">
        <v>82598000</v>
      </c>
      <c r="I51">
        <f t="shared" si="2"/>
        <v>-9.9216944316402583E-3</v>
      </c>
      <c r="J51">
        <v>0</v>
      </c>
      <c r="K51">
        <f t="shared" si="0"/>
        <v>-9.9216944316402583E-3</v>
      </c>
      <c r="L51">
        <f t="shared" si="1"/>
        <v>-0.99216944316402578</v>
      </c>
      <c r="M51">
        <v>7.0000000000000007E-2</v>
      </c>
    </row>
    <row r="52" spans="1:13" x14ac:dyDescent="0.2">
      <c r="A52" s="1">
        <v>43963</v>
      </c>
      <c r="B52">
        <v>165.39999399999999</v>
      </c>
      <c r="C52">
        <v>168.658005</v>
      </c>
      <c r="D52">
        <v>161.60000600000001</v>
      </c>
      <c r="E52">
        <v>161.88200399999999</v>
      </c>
      <c r="F52">
        <v>161.88200399999999</v>
      </c>
      <c r="G52">
        <v>79534500</v>
      </c>
      <c r="I52">
        <f t="shared" si="2"/>
        <v>-2.3172478969849756E-3</v>
      </c>
      <c r="J52">
        <v>0</v>
      </c>
      <c r="K52">
        <f t="shared" si="0"/>
        <v>-2.3172478969849756E-3</v>
      </c>
      <c r="L52">
        <f t="shared" si="1"/>
        <v>-0.23172478969849755</v>
      </c>
      <c r="M52">
        <v>-2.06</v>
      </c>
    </row>
    <row r="53" spans="1:13" x14ac:dyDescent="0.2">
      <c r="A53" s="1">
        <v>43964</v>
      </c>
      <c r="B53">
        <v>164.166</v>
      </c>
      <c r="C53">
        <v>165.199997</v>
      </c>
      <c r="D53">
        <v>152.66000399999999</v>
      </c>
      <c r="E53">
        <v>158.192001</v>
      </c>
      <c r="F53">
        <v>158.192001</v>
      </c>
      <c r="G53">
        <v>95327500</v>
      </c>
      <c r="I53">
        <f t="shared" si="2"/>
        <v>-2.2794399061182798E-2</v>
      </c>
      <c r="J53">
        <v>0</v>
      </c>
      <c r="K53">
        <f t="shared" si="0"/>
        <v>-2.2794399061182798E-2</v>
      </c>
      <c r="L53">
        <f t="shared" si="1"/>
        <v>-2.27943990611828</v>
      </c>
      <c r="M53">
        <v>-1.89</v>
      </c>
    </row>
    <row r="54" spans="1:13" x14ac:dyDescent="0.2">
      <c r="A54" s="1">
        <v>43965</v>
      </c>
      <c r="B54">
        <v>156</v>
      </c>
      <c r="C54">
        <v>160.671997</v>
      </c>
      <c r="D54">
        <v>152.800003</v>
      </c>
      <c r="E54">
        <v>160.666</v>
      </c>
      <c r="F54">
        <v>160.666</v>
      </c>
      <c r="G54">
        <v>68411000</v>
      </c>
      <c r="I54">
        <f t="shared" si="2"/>
        <v>1.5639216802118786E-2</v>
      </c>
      <c r="J54">
        <v>0</v>
      </c>
      <c r="K54">
        <f t="shared" si="0"/>
        <v>1.5639216802118786E-2</v>
      </c>
      <c r="L54">
        <f t="shared" si="1"/>
        <v>1.5639216802118785</v>
      </c>
      <c r="M54">
        <v>1.1399999999999999</v>
      </c>
    </row>
    <row r="55" spans="1:13" x14ac:dyDescent="0.2">
      <c r="A55" s="1">
        <v>43966</v>
      </c>
      <c r="B55">
        <v>158.070007</v>
      </c>
      <c r="C55">
        <v>161.009995</v>
      </c>
      <c r="D55">
        <v>157.30999800000001</v>
      </c>
      <c r="E55">
        <v>159.834</v>
      </c>
      <c r="F55">
        <v>159.834</v>
      </c>
      <c r="G55">
        <v>52592000</v>
      </c>
      <c r="I55">
        <f t="shared" si="2"/>
        <v>-5.1784447238369885E-3</v>
      </c>
      <c r="J55">
        <v>0</v>
      </c>
      <c r="K55">
        <f t="shared" si="0"/>
        <v>-5.1784447238369885E-3</v>
      </c>
      <c r="L55">
        <f t="shared" si="1"/>
        <v>-0.51784447238369891</v>
      </c>
      <c r="M55">
        <v>0.56999999999999995</v>
      </c>
    </row>
    <row r="56" spans="1:13" x14ac:dyDescent="0.2">
      <c r="A56" s="1">
        <v>43969</v>
      </c>
      <c r="B56">
        <v>165.55600000000001</v>
      </c>
      <c r="C56">
        <v>166.94399999999999</v>
      </c>
      <c r="D56">
        <v>160.77600100000001</v>
      </c>
      <c r="E56">
        <v>162.725998</v>
      </c>
      <c r="F56">
        <v>162.725998</v>
      </c>
      <c r="G56">
        <v>58329000</v>
      </c>
      <c r="I56">
        <f t="shared" si="2"/>
        <v>1.8093759775767364E-2</v>
      </c>
      <c r="J56">
        <v>0</v>
      </c>
      <c r="K56">
        <f t="shared" si="0"/>
        <v>1.8093759775767364E-2</v>
      </c>
      <c r="L56">
        <f t="shared" si="1"/>
        <v>1.8093759775767364</v>
      </c>
      <c r="M56">
        <v>3.24</v>
      </c>
    </row>
    <row r="57" spans="1:13" x14ac:dyDescent="0.2">
      <c r="A57" s="1">
        <v>43970</v>
      </c>
      <c r="B57">
        <v>163.033997</v>
      </c>
      <c r="C57">
        <v>164.41400100000001</v>
      </c>
      <c r="D57">
        <v>161.216003</v>
      </c>
      <c r="E57">
        <v>161.60200499999999</v>
      </c>
      <c r="F57">
        <v>161.60200499999999</v>
      </c>
      <c r="G57">
        <v>48182500</v>
      </c>
      <c r="I57">
        <f t="shared" si="2"/>
        <v>-6.9072736613359897E-3</v>
      </c>
      <c r="J57">
        <v>0</v>
      </c>
      <c r="K57">
        <f t="shared" si="0"/>
        <v>-6.9072736613359897E-3</v>
      </c>
      <c r="L57">
        <f t="shared" si="1"/>
        <v>-0.69072736613359897</v>
      </c>
      <c r="M57">
        <v>-1.01</v>
      </c>
    </row>
    <row r="58" spans="1:13" x14ac:dyDescent="0.2">
      <c r="A58" s="1">
        <v>43971</v>
      </c>
      <c r="B58">
        <v>164.10000600000001</v>
      </c>
      <c r="C58">
        <v>165.199997</v>
      </c>
      <c r="D58">
        <v>162.36000100000001</v>
      </c>
      <c r="E58">
        <v>163.11199999999999</v>
      </c>
      <c r="F58">
        <v>163.11199999999999</v>
      </c>
      <c r="G58">
        <v>36546500</v>
      </c>
      <c r="I58">
        <f t="shared" si="2"/>
        <v>9.3439125337584986E-3</v>
      </c>
      <c r="J58">
        <v>0</v>
      </c>
      <c r="K58">
        <f t="shared" si="0"/>
        <v>9.3439125337584986E-3</v>
      </c>
      <c r="L58">
        <f t="shared" si="1"/>
        <v>0.93439125337584983</v>
      </c>
      <c r="M58">
        <v>1.8</v>
      </c>
    </row>
    <row r="59" spans="1:13" x14ac:dyDescent="0.2">
      <c r="A59" s="1">
        <v>43972</v>
      </c>
      <c r="B59">
        <v>163.199997</v>
      </c>
      <c r="C59">
        <v>166.5</v>
      </c>
      <c r="D59">
        <v>159.199997</v>
      </c>
      <c r="E59">
        <v>165.520004</v>
      </c>
      <c r="F59">
        <v>165.520004</v>
      </c>
      <c r="G59">
        <v>61273000</v>
      </c>
      <c r="I59">
        <f t="shared" si="2"/>
        <v>1.4762886850752891E-2</v>
      </c>
      <c r="J59">
        <v>0</v>
      </c>
      <c r="K59">
        <f t="shared" si="0"/>
        <v>1.4762886850752891E-2</v>
      </c>
      <c r="L59">
        <f t="shared" si="1"/>
        <v>1.4762886850752892</v>
      </c>
      <c r="M59">
        <v>-0.7</v>
      </c>
    </row>
    <row r="60" spans="1:13" x14ac:dyDescent="0.2">
      <c r="A60" s="1">
        <v>43973</v>
      </c>
      <c r="B60">
        <v>164.43400600000001</v>
      </c>
      <c r="C60">
        <v>166.35600299999999</v>
      </c>
      <c r="D60">
        <v>162.39999399999999</v>
      </c>
      <c r="E60">
        <v>163.37600699999999</v>
      </c>
      <c r="F60">
        <v>163.37600699999999</v>
      </c>
      <c r="G60">
        <v>49937500</v>
      </c>
      <c r="I60">
        <f t="shared" si="2"/>
        <v>-1.2953099010316681E-2</v>
      </c>
      <c r="J60">
        <v>0</v>
      </c>
      <c r="K60">
        <f t="shared" si="0"/>
        <v>-1.2953099010316681E-2</v>
      </c>
      <c r="L60">
        <f t="shared" si="1"/>
        <v>-1.295309901031668</v>
      </c>
      <c r="M60">
        <v>0.27</v>
      </c>
    </row>
    <row r="61" spans="1:13" x14ac:dyDescent="0.2">
      <c r="A61" s="1">
        <v>43977</v>
      </c>
      <c r="B61">
        <v>166.89999399999999</v>
      </c>
      <c r="C61">
        <v>166.91999799999999</v>
      </c>
      <c r="D61">
        <v>163.141998</v>
      </c>
      <c r="E61">
        <v>163.774002</v>
      </c>
      <c r="F61">
        <v>163.774002</v>
      </c>
      <c r="G61">
        <v>40448500</v>
      </c>
      <c r="I61">
        <f t="shared" si="2"/>
        <v>2.4360676167095256E-3</v>
      </c>
      <c r="J61">
        <v>0</v>
      </c>
      <c r="K61">
        <f t="shared" si="0"/>
        <v>2.4360676167095256E-3</v>
      </c>
      <c r="L61">
        <f t="shared" si="1"/>
        <v>0.24360676167095255</v>
      </c>
      <c r="M61">
        <v>1.23</v>
      </c>
    </row>
    <row r="62" spans="1:13" x14ac:dyDescent="0.2">
      <c r="A62" s="1">
        <v>43978</v>
      </c>
      <c r="B62">
        <v>164.171997</v>
      </c>
      <c r="C62">
        <v>165.54200700000001</v>
      </c>
      <c r="D62">
        <v>157</v>
      </c>
      <c r="E62">
        <v>164.04600500000001</v>
      </c>
      <c r="F62">
        <v>164.04600500000001</v>
      </c>
      <c r="G62">
        <v>57747500</v>
      </c>
      <c r="I62">
        <f t="shared" si="2"/>
        <v>1.6608435812664102E-3</v>
      </c>
      <c r="J62">
        <v>0</v>
      </c>
      <c r="K62">
        <f t="shared" si="0"/>
        <v>1.6608435812664102E-3</v>
      </c>
      <c r="L62">
        <f t="shared" si="1"/>
        <v>0.16608435812664102</v>
      </c>
      <c r="M62">
        <v>1.54</v>
      </c>
    </row>
    <row r="63" spans="1:13" x14ac:dyDescent="0.2">
      <c r="A63" s="1">
        <v>43979</v>
      </c>
      <c r="B63">
        <v>162.70199600000001</v>
      </c>
      <c r="C63">
        <v>164.949997</v>
      </c>
      <c r="D63">
        <v>160.337997</v>
      </c>
      <c r="E63">
        <v>161.162003</v>
      </c>
      <c r="F63">
        <v>161.162003</v>
      </c>
      <c r="G63">
        <v>36278000</v>
      </c>
      <c r="I63">
        <f t="shared" si="2"/>
        <v>-1.7580446411968455E-2</v>
      </c>
      <c r="J63">
        <v>0</v>
      </c>
      <c r="K63">
        <f t="shared" si="0"/>
        <v>-1.7580446411968455E-2</v>
      </c>
      <c r="L63">
        <f t="shared" si="1"/>
        <v>-1.7580446411968456</v>
      </c>
      <c r="M63">
        <v>-0.41</v>
      </c>
    </row>
    <row r="64" spans="1:13" x14ac:dyDescent="0.2">
      <c r="A64" s="1">
        <v>43980</v>
      </c>
      <c r="B64">
        <v>161.75</v>
      </c>
      <c r="C64">
        <v>167</v>
      </c>
      <c r="D64">
        <v>160.841995</v>
      </c>
      <c r="E64">
        <v>167</v>
      </c>
      <c r="F64">
        <v>167</v>
      </c>
      <c r="G64">
        <v>58822500</v>
      </c>
      <c r="I64">
        <f t="shared" si="2"/>
        <v>3.6224400859550011E-2</v>
      </c>
      <c r="J64">
        <v>0</v>
      </c>
      <c r="K64">
        <f t="shared" si="0"/>
        <v>3.6224400859550011E-2</v>
      </c>
      <c r="L64">
        <f t="shared" si="1"/>
        <v>3.622440085955001</v>
      </c>
      <c r="M64">
        <v>0.6</v>
      </c>
    </row>
    <row r="65" spans="1:13" x14ac:dyDescent="0.2">
      <c r="A65" s="1">
        <v>43983</v>
      </c>
      <c r="B65">
        <v>171.60000600000001</v>
      </c>
      <c r="C65">
        <v>179.800003</v>
      </c>
      <c r="D65">
        <v>170.820007</v>
      </c>
      <c r="E65">
        <v>179.61999499999999</v>
      </c>
      <c r="F65">
        <v>179.61999499999999</v>
      </c>
      <c r="G65">
        <v>74697500</v>
      </c>
      <c r="I65">
        <f t="shared" si="2"/>
        <v>7.5568832335329281E-2</v>
      </c>
      <c r="J65">
        <v>0</v>
      </c>
      <c r="K65">
        <f t="shared" si="0"/>
        <v>7.5568832335329281E-2</v>
      </c>
      <c r="L65">
        <f t="shared" si="1"/>
        <v>7.5568832335329281</v>
      </c>
      <c r="M65">
        <v>0.52</v>
      </c>
    </row>
    <row r="66" spans="1:13" x14ac:dyDescent="0.2">
      <c r="A66" s="1">
        <v>43984</v>
      </c>
      <c r="B66">
        <v>178.94000199999999</v>
      </c>
      <c r="C66">
        <v>181.73199500000001</v>
      </c>
      <c r="D66">
        <v>174.199997</v>
      </c>
      <c r="E66">
        <v>176.31199599999999</v>
      </c>
      <c r="F66">
        <v>176.31199599999999</v>
      </c>
      <c r="G66">
        <v>67828000</v>
      </c>
      <c r="I66">
        <f t="shared" si="2"/>
        <v>-1.8416652333165889E-2</v>
      </c>
      <c r="J66">
        <v>0</v>
      </c>
      <c r="K66">
        <f t="shared" si="0"/>
        <v>-1.8416652333165889E-2</v>
      </c>
      <c r="L66">
        <f t="shared" si="1"/>
        <v>-1.841665233316589</v>
      </c>
      <c r="M66">
        <v>0.81</v>
      </c>
    </row>
    <row r="67" spans="1:13" x14ac:dyDescent="0.2">
      <c r="A67" s="1">
        <v>43985</v>
      </c>
      <c r="B67">
        <v>177.62399300000001</v>
      </c>
      <c r="C67">
        <v>179.587997</v>
      </c>
      <c r="D67">
        <v>176.020004</v>
      </c>
      <c r="E67">
        <v>176.591995</v>
      </c>
      <c r="F67">
        <v>176.591995</v>
      </c>
      <c r="G67">
        <v>39747500</v>
      </c>
      <c r="I67">
        <f t="shared" si="2"/>
        <v>1.5880881979238877E-3</v>
      </c>
      <c r="J67">
        <v>0</v>
      </c>
      <c r="K67">
        <f t="shared" si="0"/>
        <v>1.5880881979238877E-3</v>
      </c>
      <c r="L67">
        <f t="shared" si="1"/>
        <v>0.15880881979238876</v>
      </c>
      <c r="M67">
        <v>1.42</v>
      </c>
    </row>
    <row r="68" spans="1:13" x14ac:dyDescent="0.2">
      <c r="A68" s="1">
        <v>43986</v>
      </c>
      <c r="B68">
        <v>177.975998</v>
      </c>
      <c r="C68">
        <v>179.14999399999999</v>
      </c>
      <c r="D68">
        <v>171.68800400000001</v>
      </c>
      <c r="E68">
        <v>172.87600699999999</v>
      </c>
      <c r="F68">
        <v>172.87600699999999</v>
      </c>
      <c r="G68">
        <v>44438500</v>
      </c>
      <c r="I68">
        <f t="shared" si="2"/>
        <v>-2.104278849106388E-2</v>
      </c>
      <c r="J68">
        <v>0</v>
      </c>
      <c r="K68">
        <f t="shared" ref="K68:K131" si="3">I68-J68</f>
        <v>-2.104278849106388E-2</v>
      </c>
      <c r="L68">
        <f t="shared" ref="L68:L131" si="4">100*K68</f>
        <v>-2.1042788491063882</v>
      </c>
      <c r="M68">
        <v>-0.34</v>
      </c>
    </row>
    <row r="69" spans="1:13" x14ac:dyDescent="0.2">
      <c r="A69" s="1">
        <v>43987</v>
      </c>
      <c r="B69">
        <v>175.567993</v>
      </c>
      <c r="C69">
        <v>177.304001</v>
      </c>
      <c r="D69">
        <v>173.240005</v>
      </c>
      <c r="E69">
        <v>177.13200399999999</v>
      </c>
      <c r="F69">
        <v>177.13200399999999</v>
      </c>
      <c r="G69">
        <v>39059500</v>
      </c>
      <c r="I69">
        <f t="shared" ref="I69:I132" si="5">(F69-F68)/F68</f>
        <v>2.4618783565495055E-2</v>
      </c>
      <c r="J69">
        <v>0</v>
      </c>
      <c r="K69">
        <f t="shared" si="3"/>
        <v>2.4618783565495055E-2</v>
      </c>
      <c r="L69">
        <f t="shared" si="4"/>
        <v>2.4618783565495055</v>
      </c>
      <c r="M69">
        <v>2.5</v>
      </c>
    </row>
    <row r="70" spans="1:13" x14ac:dyDescent="0.2">
      <c r="A70" s="1">
        <v>43990</v>
      </c>
      <c r="B70">
        <v>183.800003</v>
      </c>
      <c r="C70">
        <v>190</v>
      </c>
      <c r="D70">
        <v>181.83200099999999</v>
      </c>
      <c r="E70">
        <v>189.983994</v>
      </c>
      <c r="F70">
        <v>189.983994</v>
      </c>
      <c r="G70">
        <v>70873500</v>
      </c>
      <c r="I70">
        <f t="shared" si="5"/>
        <v>7.2556001794006689E-2</v>
      </c>
      <c r="J70">
        <v>0</v>
      </c>
      <c r="K70">
        <f t="shared" si="3"/>
        <v>7.2556001794006689E-2</v>
      </c>
      <c r="L70">
        <f t="shared" si="4"/>
        <v>7.2556001794006688</v>
      </c>
      <c r="M70">
        <v>1.39</v>
      </c>
    </row>
    <row r="71" spans="1:13" x14ac:dyDescent="0.2">
      <c r="A71" s="1">
        <v>43991</v>
      </c>
      <c r="B71">
        <v>188.00199900000001</v>
      </c>
      <c r="C71">
        <v>190.88800000000001</v>
      </c>
      <c r="D71">
        <v>184.78599500000001</v>
      </c>
      <c r="E71">
        <v>188.13400300000001</v>
      </c>
      <c r="F71">
        <v>188.13400300000001</v>
      </c>
      <c r="G71">
        <v>56941000</v>
      </c>
      <c r="I71">
        <f t="shared" si="5"/>
        <v>-9.7376150540344399E-3</v>
      </c>
      <c r="J71">
        <v>0</v>
      </c>
      <c r="K71">
        <f t="shared" si="3"/>
        <v>-9.7376150540344399E-3</v>
      </c>
      <c r="L71">
        <f t="shared" si="4"/>
        <v>-0.97376150540344397</v>
      </c>
      <c r="M71">
        <v>-0.85</v>
      </c>
    </row>
    <row r="72" spans="1:13" x14ac:dyDescent="0.2">
      <c r="A72" s="1">
        <v>43992</v>
      </c>
      <c r="B72">
        <v>198.37600699999999</v>
      </c>
      <c r="C72">
        <v>205.496002</v>
      </c>
      <c r="D72">
        <v>196.5</v>
      </c>
      <c r="E72">
        <v>205.009995</v>
      </c>
      <c r="F72">
        <v>205.009995</v>
      </c>
      <c r="G72">
        <v>92817000</v>
      </c>
      <c r="I72">
        <f t="shared" si="5"/>
        <v>8.9701976946719178E-2</v>
      </c>
      <c r="J72">
        <v>0</v>
      </c>
      <c r="K72">
        <f t="shared" si="3"/>
        <v>8.9701976946719178E-2</v>
      </c>
      <c r="L72">
        <f t="shared" si="4"/>
        <v>8.9701976946719171</v>
      </c>
      <c r="M72">
        <v>-0.56000000000000005</v>
      </c>
    </row>
    <row r="73" spans="1:13" x14ac:dyDescent="0.2">
      <c r="A73" s="1">
        <v>43993</v>
      </c>
      <c r="B73">
        <v>198.03999300000001</v>
      </c>
      <c r="C73">
        <v>203.79200700000001</v>
      </c>
      <c r="D73">
        <v>194.39999399999999</v>
      </c>
      <c r="E73">
        <v>194.567993</v>
      </c>
      <c r="F73">
        <v>194.567993</v>
      </c>
      <c r="G73">
        <v>79582500</v>
      </c>
      <c r="I73">
        <f t="shared" si="5"/>
        <v>-5.0934111773428423E-2</v>
      </c>
      <c r="J73">
        <v>0</v>
      </c>
      <c r="K73">
        <f t="shared" si="3"/>
        <v>-5.0934111773428423E-2</v>
      </c>
      <c r="L73">
        <f t="shared" si="4"/>
        <v>-5.0934111773428423</v>
      </c>
      <c r="M73">
        <v>-5.91</v>
      </c>
    </row>
    <row r="74" spans="1:13" x14ac:dyDescent="0.2">
      <c r="A74" s="1">
        <v>43994</v>
      </c>
      <c r="B74">
        <v>196</v>
      </c>
      <c r="C74">
        <v>197.59599299999999</v>
      </c>
      <c r="D74">
        <v>182.520004</v>
      </c>
      <c r="E74">
        <v>187.05600000000001</v>
      </c>
      <c r="F74">
        <v>187.05600000000001</v>
      </c>
      <c r="G74">
        <v>83817000</v>
      </c>
      <c r="I74">
        <f t="shared" si="5"/>
        <v>-3.8608575255232189E-2</v>
      </c>
      <c r="J74">
        <v>0</v>
      </c>
      <c r="K74">
        <f t="shared" si="3"/>
        <v>-3.8608575255232189E-2</v>
      </c>
      <c r="L74">
        <f t="shared" si="4"/>
        <v>-3.8608575255232189</v>
      </c>
      <c r="M74">
        <v>1.29</v>
      </c>
    </row>
    <row r="75" spans="1:13" x14ac:dyDescent="0.2">
      <c r="A75" s="1">
        <v>43997</v>
      </c>
      <c r="B75">
        <v>183.557999</v>
      </c>
      <c r="C75">
        <v>199.76800499999999</v>
      </c>
      <c r="D75">
        <v>181.699997</v>
      </c>
      <c r="E75">
        <v>198.179993</v>
      </c>
      <c r="F75">
        <v>198.179993</v>
      </c>
      <c r="G75">
        <v>78486000</v>
      </c>
      <c r="I75">
        <f t="shared" si="5"/>
        <v>5.9468784748952098E-2</v>
      </c>
      <c r="J75">
        <v>0</v>
      </c>
      <c r="K75">
        <f t="shared" si="3"/>
        <v>5.9468784748952098E-2</v>
      </c>
      <c r="L75">
        <f t="shared" si="4"/>
        <v>5.9468784748952102</v>
      </c>
      <c r="M75">
        <v>1.0900000000000001</v>
      </c>
    </row>
    <row r="76" spans="1:13" x14ac:dyDescent="0.2">
      <c r="A76" s="1">
        <v>43998</v>
      </c>
      <c r="B76">
        <v>202.36999499999999</v>
      </c>
      <c r="C76">
        <v>202.57600400000001</v>
      </c>
      <c r="D76">
        <v>192.47799699999999</v>
      </c>
      <c r="E76">
        <v>196.425995</v>
      </c>
      <c r="F76">
        <v>196.425995</v>
      </c>
      <c r="G76">
        <v>70255500</v>
      </c>
      <c r="I76">
        <f t="shared" si="5"/>
        <v>-8.8505301339878231E-3</v>
      </c>
      <c r="J76">
        <v>0</v>
      </c>
      <c r="K76">
        <f t="shared" si="3"/>
        <v>-8.8505301339878231E-3</v>
      </c>
      <c r="L76">
        <f t="shared" si="4"/>
        <v>-0.88505301339878228</v>
      </c>
      <c r="M76">
        <v>1.86</v>
      </c>
    </row>
    <row r="77" spans="1:13" x14ac:dyDescent="0.2">
      <c r="A77" s="1">
        <v>43999</v>
      </c>
      <c r="B77">
        <v>197.54200700000001</v>
      </c>
      <c r="C77">
        <v>201</v>
      </c>
      <c r="D77">
        <v>196.51400799999999</v>
      </c>
      <c r="E77">
        <v>198.358002</v>
      </c>
      <c r="F77">
        <v>198.358002</v>
      </c>
      <c r="G77">
        <v>49454000</v>
      </c>
      <c r="I77">
        <f t="shared" si="5"/>
        <v>9.8358010099426942E-3</v>
      </c>
      <c r="J77">
        <v>0</v>
      </c>
      <c r="K77">
        <f t="shared" si="3"/>
        <v>9.8358010099426942E-3</v>
      </c>
      <c r="L77">
        <f t="shared" si="4"/>
        <v>0.9835801009942694</v>
      </c>
      <c r="M77">
        <v>-0.4</v>
      </c>
    </row>
    <row r="78" spans="1:13" x14ac:dyDescent="0.2">
      <c r="A78" s="1">
        <v>44000</v>
      </c>
      <c r="B78">
        <v>200.60000600000001</v>
      </c>
      <c r="C78">
        <v>203.83999600000001</v>
      </c>
      <c r="D78">
        <v>198.89399700000001</v>
      </c>
      <c r="E78">
        <v>200.79200700000001</v>
      </c>
      <c r="F78">
        <v>200.79200700000001</v>
      </c>
      <c r="G78">
        <v>48759500</v>
      </c>
      <c r="I78">
        <f t="shared" si="5"/>
        <v>1.2270767881600326E-2</v>
      </c>
      <c r="J78">
        <v>0</v>
      </c>
      <c r="K78">
        <f t="shared" si="3"/>
        <v>1.2270767881600326E-2</v>
      </c>
      <c r="L78">
        <f t="shared" si="4"/>
        <v>1.2270767881600326</v>
      </c>
      <c r="M78">
        <v>0.19</v>
      </c>
    </row>
    <row r="79" spans="1:13" x14ac:dyDescent="0.2">
      <c r="A79" s="1">
        <v>44001</v>
      </c>
      <c r="B79">
        <v>202.55600000000001</v>
      </c>
      <c r="C79">
        <v>203.19399999999999</v>
      </c>
      <c r="D79">
        <v>198.26800499999999</v>
      </c>
      <c r="E79">
        <v>200.179993</v>
      </c>
      <c r="F79">
        <v>200.179993</v>
      </c>
      <c r="G79">
        <v>43398500</v>
      </c>
      <c r="I79">
        <f t="shared" si="5"/>
        <v>-3.0479998140564243E-3</v>
      </c>
      <c r="J79">
        <v>0</v>
      </c>
      <c r="K79">
        <f t="shared" si="3"/>
        <v>-3.0479998140564243E-3</v>
      </c>
      <c r="L79">
        <f t="shared" si="4"/>
        <v>-0.30479998140564241</v>
      </c>
      <c r="M79">
        <v>-0.45</v>
      </c>
    </row>
    <row r="80" spans="1:13" x14ac:dyDescent="0.2">
      <c r="A80" s="1">
        <v>44004</v>
      </c>
      <c r="B80">
        <v>199.990005</v>
      </c>
      <c r="C80">
        <v>201.77600100000001</v>
      </c>
      <c r="D80">
        <v>198.003998</v>
      </c>
      <c r="E80">
        <v>198.86399800000001</v>
      </c>
      <c r="F80">
        <v>198.86399800000001</v>
      </c>
      <c r="G80">
        <v>31812000</v>
      </c>
      <c r="I80">
        <f t="shared" si="5"/>
        <v>-6.5740585773723485E-3</v>
      </c>
      <c r="J80">
        <v>0</v>
      </c>
      <c r="K80">
        <f t="shared" si="3"/>
        <v>-6.5740585773723485E-3</v>
      </c>
      <c r="L80">
        <f t="shared" si="4"/>
        <v>-0.65740585773723481</v>
      </c>
      <c r="M80">
        <v>0.71</v>
      </c>
    </row>
    <row r="81" spans="1:13" x14ac:dyDescent="0.2">
      <c r="A81" s="1">
        <v>44005</v>
      </c>
      <c r="B81">
        <v>199.77600100000001</v>
      </c>
      <c r="C81">
        <v>202.39999399999999</v>
      </c>
      <c r="D81">
        <v>198.80200199999999</v>
      </c>
      <c r="E81">
        <v>200.35600299999999</v>
      </c>
      <c r="F81">
        <v>200.35600299999999</v>
      </c>
      <c r="G81">
        <v>31826500</v>
      </c>
      <c r="I81">
        <f t="shared" si="5"/>
        <v>7.5026400706274523E-3</v>
      </c>
      <c r="J81">
        <v>0</v>
      </c>
      <c r="K81">
        <f t="shared" si="3"/>
        <v>7.5026400706274523E-3</v>
      </c>
      <c r="L81">
        <f t="shared" si="4"/>
        <v>0.75026400706274521</v>
      </c>
      <c r="M81">
        <v>0.42</v>
      </c>
    </row>
    <row r="82" spans="1:13" x14ac:dyDescent="0.2">
      <c r="A82" s="1">
        <v>44006</v>
      </c>
      <c r="B82">
        <v>198.82200599999999</v>
      </c>
      <c r="C82">
        <v>200.175995</v>
      </c>
      <c r="D82">
        <v>190.628006</v>
      </c>
      <c r="E82">
        <v>192.16999799999999</v>
      </c>
      <c r="F82">
        <v>192.16999799999999</v>
      </c>
      <c r="G82">
        <v>54798000</v>
      </c>
      <c r="I82">
        <f t="shared" si="5"/>
        <v>-4.0857298395995625E-2</v>
      </c>
      <c r="J82">
        <v>0</v>
      </c>
      <c r="K82">
        <f t="shared" si="3"/>
        <v>-4.0857298395995625E-2</v>
      </c>
      <c r="L82">
        <f t="shared" si="4"/>
        <v>-4.0857298395995629</v>
      </c>
      <c r="M82">
        <v>-2.61</v>
      </c>
    </row>
    <row r="83" spans="1:13" x14ac:dyDescent="0.2">
      <c r="A83" s="1">
        <v>44007</v>
      </c>
      <c r="B83">
        <v>190.854004</v>
      </c>
      <c r="C83">
        <v>197.195999</v>
      </c>
      <c r="D83">
        <v>187.429993</v>
      </c>
      <c r="E83">
        <v>197.195999</v>
      </c>
      <c r="F83">
        <v>197.195999</v>
      </c>
      <c r="G83">
        <v>46272500</v>
      </c>
      <c r="I83">
        <f t="shared" si="5"/>
        <v>2.6153931687088888E-2</v>
      </c>
      <c r="J83">
        <v>0</v>
      </c>
      <c r="K83">
        <f t="shared" si="3"/>
        <v>2.6153931687088888E-2</v>
      </c>
      <c r="L83">
        <f t="shared" si="4"/>
        <v>2.6153931687088887</v>
      </c>
      <c r="M83">
        <v>1.1200000000000001</v>
      </c>
    </row>
    <row r="84" spans="1:13" x14ac:dyDescent="0.2">
      <c r="A84" s="1">
        <v>44008</v>
      </c>
      <c r="B84">
        <v>198.955994</v>
      </c>
      <c r="C84">
        <v>199</v>
      </c>
      <c r="D84">
        <v>190.97399899999999</v>
      </c>
      <c r="E84">
        <v>191.94799800000001</v>
      </c>
      <c r="F84">
        <v>191.94799800000001</v>
      </c>
      <c r="G84">
        <v>44274500</v>
      </c>
      <c r="I84">
        <f t="shared" si="5"/>
        <v>-2.6613121090757971E-2</v>
      </c>
      <c r="J84">
        <v>0</v>
      </c>
      <c r="K84">
        <f t="shared" si="3"/>
        <v>-2.6613121090757971E-2</v>
      </c>
      <c r="L84">
        <f t="shared" si="4"/>
        <v>-2.661312109075797</v>
      </c>
      <c r="M84">
        <v>-2.44</v>
      </c>
    </row>
    <row r="85" spans="1:13" x14ac:dyDescent="0.2">
      <c r="A85" s="1">
        <v>44011</v>
      </c>
      <c r="B85">
        <v>193.80200199999999</v>
      </c>
      <c r="C85">
        <v>202</v>
      </c>
      <c r="D85">
        <v>189.70399499999999</v>
      </c>
      <c r="E85">
        <v>201.86999499999999</v>
      </c>
      <c r="F85">
        <v>201.86999499999999</v>
      </c>
      <c r="G85">
        <v>45132000</v>
      </c>
      <c r="I85">
        <f t="shared" si="5"/>
        <v>5.1691067911007728E-2</v>
      </c>
      <c r="J85">
        <v>0</v>
      </c>
      <c r="K85">
        <f t="shared" si="3"/>
        <v>5.1691067911007728E-2</v>
      </c>
      <c r="L85">
        <f t="shared" si="4"/>
        <v>5.1691067911007726</v>
      </c>
      <c r="M85">
        <v>1.51</v>
      </c>
    </row>
    <row r="86" spans="1:13" x14ac:dyDescent="0.2">
      <c r="A86" s="1">
        <v>44012</v>
      </c>
      <c r="B86">
        <v>201.300003</v>
      </c>
      <c r="C86">
        <v>217.537994</v>
      </c>
      <c r="D86">
        <v>200.746002</v>
      </c>
      <c r="E86">
        <v>215.962006</v>
      </c>
      <c r="F86">
        <v>215.962006</v>
      </c>
      <c r="G86">
        <v>84592500</v>
      </c>
      <c r="I86">
        <f t="shared" si="5"/>
        <v>6.9807357948366788E-2</v>
      </c>
      <c r="J86">
        <v>0</v>
      </c>
      <c r="K86">
        <f t="shared" si="3"/>
        <v>6.9807357948366788E-2</v>
      </c>
      <c r="L86">
        <f t="shared" si="4"/>
        <v>6.9807357948366793</v>
      </c>
      <c r="M86">
        <v>1.58</v>
      </c>
    </row>
    <row r="87" spans="1:13" x14ac:dyDescent="0.2">
      <c r="A87" s="1">
        <v>44013</v>
      </c>
      <c r="B87">
        <v>216.60000600000001</v>
      </c>
      <c r="C87">
        <v>227.06599399999999</v>
      </c>
      <c r="D87">
        <v>216.10000600000001</v>
      </c>
      <c r="E87">
        <v>223.925995</v>
      </c>
      <c r="F87">
        <v>223.925995</v>
      </c>
      <c r="G87">
        <v>66634500</v>
      </c>
      <c r="I87">
        <f t="shared" si="5"/>
        <v>3.6876806006330566E-2</v>
      </c>
      <c r="J87">
        <v>0</v>
      </c>
      <c r="K87">
        <f t="shared" si="3"/>
        <v>3.6876806006330566E-2</v>
      </c>
      <c r="L87">
        <f t="shared" si="4"/>
        <v>3.6876806006330565</v>
      </c>
      <c r="M87">
        <v>0.41</v>
      </c>
    </row>
    <row r="88" spans="1:13" x14ac:dyDescent="0.2">
      <c r="A88" s="1">
        <v>44014</v>
      </c>
      <c r="B88">
        <v>244.29600500000001</v>
      </c>
      <c r="C88">
        <v>245.60000600000001</v>
      </c>
      <c r="D88">
        <v>237.11999499999999</v>
      </c>
      <c r="E88">
        <v>241.73199500000001</v>
      </c>
      <c r="F88">
        <v>241.73199500000001</v>
      </c>
      <c r="G88">
        <v>86250500</v>
      </c>
      <c r="I88">
        <f t="shared" si="5"/>
        <v>7.9517342325530413E-2</v>
      </c>
      <c r="J88">
        <v>0</v>
      </c>
      <c r="K88">
        <f t="shared" si="3"/>
        <v>7.9517342325530413E-2</v>
      </c>
      <c r="L88">
        <f t="shared" si="4"/>
        <v>7.9517342325530409</v>
      </c>
      <c r="M88">
        <v>0.5</v>
      </c>
    </row>
    <row r="89" spans="1:13" x14ac:dyDescent="0.2">
      <c r="A89" s="1">
        <v>44018</v>
      </c>
      <c r="B89">
        <v>255.337997</v>
      </c>
      <c r="C89">
        <v>275.55801400000001</v>
      </c>
      <c r="D89">
        <v>253.20799299999999</v>
      </c>
      <c r="E89">
        <v>274.31601000000001</v>
      </c>
      <c r="F89">
        <v>274.31601000000001</v>
      </c>
      <c r="G89">
        <v>102849500</v>
      </c>
      <c r="I89">
        <f t="shared" si="5"/>
        <v>0.13479396883312858</v>
      </c>
      <c r="J89">
        <v>0</v>
      </c>
      <c r="K89">
        <f t="shared" si="3"/>
        <v>0.13479396883312858</v>
      </c>
      <c r="L89">
        <f t="shared" si="4"/>
        <v>13.479396883312859</v>
      </c>
      <c r="M89">
        <v>1.65</v>
      </c>
    </row>
    <row r="90" spans="1:13" x14ac:dyDescent="0.2">
      <c r="A90" s="1">
        <v>44019</v>
      </c>
      <c r="B90">
        <v>281.00201399999997</v>
      </c>
      <c r="C90">
        <v>285.89999399999999</v>
      </c>
      <c r="D90">
        <v>267.34201000000002</v>
      </c>
      <c r="E90">
        <v>277.97198500000002</v>
      </c>
      <c r="F90">
        <v>277.97198500000002</v>
      </c>
      <c r="G90">
        <v>107448500</v>
      </c>
      <c r="I90">
        <f t="shared" si="5"/>
        <v>1.3327603445384074E-2</v>
      </c>
      <c r="J90">
        <v>0</v>
      </c>
      <c r="K90">
        <f t="shared" si="3"/>
        <v>1.3327603445384074E-2</v>
      </c>
      <c r="L90">
        <f t="shared" si="4"/>
        <v>1.3327603445384073</v>
      </c>
      <c r="M90">
        <v>-1.03</v>
      </c>
    </row>
    <row r="91" spans="1:13" x14ac:dyDescent="0.2">
      <c r="A91" s="1">
        <v>44020</v>
      </c>
      <c r="B91">
        <v>281</v>
      </c>
      <c r="C91">
        <v>283.45199600000001</v>
      </c>
      <c r="D91">
        <v>262.26800500000002</v>
      </c>
      <c r="E91">
        <v>273.175995</v>
      </c>
      <c r="F91">
        <v>273.175995</v>
      </c>
      <c r="G91">
        <v>81556500</v>
      </c>
      <c r="I91">
        <f t="shared" si="5"/>
        <v>-1.7253501283591644E-2</v>
      </c>
      <c r="J91">
        <v>0</v>
      </c>
      <c r="K91">
        <f t="shared" si="3"/>
        <v>-1.7253501283591644E-2</v>
      </c>
      <c r="L91">
        <f t="shared" si="4"/>
        <v>-1.7253501283591643</v>
      </c>
      <c r="M91">
        <v>0.91</v>
      </c>
    </row>
    <row r="92" spans="1:13" x14ac:dyDescent="0.2">
      <c r="A92" s="1">
        <v>44021</v>
      </c>
      <c r="B92">
        <v>279.39801</v>
      </c>
      <c r="C92">
        <v>281.71200599999997</v>
      </c>
      <c r="D92">
        <v>270.256012</v>
      </c>
      <c r="E92">
        <v>278.85598800000002</v>
      </c>
      <c r="F92">
        <v>278.85598800000002</v>
      </c>
      <c r="G92">
        <v>58588000</v>
      </c>
      <c r="I92">
        <f t="shared" si="5"/>
        <v>2.0792430901551303E-2</v>
      </c>
      <c r="J92">
        <v>0</v>
      </c>
      <c r="K92">
        <f t="shared" si="3"/>
        <v>2.0792430901551303E-2</v>
      </c>
      <c r="L92">
        <f t="shared" si="4"/>
        <v>2.0792430901551304</v>
      </c>
      <c r="M92">
        <v>-0.53</v>
      </c>
    </row>
    <row r="93" spans="1:13" x14ac:dyDescent="0.2">
      <c r="A93" s="1">
        <v>44022</v>
      </c>
      <c r="B93">
        <v>279.20001200000002</v>
      </c>
      <c r="C93">
        <v>309.783997</v>
      </c>
      <c r="D93">
        <v>275.20199600000001</v>
      </c>
      <c r="E93">
        <v>308.92999300000002</v>
      </c>
      <c r="F93">
        <v>308.92999300000002</v>
      </c>
      <c r="G93">
        <v>116688000</v>
      </c>
      <c r="I93">
        <f t="shared" si="5"/>
        <v>0.10784780063607598</v>
      </c>
      <c r="J93">
        <v>0</v>
      </c>
      <c r="K93">
        <f t="shared" si="3"/>
        <v>0.10784780063607598</v>
      </c>
      <c r="L93">
        <f t="shared" si="4"/>
        <v>10.784780063607597</v>
      </c>
      <c r="M93">
        <v>1.1100000000000001</v>
      </c>
    </row>
    <row r="94" spans="1:13" x14ac:dyDescent="0.2">
      <c r="A94" s="1">
        <v>44025</v>
      </c>
      <c r="B94">
        <v>331.79998799999998</v>
      </c>
      <c r="C94">
        <v>358.99798600000003</v>
      </c>
      <c r="D94">
        <v>294.22198500000002</v>
      </c>
      <c r="E94">
        <v>299.41198700000001</v>
      </c>
      <c r="F94">
        <v>299.41198700000001</v>
      </c>
      <c r="G94">
        <v>194927000</v>
      </c>
      <c r="I94">
        <f t="shared" si="5"/>
        <v>-3.0809588630651388E-2</v>
      </c>
      <c r="J94">
        <v>0</v>
      </c>
      <c r="K94">
        <f t="shared" si="3"/>
        <v>-3.0809588630651388E-2</v>
      </c>
      <c r="L94">
        <f t="shared" si="4"/>
        <v>-3.0809588630651388</v>
      </c>
      <c r="M94">
        <v>-1.2</v>
      </c>
    </row>
    <row r="95" spans="1:13" x14ac:dyDescent="0.2">
      <c r="A95" s="1">
        <v>44026</v>
      </c>
      <c r="B95">
        <v>311.20001200000002</v>
      </c>
      <c r="C95">
        <v>318</v>
      </c>
      <c r="D95">
        <v>286.20001200000002</v>
      </c>
      <c r="E95">
        <v>303.35998499999999</v>
      </c>
      <c r="F95">
        <v>303.35998499999999</v>
      </c>
      <c r="G95">
        <v>117090500</v>
      </c>
      <c r="I95">
        <f t="shared" si="5"/>
        <v>1.3185838147488678E-2</v>
      </c>
      <c r="J95">
        <v>0</v>
      </c>
      <c r="K95">
        <f t="shared" si="3"/>
        <v>1.3185838147488678E-2</v>
      </c>
      <c r="L95">
        <f t="shared" si="4"/>
        <v>1.3185838147488678</v>
      </c>
      <c r="M95">
        <v>1.35</v>
      </c>
    </row>
    <row r="96" spans="1:13" x14ac:dyDescent="0.2">
      <c r="A96" s="1">
        <v>44027</v>
      </c>
      <c r="B96">
        <v>308.60000600000001</v>
      </c>
      <c r="C96">
        <v>310</v>
      </c>
      <c r="D96">
        <v>291.39999399999999</v>
      </c>
      <c r="E96">
        <v>309.20199600000001</v>
      </c>
      <c r="F96">
        <v>309.20199600000001</v>
      </c>
      <c r="G96">
        <v>81839000</v>
      </c>
      <c r="I96">
        <f t="shared" si="5"/>
        <v>1.9257684892092852E-2</v>
      </c>
      <c r="J96">
        <v>0</v>
      </c>
      <c r="K96">
        <f t="shared" si="3"/>
        <v>1.9257684892092852E-2</v>
      </c>
      <c r="L96">
        <f t="shared" si="4"/>
        <v>1.9257684892092852</v>
      </c>
      <c r="M96">
        <v>1.1399999999999999</v>
      </c>
    </row>
    <row r="97" spans="1:13" x14ac:dyDescent="0.2">
      <c r="A97" s="1">
        <v>44028</v>
      </c>
      <c r="B97">
        <v>295.432007</v>
      </c>
      <c r="C97">
        <v>306.34201000000002</v>
      </c>
      <c r="D97">
        <v>293.20001200000002</v>
      </c>
      <c r="E97">
        <v>300.12799100000001</v>
      </c>
      <c r="F97">
        <v>300.12799100000001</v>
      </c>
      <c r="G97">
        <v>71504000</v>
      </c>
      <c r="I97">
        <f t="shared" si="5"/>
        <v>-2.9346527892400796E-2</v>
      </c>
      <c r="J97">
        <v>0</v>
      </c>
      <c r="K97">
        <f t="shared" si="3"/>
        <v>-2.9346527892400796E-2</v>
      </c>
      <c r="L97">
        <f t="shared" si="4"/>
        <v>-2.9346527892400798</v>
      </c>
      <c r="M97">
        <v>-0.37</v>
      </c>
    </row>
    <row r="98" spans="1:13" x14ac:dyDescent="0.2">
      <c r="A98" s="1">
        <v>44029</v>
      </c>
      <c r="B98">
        <v>302.69000199999999</v>
      </c>
      <c r="C98">
        <v>307.50201399999997</v>
      </c>
      <c r="D98">
        <v>298</v>
      </c>
      <c r="E98">
        <v>300.16799900000001</v>
      </c>
      <c r="F98">
        <v>300.16799900000001</v>
      </c>
      <c r="G98">
        <v>46650000</v>
      </c>
      <c r="I98">
        <f t="shared" si="5"/>
        <v>1.3330312799781564E-4</v>
      </c>
      <c r="J98">
        <v>0</v>
      </c>
      <c r="K98">
        <f t="shared" si="3"/>
        <v>1.3330312799781564E-4</v>
      </c>
      <c r="L98">
        <f t="shared" si="4"/>
        <v>1.3330312799781564E-2</v>
      </c>
      <c r="M98">
        <v>0.3</v>
      </c>
    </row>
    <row r="99" spans="1:13" x14ac:dyDescent="0.2">
      <c r="A99" s="1">
        <v>44032</v>
      </c>
      <c r="B99">
        <v>303.80200200000002</v>
      </c>
      <c r="C99">
        <v>330</v>
      </c>
      <c r="D99">
        <v>297.60000600000001</v>
      </c>
      <c r="E99">
        <v>328.60000600000001</v>
      </c>
      <c r="F99">
        <v>328.60000600000001</v>
      </c>
      <c r="G99">
        <v>85607000</v>
      </c>
      <c r="I99">
        <f t="shared" si="5"/>
        <v>9.4720313606781237E-2</v>
      </c>
      <c r="J99">
        <v>0</v>
      </c>
      <c r="K99">
        <f t="shared" si="3"/>
        <v>9.4720313606781237E-2</v>
      </c>
      <c r="L99">
        <f t="shared" si="4"/>
        <v>9.4720313606781232</v>
      </c>
      <c r="M99">
        <v>1.01</v>
      </c>
    </row>
    <row r="100" spans="1:13" x14ac:dyDescent="0.2">
      <c r="A100" s="1">
        <v>44033</v>
      </c>
      <c r="B100">
        <v>327.98599200000001</v>
      </c>
      <c r="C100">
        <v>335</v>
      </c>
      <c r="D100">
        <v>311.60000600000001</v>
      </c>
      <c r="E100">
        <v>313.67199699999998</v>
      </c>
      <c r="F100">
        <v>313.67199699999998</v>
      </c>
      <c r="G100">
        <v>80536000</v>
      </c>
      <c r="I100">
        <f t="shared" si="5"/>
        <v>-4.5429119681756884E-2</v>
      </c>
      <c r="J100">
        <v>0</v>
      </c>
      <c r="K100">
        <f t="shared" si="3"/>
        <v>-4.5429119681756884E-2</v>
      </c>
      <c r="L100">
        <f t="shared" si="4"/>
        <v>-4.5429119681756882</v>
      </c>
      <c r="M100">
        <v>0.16</v>
      </c>
    </row>
    <row r="101" spans="1:13" x14ac:dyDescent="0.2">
      <c r="A101" s="1">
        <v>44034</v>
      </c>
      <c r="B101">
        <v>319.79998799999998</v>
      </c>
      <c r="C101">
        <v>325.283997</v>
      </c>
      <c r="D101">
        <v>312.39999399999999</v>
      </c>
      <c r="E101">
        <v>318.466003</v>
      </c>
      <c r="F101">
        <v>318.466003</v>
      </c>
      <c r="G101">
        <v>70805500</v>
      </c>
      <c r="I101">
        <f t="shared" si="5"/>
        <v>1.5283500107916948E-2</v>
      </c>
      <c r="J101">
        <v>0</v>
      </c>
      <c r="K101">
        <f t="shared" si="3"/>
        <v>1.5283500107916948E-2</v>
      </c>
      <c r="L101">
        <f t="shared" si="4"/>
        <v>1.5283500107916947</v>
      </c>
      <c r="M101">
        <v>0.49</v>
      </c>
    </row>
    <row r="102" spans="1:13" x14ac:dyDescent="0.2">
      <c r="A102" s="1">
        <v>44035</v>
      </c>
      <c r="B102">
        <v>335.790009</v>
      </c>
      <c r="C102">
        <v>337.79998799999998</v>
      </c>
      <c r="D102">
        <v>296.15399200000002</v>
      </c>
      <c r="E102">
        <v>302.614014</v>
      </c>
      <c r="F102">
        <v>302.614014</v>
      </c>
      <c r="G102">
        <v>121642500</v>
      </c>
      <c r="I102">
        <f t="shared" si="5"/>
        <v>-4.9776079238197372E-2</v>
      </c>
      <c r="J102">
        <v>0</v>
      </c>
      <c r="K102">
        <f t="shared" si="3"/>
        <v>-4.9776079238197372E-2</v>
      </c>
      <c r="L102">
        <f t="shared" si="4"/>
        <v>-4.977607923819737</v>
      </c>
      <c r="M102">
        <v>-1.2</v>
      </c>
    </row>
    <row r="103" spans="1:13" x14ac:dyDescent="0.2">
      <c r="A103" s="1">
        <v>44036</v>
      </c>
      <c r="B103">
        <v>283.20199600000001</v>
      </c>
      <c r="C103">
        <v>293</v>
      </c>
      <c r="D103">
        <v>273.30801400000001</v>
      </c>
      <c r="E103">
        <v>283.39999399999999</v>
      </c>
      <c r="F103">
        <v>283.39999399999999</v>
      </c>
      <c r="G103">
        <v>96983000</v>
      </c>
      <c r="I103">
        <f t="shared" si="5"/>
        <v>-6.34934904237449E-2</v>
      </c>
      <c r="J103">
        <v>0</v>
      </c>
      <c r="K103">
        <f t="shared" si="3"/>
        <v>-6.34934904237449E-2</v>
      </c>
      <c r="L103">
        <f t="shared" si="4"/>
        <v>-6.3493490423744898</v>
      </c>
      <c r="M103">
        <v>-0.75</v>
      </c>
    </row>
    <row r="104" spans="1:13" x14ac:dyDescent="0.2">
      <c r="A104" s="1">
        <v>44039</v>
      </c>
      <c r="B104">
        <v>287</v>
      </c>
      <c r="C104">
        <v>309.58801299999999</v>
      </c>
      <c r="D104">
        <v>282.60000600000001</v>
      </c>
      <c r="E104">
        <v>307.92001299999998</v>
      </c>
      <c r="F104">
        <v>307.92001299999998</v>
      </c>
      <c r="G104">
        <v>80243500</v>
      </c>
      <c r="I104">
        <f t="shared" si="5"/>
        <v>8.6520887505735056E-2</v>
      </c>
      <c r="J104">
        <v>0</v>
      </c>
      <c r="K104">
        <f t="shared" si="3"/>
        <v>8.6520887505735056E-2</v>
      </c>
      <c r="L104">
        <f t="shared" si="4"/>
        <v>8.6520887505735047</v>
      </c>
      <c r="M104">
        <v>0.88</v>
      </c>
    </row>
    <row r="105" spans="1:13" x14ac:dyDescent="0.2">
      <c r="A105" s="1">
        <v>44040</v>
      </c>
      <c r="B105">
        <v>300.79998799999998</v>
      </c>
      <c r="C105">
        <v>312.94000199999999</v>
      </c>
      <c r="D105">
        <v>294.88400300000001</v>
      </c>
      <c r="E105">
        <v>295.29800399999999</v>
      </c>
      <c r="F105">
        <v>295.29800399999999</v>
      </c>
      <c r="G105">
        <v>79043500</v>
      </c>
      <c r="I105">
        <f t="shared" si="5"/>
        <v>-4.0991194034536473E-2</v>
      </c>
      <c r="J105">
        <v>0</v>
      </c>
      <c r="K105">
        <f t="shared" si="3"/>
        <v>-4.0991194034536473E-2</v>
      </c>
      <c r="L105">
        <f t="shared" si="4"/>
        <v>-4.0991194034536473</v>
      </c>
      <c r="M105">
        <v>-0.81</v>
      </c>
    </row>
    <row r="106" spans="1:13" x14ac:dyDescent="0.2">
      <c r="A106" s="1">
        <v>44041</v>
      </c>
      <c r="B106">
        <v>300.20001200000002</v>
      </c>
      <c r="C106">
        <v>306.96200599999997</v>
      </c>
      <c r="D106">
        <v>297.39999399999999</v>
      </c>
      <c r="E106">
        <v>299.82199100000003</v>
      </c>
      <c r="F106">
        <v>299.82199100000003</v>
      </c>
      <c r="G106">
        <v>47134500</v>
      </c>
      <c r="I106">
        <f t="shared" si="5"/>
        <v>1.5320073074385E-2</v>
      </c>
      <c r="J106">
        <v>0</v>
      </c>
      <c r="K106">
        <f t="shared" si="3"/>
        <v>1.5320073074385E-2</v>
      </c>
      <c r="L106">
        <f t="shared" si="4"/>
        <v>1.5320073074384999</v>
      </c>
      <c r="M106">
        <v>1.35</v>
      </c>
    </row>
    <row r="107" spans="1:13" x14ac:dyDescent="0.2">
      <c r="A107" s="1">
        <v>44042</v>
      </c>
      <c r="B107">
        <v>297.60000600000001</v>
      </c>
      <c r="C107">
        <v>302.64801</v>
      </c>
      <c r="D107">
        <v>294.20001200000002</v>
      </c>
      <c r="E107">
        <v>297.49798600000003</v>
      </c>
      <c r="F107">
        <v>297.49798600000003</v>
      </c>
      <c r="G107">
        <v>38105000</v>
      </c>
      <c r="I107">
        <f t="shared" si="5"/>
        <v>-7.7512826602502269E-3</v>
      </c>
      <c r="J107">
        <v>0</v>
      </c>
      <c r="K107">
        <f t="shared" si="3"/>
        <v>-7.7512826602502269E-3</v>
      </c>
      <c r="L107">
        <f t="shared" si="4"/>
        <v>-0.77512826602502272</v>
      </c>
      <c r="M107">
        <v>-0.28999999999999998</v>
      </c>
    </row>
    <row r="108" spans="1:13" x14ac:dyDescent="0.2">
      <c r="A108" s="1">
        <v>44043</v>
      </c>
      <c r="B108">
        <v>303</v>
      </c>
      <c r="C108">
        <v>303.41000400000001</v>
      </c>
      <c r="D108">
        <v>284.19601399999999</v>
      </c>
      <c r="E108">
        <v>286.15200800000002</v>
      </c>
      <c r="F108">
        <v>286.15200800000002</v>
      </c>
      <c r="G108">
        <v>61041000</v>
      </c>
      <c r="I108">
        <f t="shared" si="5"/>
        <v>-3.8137999361111646E-2</v>
      </c>
      <c r="J108">
        <v>0</v>
      </c>
      <c r="K108">
        <f t="shared" si="3"/>
        <v>-3.8137999361111646E-2</v>
      </c>
      <c r="L108">
        <f t="shared" si="4"/>
        <v>-3.8137999361111645</v>
      </c>
      <c r="M108">
        <v>0.61</v>
      </c>
    </row>
    <row r="109" spans="1:13" x14ac:dyDescent="0.2">
      <c r="A109" s="1">
        <v>44046</v>
      </c>
      <c r="B109">
        <v>289.83999599999999</v>
      </c>
      <c r="C109">
        <v>301.96200599999997</v>
      </c>
      <c r="D109">
        <v>288.87600700000002</v>
      </c>
      <c r="E109">
        <v>297</v>
      </c>
      <c r="F109">
        <v>297</v>
      </c>
      <c r="G109">
        <v>44046500</v>
      </c>
      <c r="I109">
        <f t="shared" si="5"/>
        <v>3.7909892982473763E-2</v>
      </c>
      <c r="J109">
        <v>0</v>
      </c>
      <c r="K109">
        <f t="shared" si="3"/>
        <v>3.7909892982473763E-2</v>
      </c>
      <c r="L109">
        <f t="shared" si="4"/>
        <v>3.7909892982473763</v>
      </c>
      <c r="M109">
        <v>0.98</v>
      </c>
    </row>
    <row r="110" spans="1:13" x14ac:dyDescent="0.2">
      <c r="A110" s="1">
        <v>44047</v>
      </c>
      <c r="B110">
        <v>299.00201399999997</v>
      </c>
      <c r="C110">
        <v>305.48199499999998</v>
      </c>
      <c r="D110">
        <v>292.39999399999999</v>
      </c>
      <c r="E110">
        <v>297.39999399999999</v>
      </c>
      <c r="F110">
        <v>297.39999399999999</v>
      </c>
      <c r="G110">
        <v>42075000</v>
      </c>
      <c r="I110">
        <f t="shared" si="5"/>
        <v>1.3467811447811192E-3</v>
      </c>
      <c r="J110">
        <v>0</v>
      </c>
      <c r="K110">
        <f t="shared" si="3"/>
        <v>1.3467811447811192E-3</v>
      </c>
      <c r="L110">
        <f t="shared" si="4"/>
        <v>0.13467811447811193</v>
      </c>
      <c r="M110">
        <v>0.37</v>
      </c>
    </row>
    <row r="111" spans="1:13" x14ac:dyDescent="0.2">
      <c r="A111" s="1">
        <v>44048</v>
      </c>
      <c r="B111">
        <v>298.59799199999998</v>
      </c>
      <c r="C111">
        <v>299.96798699999999</v>
      </c>
      <c r="D111">
        <v>293.66198700000001</v>
      </c>
      <c r="E111">
        <v>297.00399800000002</v>
      </c>
      <c r="F111">
        <v>297.00399800000002</v>
      </c>
      <c r="G111">
        <v>24739000</v>
      </c>
      <c r="I111">
        <f t="shared" si="5"/>
        <v>-1.3315265904140141E-3</v>
      </c>
      <c r="J111">
        <v>0</v>
      </c>
      <c r="K111">
        <f t="shared" si="3"/>
        <v>-1.3315265904140141E-3</v>
      </c>
      <c r="L111">
        <f t="shared" si="4"/>
        <v>-0.13315265904140142</v>
      </c>
      <c r="M111">
        <v>0.78</v>
      </c>
    </row>
    <row r="112" spans="1:13" x14ac:dyDescent="0.2">
      <c r="A112" s="1">
        <v>44049</v>
      </c>
      <c r="B112">
        <v>298.16598499999998</v>
      </c>
      <c r="C112">
        <v>303.46200599999997</v>
      </c>
      <c r="D112">
        <v>295.45199600000001</v>
      </c>
      <c r="E112">
        <v>297.91598499999998</v>
      </c>
      <c r="F112">
        <v>297.91598499999998</v>
      </c>
      <c r="G112">
        <v>29961500</v>
      </c>
      <c r="I112">
        <f t="shared" si="5"/>
        <v>3.0706219651627504E-3</v>
      </c>
      <c r="J112">
        <v>0</v>
      </c>
      <c r="K112">
        <f t="shared" si="3"/>
        <v>3.0706219651627504E-3</v>
      </c>
      <c r="L112">
        <f t="shared" si="4"/>
        <v>0.30706219651627503</v>
      </c>
      <c r="M112">
        <v>0.53</v>
      </c>
    </row>
    <row r="113" spans="1:13" x14ac:dyDescent="0.2">
      <c r="A113" s="1">
        <v>44050</v>
      </c>
      <c r="B113">
        <v>299.90798999999998</v>
      </c>
      <c r="C113">
        <v>299.95001200000002</v>
      </c>
      <c r="D113">
        <v>283.00201399999997</v>
      </c>
      <c r="E113">
        <v>290.54199199999999</v>
      </c>
      <c r="F113">
        <v>290.54199199999999</v>
      </c>
      <c r="G113">
        <v>44482000</v>
      </c>
      <c r="I113">
        <f t="shared" si="5"/>
        <v>-2.4751921250549831E-2</v>
      </c>
      <c r="J113">
        <v>0</v>
      </c>
      <c r="K113">
        <f t="shared" si="3"/>
        <v>-2.4751921250549831E-2</v>
      </c>
      <c r="L113">
        <f t="shared" si="4"/>
        <v>-2.4751921250549831</v>
      </c>
      <c r="M113">
        <v>0.02</v>
      </c>
    </row>
    <row r="114" spans="1:13" x14ac:dyDescent="0.2">
      <c r="A114" s="1">
        <v>44053</v>
      </c>
      <c r="B114">
        <v>289.60000600000001</v>
      </c>
      <c r="C114">
        <v>291.5</v>
      </c>
      <c r="D114">
        <v>277.16799900000001</v>
      </c>
      <c r="E114">
        <v>283.71398900000003</v>
      </c>
      <c r="F114">
        <v>283.71398900000003</v>
      </c>
      <c r="G114">
        <v>37611500</v>
      </c>
      <c r="I114">
        <f t="shared" si="5"/>
        <v>-2.3500916177376409E-2</v>
      </c>
      <c r="J114">
        <v>0</v>
      </c>
      <c r="K114">
        <f t="shared" si="3"/>
        <v>-2.3500916177376409E-2</v>
      </c>
      <c r="L114">
        <f t="shared" si="4"/>
        <v>-2.350091617737641</v>
      </c>
      <c r="M114">
        <v>0.24</v>
      </c>
    </row>
    <row r="115" spans="1:13" x14ac:dyDescent="0.2">
      <c r="A115" s="1">
        <v>44054</v>
      </c>
      <c r="B115">
        <v>279.20001200000002</v>
      </c>
      <c r="C115">
        <v>284</v>
      </c>
      <c r="D115">
        <v>273</v>
      </c>
      <c r="E115">
        <v>274.87799100000001</v>
      </c>
      <c r="F115">
        <v>274.87799100000001</v>
      </c>
      <c r="G115">
        <v>43129000</v>
      </c>
      <c r="I115">
        <f t="shared" si="5"/>
        <v>-3.1144033578125813E-2</v>
      </c>
      <c r="J115">
        <v>0</v>
      </c>
      <c r="K115">
        <f t="shared" si="3"/>
        <v>-3.1144033578125813E-2</v>
      </c>
      <c r="L115">
        <f t="shared" si="4"/>
        <v>-3.1144033578125812</v>
      </c>
      <c r="M115">
        <v>-0.83</v>
      </c>
    </row>
    <row r="116" spans="1:13" x14ac:dyDescent="0.2">
      <c r="A116" s="1">
        <v>44055</v>
      </c>
      <c r="B116">
        <v>294</v>
      </c>
      <c r="C116">
        <v>317</v>
      </c>
      <c r="D116">
        <v>287</v>
      </c>
      <c r="E116">
        <v>310.95199600000001</v>
      </c>
      <c r="F116">
        <v>310.95199600000001</v>
      </c>
      <c r="G116">
        <v>109147000</v>
      </c>
      <c r="I116">
        <f t="shared" si="5"/>
        <v>0.13123642554561599</v>
      </c>
      <c r="J116">
        <v>0</v>
      </c>
      <c r="K116">
        <f t="shared" si="3"/>
        <v>0.13123642554561599</v>
      </c>
      <c r="L116">
        <f t="shared" si="4"/>
        <v>13.123642554561599</v>
      </c>
      <c r="M116">
        <v>1.4</v>
      </c>
    </row>
    <row r="117" spans="1:13" x14ac:dyDescent="0.2">
      <c r="A117" s="1">
        <v>44056</v>
      </c>
      <c r="B117">
        <v>322.20001200000002</v>
      </c>
      <c r="C117">
        <v>330.23599200000001</v>
      </c>
      <c r="D117">
        <v>313.45199600000001</v>
      </c>
      <c r="E117">
        <v>324.20001200000002</v>
      </c>
      <c r="F117">
        <v>324.20001200000002</v>
      </c>
      <c r="G117">
        <v>102126500</v>
      </c>
      <c r="I117">
        <f t="shared" si="5"/>
        <v>4.2604698379231525E-2</v>
      </c>
      <c r="J117">
        <v>0</v>
      </c>
      <c r="K117">
        <f t="shared" si="3"/>
        <v>4.2604698379231525E-2</v>
      </c>
      <c r="L117">
        <f t="shared" si="4"/>
        <v>4.2604698379231527</v>
      </c>
      <c r="M117">
        <v>-0.01</v>
      </c>
    </row>
    <row r="118" spans="1:13" x14ac:dyDescent="0.2">
      <c r="A118" s="1">
        <v>44057</v>
      </c>
      <c r="B118">
        <v>332.99798600000003</v>
      </c>
      <c r="C118">
        <v>333.76001000000002</v>
      </c>
      <c r="D118">
        <v>325.32800300000002</v>
      </c>
      <c r="E118">
        <v>330.141998</v>
      </c>
      <c r="F118">
        <v>330.141998</v>
      </c>
      <c r="G118">
        <v>62888000</v>
      </c>
      <c r="I118">
        <f t="shared" si="5"/>
        <v>1.8328148612159784E-2</v>
      </c>
      <c r="J118">
        <v>0</v>
      </c>
      <c r="K118">
        <f t="shared" si="3"/>
        <v>1.8328148612159784E-2</v>
      </c>
      <c r="L118">
        <f t="shared" si="4"/>
        <v>1.8328148612159785</v>
      </c>
      <c r="M118">
        <v>-0.04</v>
      </c>
    </row>
    <row r="119" spans="1:13" x14ac:dyDescent="0.2">
      <c r="A119" s="1">
        <v>44060</v>
      </c>
      <c r="B119">
        <v>335.39999399999999</v>
      </c>
      <c r="C119">
        <v>369.17199699999998</v>
      </c>
      <c r="D119">
        <v>334.56601000000001</v>
      </c>
      <c r="E119">
        <v>367.12799100000001</v>
      </c>
      <c r="F119">
        <v>367.12799100000001</v>
      </c>
      <c r="G119">
        <v>101211500</v>
      </c>
      <c r="I119">
        <f t="shared" si="5"/>
        <v>0.11203056025607505</v>
      </c>
      <c r="J119">
        <v>0</v>
      </c>
      <c r="K119">
        <f t="shared" si="3"/>
        <v>0.11203056025607505</v>
      </c>
      <c r="L119">
        <f t="shared" si="4"/>
        <v>11.203056025607506</v>
      </c>
      <c r="M119">
        <v>0.45</v>
      </c>
    </row>
    <row r="120" spans="1:13" x14ac:dyDescent="0.2">
      <c r="A120" s="1">
        <v>44061</v>
      </c>
      <c r="B120">
        <v>379.79800399999999</v>
      </c>
      <c r="C120">
        <v>384.77999899999998</v>
      </c>
      <c r="D120">
        <v>369.02200299999998</v>
      </c>
      <c r="E120">
        <v>377.41799900000001</v>
      </c>
      <c r="F120">
        <v>377.41799900000001</v>
      </c>
      <c r="G120">
        <v>82372500</v>
      </c>
      <c r="I120">
        <f t="shared" si="5"/>
        <v>2.8028394053996281E-2</v>
      </c>
      <c r="J120">
        <v>0</v>
      </c>
      <c r="K120">
        <f t="shared" si="3"/>
        <v>2.8028394053996281E-2</v>
      </c>
      <c r="L120">
        <f t="shared" si="4"/>
        <v>2.8028394053996282</v>
      </c>
      <c r="M120">
        <v>0.22</v>
      </c>
    </row>
    <row r="121" spans="1:13" x14ac:dyDescent="0.2">
      <c r="A121" s="1">
        <v>44062</v>
      </c>
      <c r="B121">
        <v>373</v>
      </c>
      <c r="C121">
        <v>382.20001200000002</v>
      </c>
      <c r="D121">
        <v>368.24200400000001</v>
      </c>
      <c r="E121">
        <v>375.70599399999998</v>
      </c>
      <c r="F121">
        <v>375.70599399999998</v>
      </c>
      <c r="G121">
        <v>61026500</v>
      </c>
      <c r="I121">
        <f t="shared" si="5"/>
        <v>-4.5360979193788615E-3</v>
      </c>
      <c r="J121">
        <v>0</v>
      </c>
      <c r="K121">
        <f t="shared" si="3"/>
        <v>-4.5360979193788615E-3</v>
      </c>
      <c r="L121">
        <f t="shared" si="4"/>
        <v>-0.45360979193788614</v>
      </c>
      <c r="M121">
        <v>-0.38</v>
      </c>
    </row>
    <row r="122" spans="1:13" x14ac:dyDescent="0.2">
      <c r="A122" s="1">
        <v>44063</v>
      </c>
      <c r="B122">
        <v>372.135986</v>
      </c>
      <c r="C122">
        <v>404.39801</v>
      </c>
      <c r="D122">
        <v>371.41198700000001</v>
      </c>
      <c r="E122">
        <v>400.36599699999999</v>
      </c>
      <c r="F122">
        <v>400.36599699999999</v>
      </c>
      <c r="G122">
        <v>103059000</v>
      </c>
      <c r="I122">
        <f t="shared" si="5"/>
        <v>6.5636437517150759E-2</v>
      </c>
      <c r="J122">
        <v>0</v>
      </c>
      <c r="K122">
        <f t="shared" si="3"/>
        <v>6.5636437517150759E-2</v>
      </c>
      <c r="L122">
        <f t="shared" si="4"/>
        <v>6.5636437517150759</v>
      </c>
      <c r="M122">
        <v>0.31</v>
      </c>
    </row>
    <row r="123" spans="1:13" x14ac:dyDescent="0.2">
      <c r="A123" s="1">
        <v>44064</v>
      </c>
      <c r="B123">
        <v>408.95199600000001</v>
      </c>
      <c r="C123">
        <v>419.09799199999998</v>
      </c>
      <c r="D123">
        <v>405.01001000000002</v>
      </c>
      <c r="E123">
        <v>409.99600199999998</v>
      </c>
      <c r="F123">
        <v>409.99600199999998</v>
      </c>
      <c r="G123">
        <v>107448000</v>
      </c>
      <c r="I123">
        <f t="shared" si="5"/>
        <v>2.4053004181571351E-2</v>
      </c>
      <c r="J123">
        <v>0</v>
      </c>
      <c r="K123">
        <f t="shared" si="3"/>
        <v>2.4053004181571351E-2</v>
      </c>
      <c r="L123">
        <f t="shared" si="4"/>
        <v>2.4053004181571351</v>
      </c>
      <c r="M123">
        <v>0.25</v>
      </c>
    </row>
    <row r="124" spans="1:13" x14ac:dyDescent="0.2">
      <c r="A124" s="1">
        <v>44067</v>
      </c>
      <c r="B124">
        <v>425.256012</v>
      </c>
      <c r="C124">
        <v>425.79998799999998</v>
      </c>
      <c r="D124">
        <v>385.50399800000002</v>
      </c>
      <c r="E124">
        <v>402.83999599999999</v>
      </c>
      <c r="F124">
        <v>402.83999599999999</v>
      </c>
      <c r="G124">
        <v>100318000</v>
      </c>
      <c r="I124">
        <f t="shared" si="5"/>
        <v>-1.7453843366989689E-2</v>
      </c>
      <c r="J124">
        <v>0</v>
      </c>
      <c r="K124">
        <f t="shared" si="3"/>
        <v>-1.7453843366989689E-2</v>
      </c>
      <c r="L124">
        <f t="shared" si="4"/>
        <v>-1.745384336698969</v>
      </c>
      <c r="M124">
        <v>0.92</v>
      </c>
    </row>
    <row r="125" spans="1:13" x14ac:dyDescent="0.2">
      <c r="A125" s="1">
        <v>44068</v>
      </c>
      <c r="B125">
        <v>394.97799700000002</v>
      </c>
      <c r="C125">
        <v>405.58999599999999</v>
      </c>
      <c r="D125">
        <v>393.60000600000001</v>
      </c>
      <c r="E125">
        <v>404.66799900000001</v>
      </c>
      <c r="F125">
        <v>404.66799900000001</v>
      </c>
      <c r="G125">
        <v>53294500</v>
      </c>
      <c r="I125">
        <f t="shared" si="5"/>
        <v>4.5377892417614455E-3</v>
      </c>
      <c r="J125">
        <v>0</v>
      </c>
      <c r="K125">
        <f t="shared" si="3"/>
        <v>4.5377892417614455E-3</v>
      </c>
      <c r="L125">
        <f t="shared" si="4"/>
        <v>0.45377892417614457</v>
      </c>
      <c r="M125">
        <v>0.36</v>
      </c>
    </row>
    <row r="126" spans="1:13" x14ac:dyDescent="0.2">
      <c r="A126" s="1">
        <v>44069</v>
      </c>
      <c r="B126">
        <v>412</v>
      </c>
      <c r="C126">
        <v>433.20001200000002</v>
      </c>
      <c r="D126">
        <v>410.72601300000002</v>
      </c>
      <c r="E126">
        <v>430.63400300000001</v>
      </c>
      <c r="F126">
        <v>430.63400300000001</v>
      </c>
      <c r="G126">
        <v>71197000</v>
      </c>
      <c r="I126">
        <f t="shared" si="5"/>
        <v>6.4166190714774057E-2</v>
      </c>
      <c r="J126">
        <v>0</v>
      </c>
      <c r="K126">
        <f t="shared" si="3"/>
        <v>6.4166190714774057E-2</v>
      </c>
      <c r="L126">
        <f t="shared" si="4"/>
        <v>6.4166190714774061</v>
      </c>
      <c r="M126">
        <v>1</v>
      </c>
    </row>
    <row r="127" spans="1:13" x14ac:dyDescent="0.2">
      <c r="A127" s="1">
        <v>44070</v>
      </c>
      <c r="B127">
        <v>436.09201000000002</v>
      </c>
      <c r="C127">
        <v>459.11999500000002</v>
      </c>
      <c r="D127">
        <v>428.5</v>
      </c>
      <c r="E127">
        <v>447.75</v>
      </c>
      <c r="F127">
        <v>447.75</v>
      </c>
      <c r="G127">
        <v>118465000</v>
      </c>
      <c r="I127">
        <f t="shared" si="5"/>
        <v>3.9746041605544076E-2</v>
      </c>
      <c r="J127">
        <v>0</v>
      </c>
      <c r="K127">
        <f t="shared" si="3"/>
        <v>3.9746041605544076E-2</v>
      </c>
      <c r="L127">
        <f t="shared" si="4"/>
        <v>3.9746041605544078</v>
      </c>
      <c r="M127">
        <v>0.18</v>
      </c>
    </row>
    <row r="128" spans="1:13" x14ac:dyDescent="0.2">
      <c r="A128" s="1">
        <v>44071</v>
      </c>
      <c r="B128">
        <v>459.02398699999998</v>
      </c>
      <c r="C128">
        <v>463.69799799999998</v>
      </c>
      <c r="D128">
        <v>437.30398600000001</v>
      </c>
      <c r="E128">
        <v>442.67999300000002</v>
      </c>
      <c r="F128">
        <v>442.67999300000002</v>
      </c>
      <c r="G128">
        <v>100406000</v>
      </c>
      <c r="I128">
        <f t="shared" si="5"/>
        <v>-1.1323298715801174E-2</v>
      </c>
      <c r="J128">
        <v>0</v>
      </c>
      <c r="K128">
        <f t="shared" si="3"/>
        <v>-1.1323298715801174E-2</v>
      </c>
      <c r="L128">
        <f t="shared" si="4"/>
        <v>-1.1323298715801173</v>
      </c>
      <c r="M128">
        <v>0.7</v>
      </c>
    </row>
    <row r="129" spans="1:13" x14ac:dyDescent="0.2">
      <c r="A129" s="1">
        <v>44074</v>
      </c>
      <c r="B129">
        <v>444.60998499999999</v>
      </c>
      <c r="C129">
        <v>500.14001500000001</v>
      </c>
      <c r="D129">
        <v>440.10998499999999</v>
      </c>
      <c r="E129">
        <v>498.32000699999998</v>
      </c>
      <c r="F129">
        <v>498.32000699999998</v>
      </c>
      <c r="G129">
        <v>118374400</v>
      </c>
      <c r="I129">
        <f t="shared" si="5"/>
        <v>0.12568901888457368</v>
      </c>
      <c r="J129">
        <v>0</v>
      </c>
      <c r="K129">
        <f t="shared" si="3"/>
        <v>0.12568901888457368</v>
      </c>
      <c r="L129">
        <f t="shared" si="4"/>
        <v>12.568901888457368</v>
      </c>
      <c r="M129">
        <v>-0.04</v>
      </c>
    </row>
    <row r="130" spans="1:13" x14ac:dyDescent="0.2">
      <c r="A130" s="1">
        <v>44075</v>
      </c>
      <c r="B130">
        <v>502.14001500000001</v>
      </c>
      <c r="C130">
        <v>502.48998999999998</v>
      </c>
      <c r="D130">
        <v>470.51001000000002</v>
      </c>
      <c r="E130">
        <v>475.04998799999998</v>
      </c>
      <c r="F130">
        <v>475.04998799999998</v>
      </c>
      <c r="G130">
        <v>89841100</v>
      </c>
      <c r="I130">
        <f t="shared" si="5"/>
        <v>-4.6696939061489438E-2</v>
      </c>
      <c r="J130">
        <v>0</v>
      </c>
      <c r="K130">
        <f t="shared" si="3"/>
        <v>-4.6696939061489438E-2</v>
      </c>
      <c r="L130">
        <f t="shared" si="4"/>
        <v>-4.669693906148944</v>
      </c>
      <c r="M130">
        <v>0.92</v>
      </c>
    </row>
    <row r="131" spans="1:13" x14ac:dyDescent="0.2">
      <c r="A131" s="1">
        <v>44076</v>
      </c>
      <c r="B131">
        <v>478.98998999999998</v>
      </c>
      <c r="C131">
        <v>479.040009</v>
      </c>
      <c r="D131">
        <v>405.11999500000002</v>
      </c>
      <c r="E131">
        <v>447.36999500000002</v>
      </c>
      <c r="F131">
        <v>447.36999500000002</v>
      </c>
      <c r="G131">
        <v>96176100</v>
      </c>
      <c r="I131">
        <f t="shared" si="5"/>
        <v>-5.8267537520703967E-2</v>
      </c>
      <c r="J131">
        <v>0</v>
      </c>
      <c r="K131">
        <f t="shared" si="3"/>
        <v>-5.8267537520703967E-2</v>
      </c>
      <c r="L131">
        <f t="shared" si="4"/>
        <v>-5.8267537520703971</v>
      </c>
      <c r="M131">
        <v>1.27</v>
      </c>
    </row>
    <row r="132" spans="1:13" x14ac:dyDescent="0.2">
      <c r="A132" s="1">
        <v>44077</v>
      </c>
      <c r="B132">
        <v>407.23001099999999</v>
      </c>
      <c r="C132">
        <v>431.79998799999998</v>
      </c>
      <c r="D132">
        <v>402</v>
      </c>
      <c r="E132">
        <v>407</v>
      </c>
      <c r="F132">
        <v>407</v>
      </c>
      <c r="G132">
        <v>87596100</v>
      </c>
      <c r="I132">
        <f t="shared" si="5"/>
        <v>-9.0238494872683664E-2</v>
      </c>
      <c r="J132">
        <v>0</v>
      </c>
      <c r="K132">
        <f t="shared" ref="K132:K195" si="6">I132-J132</f>
        <v>-9.0238494872683664E-2</v>
      </c>
      <c r="L132">
        <f t="shared" ref="L132:L195" si="7">100*K132</f>
        <v>-9.0238494872683663</v>
      </c>
      <c r="M132">
        <v>-3.7</v>
      </c>
    </row>
    <row r="133" spans="1:13" x14ac:dyDescent="0.2">
      <c r="A133" s="1">
        <v>44078</v>
      </c>
      <c r="B133">
        <v>402.80999800000001</v>
      </c>
      <c r="C133">
        <v>428</v>
      </c>
      <c r="D133">
        <v>372.01998900000001</v>
      </c>
      <c r="E133">
        <v>418.32000699999998</v>
      </c>
      <c r="F133">
        <v>418.32000699999998</v>
      </c>
      <c r="G133">
        <v>110321900</v>
      </c>
      <c r="I133">
        <f t="shared" ref="I133:I196" si="8">(F133-F132)/F132</f>
        <v>2.7813285012284951E-2</v>
      </c>
      <c r="J133">
        <v>0</v>
      </c>
      <c r="K133">
        <f t="shared" si="6"/>
        <v>2.7813285012284951E-2</v>
      </c>
      <c r="L133">
        <f t="shared" si="7"/>
        <v>2.781328501228495</v>
      </c>
      <c r="M133">
        <v>-0.87</v>
      </c>
    </row>
    <row r="134" spans="1:13" x14ac:dyDescent="0.2">
      <c r="A134" s="1">
        <v>44082</v>
      </c>
      <c r="B134">
        <v>356</v>
      </c>
      <c r="C134">
        <v>368.73998999999998</v>
      </c>
      <c r="D134">
        <v>329.88000499999998</v>
      </c>
      <c r="E134">
        <v>330.209991</v>
      </c>
      <c r="F134">
        <v>330.209991</v>
      </c>
      <c r="G134">
        <v>115465700</v>
      </c>
      <c r="I134">
        <f t="shared" si="8"/>
        <v>-0.21062826191815393</v>
      </c>
      <c r="J134">
        <v>0</v>
      </c>
      <c r="K134">
        <f t="shared" si="6"/>
        <v>-0.21062826191815393</v>
      </c>
      <c r="L134">
        <f t="shared" si="7"/>
        <v>-21.062826191815393</v>
      </c>
      <c r="M134">
        <v>-2.91</v>
      </c>
    </row>
    <row r="135" spans="1:13" x14ac:dyDescent="0.2">
      <c r="A135" s="1">
        <v>44083</v>
      </c>
      <c r="B135">
        <v>356.60000600000001</v>
      </c>
      <c r="C135">
        <v>369</v>
      </c>
      <c r="D135">
        <v>341.51001000000002</v>
      </c>
      <c r="E135">
        <v>366.27999899999998</v>
      </c>
      <c r="F135">
        <v>366.27999899999998</v>
      </c>
      <c r="G135">
        <v>79465800</v>
      </c>
      <c r="I135">
        <f t="shared" si="8"/>
        <v>0.10923354526847122</v>
      </c>
      <c r="J135">
        <v>0</v>
      </c>
      <c r="K135">
        <f t="shared" si="6"/>
        <v>0.10923354526847122</v>
      </c>
      <c r="L135">
        <f t="shared" si="7"/>
        <v>10.923354526847122</v>
      </c>
      <c r="M135">
        <v>2.0699999999999998</v>
      </c>
    </row>
    <row r="136" spans="1:13" x14ac:dyDescent="0.2">
      <c r="A136" s="1">
        <v>44084</v>
      </c>
      <c r="B136">
        <v>386.209991</v>
      </c>
      <c r="C136">
        <v>398.98998999999998</v>
      </c>
      <c r="D136">
        <v>360.55999800000001</v>
      </c>
      <c r="E136">
        <v>371.33999599999999</v>
      </c>
      <c r="F136">
        <v>371.33999599999999</v>
      </c>
      <c r="G136">
        <v>84930600</v>
      </c>
      <c r="I136">
        <f t="shared" si="8"/>
        <v>1.3814559937246288E-2</v>
      </c>
      <c r="J136">
        <v>0</v>
      </c>
      <c r="K136">
        <f t="shared" si="6"/>
        <v>1.3814559937246288E-2</v>
      </c>
      <c r="L136">
        <f t="shared" si="7"/>
        <v>1.3814559937246289</v>
      </c>
      <c r="M136">
        <v>-1.64</v>
      </c>
    </row>
    <row r="137" spans="1:13" x14ac:dyDescent="0.2">
      <c r="A137" s="1">
        <v>44085</v>
      </c>
      <c r="B137">
        <v>381.94000199999999</v>
      </c>
      <c r="C137">
        <v>382.5</v>
      </c>
      <c r="D137">
        <v>360.5</v>
      </c>
      <c r="E137">
        <v>372.72000100000002</v>
      </c>
      <c r="F137">
        <v>372.72000100000002</v>
      </c>
      <c r="G137">
        <v>60717500</v>
      </c>
      <c r="I137">
        <f t="shared" si="8"/>
        <v>3.7162843078181098E-3</v>
      </c>
      <c r="J137">
        <v>0</v>
      </c>
      <c r="K137">
        <f t="shared" si="6"/>
        <v>3.7162843078181098E-3</v>
      </c>
      <c r="L137">
        <f t="shared" si="7"/>
        <v>0.37162843078181096</v>
      </c>
      <c r="M137">
        <v>-0.06</v>
      </c>
    </row>
    <row r="138" spans="1:13" x14ac:dyDescent="0.2">
      <c r="A138" s="1">
        <v>44088</v>
      </c>
      <c r="B138">
        <v>380.95001200000002</v>
      </c>
      <c r="C138">
        <v>420</v>
      </c>
      <c r="D138">
        <v>373.29998799999998</v>
      </c>
      <c r="E138">
        <v>419.61999500000002</v>
      </c>
      <c r="F138">
        <v>419.61999500000002</v>
      </c>
      <c r="G138">
        <v>83020600</v>
      </c>
      <c r="I138">
        <f t="shared" si="8"/>
        <v>0.12583170711034633</v>
      </c>
      <c r="J138">
        <v>0</v>
      </c>
      <c r="K138">
        <f t="shared" si="6"/>
        <v>0.12583170711034633</v>
      </c>
      <c r="L138">
        <f t="shared" si="7"/>
        <v>12.583170711034633</v>
      </c>
      <c r="M138">
        <v>1.59</v>
      </c>
    </row>
    <row r="139" spans="1:13" x14ac:dyDescent="0.2">
      <c r="A139" s="1">
        <v>44089</v>
      </c>
      <c r="B139">
        <v>436.55999800000001</v>
      </c>
      <c r="C139">
        <v>461.94000199999999</v>
      </c>
      <c r="D139">
        <v>430.70001200000002</v>
      </c>
      <c r="E139">
        <v>449.76001000000002</v>
      </c>
      <c r="F139">
        <v>449.76001000000002</v>
      </c>
      <c r="G139">
        <v>97298200</v>
      </c>
      <c r="I139">
        <f t="shared" si="8"/>
        <v>7.1826927599100712E-2</v>
      </c>
      <c r="J139">
        <v>0</v>
      </c>
      <c r="K139">
        <f t="shared" si="6"/>
        <v>7.1826927599100712E-2</v>
      </c>
      <c r="L139">
        <f t="shared" si="7"/>
        <v>7.1826927599100712</v>
      </c>
      <c r="M139">
        <v>0.56999999999999995</v>
      </c>
    </row>
    <row r="140" spans="1:13" x14ac:dyDescent="0.2">
      <c r="A140" s="1">
        <v>44090</v>
      </c>
      <c r="B140">
        <v>439.86999500000002</v>
      </c>
      <c r="C140">
        <v>457.790009</v>
      </c>
      <c r="D140">
        <v>435.30999800000001</v>
      </c>
      <c r="E140">
        <v>441.76001000000002</v>
      </c>
      <c r="F140">
        <v>441.76001000000002</v>
      </c>
      <c r="G140">
        <v>72279300</v>
      </c>
      <c r="I140">
        <f t="shared" si="8"/>
        <v>-1.778726392326432E-2</v>
      </c>
      <c r="J140">
        <v>0</v>
      </c>
      <c r="K140">
        <f t="shared" si="6"/>
        <v>-1.778726392326432E-2</v>
      </c>
      <c r="L140">
        <f t="shared" si="7"/>
        <v>-1.778726392326432</v>
      </c>
      <c r="M140">
        <v>-0.39</v>
      </c>
    </row>
    <row r="141" spans="1:13" x14ac:dyDescent="0.2">
      <c r="A141" s="1">
        <v>44091</v>
      </c>
      <c r="B141">
        <v>415.60000600000001</v>
      </c>
      <c r="C141">
        <v>437.790009</v>
      </c>
      <c r="D141">
        <v>408</v>
      </c>
      <c r="E141">
        <v>423.42999300000002</v>
      </c>
      <c r="F141">
        <v>423.42999300000002</v>
      </c>
      <c r="G141">
        <v>76779200</v>
      </c>
      <c r="I141">
        <f t="shared" si="8"/>
        <v>-4.1493155978514211E-2</v>
      </c>
      <c r="J141">
        <v>0</v>
      </c>
      <c r="K141">
        <f t="shared" si="6"/>
        <v>-4.1493155978514211E-2</v>
      </c>
      <c r="L141">
        <f t="shared" si="7"/>
        <v>-4.1493155978514213</v>
      </c>
      <c r="M141">
        <v>-0.85</v>
      </c>
    </row>
    <row r="142" spans="1:13" x14ac:dyDescent="0.2">
      <c r="A142" s="1">
        <v>44092</v>
      </c>
      <c r="B142">
        <v>447.94000199999999</v>
      </c>
      <c r="C142">
        <v>451</v>
      </c>
      <c r="D142">
        <v>428.79998799999998</v>
      </c>
      <c r="E142">
        <v>442.14999399999999</v>
      </c>
      <c r="F142">
        <v>442.14999399999999</v>
      </c>
      <c r="G142">
        <v>86406800</v>
      </c>
      <c r="I142">
        <f t="shared" si="8"/>
        <v>4.4210380250508059E-2</v>
      </c>
      <c r="J142">
        <v>0</v>
      </c>
      <c r="K142">
        <f t="shared" si="6"/>
        <v>4.4210380250508059E-2</v>
      </c>
      <c r="L142">
        <f t="shared" si="7"/>
        <v>4.4210380250508061</v>
      </c>
      <c r="M142">
        <v>-0.88</v>
      </c>
    </row>
    <row r="143" spans="1:13" x14ac:dyDescent="0.2">
      <c r="A143" s="1">
        <v>44095</v>
      </c>
      <c r="B143">
        <v>453.13000499999998</v>
      </c>
      <c r="C143">
        <v>455.67999300000002</v>
      </c>
      <c r="D143">
        <v>407.07000699999998</v>
      </c>
      <c r="E143">
        <v>449.39001500000001</v>
      </c>
      <c r="F143">
        <v>449.39001500000001</v>
      </c>
      <c r="G143">
        <v>109476800</v>
      </c>
      <c r="I143">
        <f t="shared" si="8"/>
        <v>1.6374581246743188E-2</v>
      </c>
      <c r="J143">
        <v>0</v>
      </c>
      <c r="K143">
        <f t="shared" si="6"/>
        <v>1.6374581246743188E-2</v>
      </c>
      <c r="L143">
        <f t="shared" si="7"/>
        <v>1.6374581246743187</v>
      </c>
      <c r="M143">
        <v>-1.08</v>
      </c>
    </row>
    <row r="144" spans="1:13" x14ac:dyDescent="0.2">
      <c r="A144" s="1">
        <v>44096</v>
      </c>
      <c r="B144">
        <v>429.60000600000001</v>
      </c>
      <c r="C144">
        <v>437.76001000000002</v>
      </c>
      <c r="D144">
        <v>417.60000600000001</v>
      </c>
      <c r="E144">
        <v>424.23001099999999</v>
      </c>
      <c r="F144">
        <v>424.23001099999999</v>
      </c>
      <c r="G144">
        <v>79580800</v>
      </c>
      <c r="I144">
        <f t="shared" si="8"/>
        <v>-5.5987011638431741E-2</v>
      </c>
      <c r="J144">
        <v>0</v>
      </c>
      <c r="K144">
        <f t="shared" si="6"/>
        <v>-5.5987011638431741E-2</v>
      </c>
      <c r="L144">
        <f t="shared" si="7"/>
        <v>-5.5987011638431738</v>
      </c>
      <c r="M144">
        <v>1.02</v>
      </c>
    </row>
    <row r="145" spans="1:13" x14ac:dyDescent="0.2">
      <c r="A145" s="1">
        <v>44097</v>
      </c>
      <c r="B145">
        <v>405.16000400000001</v>
      </c>
      <c r="C145">
        <v>412.14999399999999</v>
      </c>
      <c r="D145">
        <v>375.88000499999998</v>
      </c>
      <c r="E145">
        <v>380.35998499999999</v>
      </c>
      <c r="F145">
        <v>380.35998499999999</v>
      </c>
      <c r="G145">
        <v>95074200</v>
      </c>
      <c r="I145">
        <f t="shared" si="8"/>
        <v>-0.10341094421063954</v>
      </c>
      <c r="J145">
        <v>0</v>
      </c>
      <c r="K145">
        <f t="shared" si="6"/>
        <v>-0.10341094421063954</v>
      </c>
      <c r="L145">
        <f t="shared" si="7"/>
        <v>-10.341094421063953</v>
      </c>
      <c r="M145">
        <v>-2.48</v>
      </c>
    </row>
    <row r="146" spans="1:13" x14ac:dyDescent="0.2">
      <c r="A146" s="1">
        <v>44098</v>
      </c>
      <c r="B146">
        <v>363.79998799999998</v>
      </c>
      <c r="C146">
        <v>399.5</v>
      </c>
      <c r="D146">
        <v>351.29998799999998</v>
      </c>
      <c r="E146">
        <v>387.790009</v>
      </c>
      <c r="F146">
        <v>387.790009</v>
      </c>
      <c r="G146">
        <v>96561100</v>
      </c>
      <c r="I146">
        <f t="shared" si="8"/>
        <v>1.9534189433728165E-2</v>
      </c>
      <c r="J146">
        <v>0</v>
      </c>
      <c r="K146">
        <f t="shared" si="6"/>
        <v>1.9534189433728165E-2</v>
      </c>
      <c r="L146">
        <f t="shared" si="7"/>
        <v>1.9534189433728164</v>
      </c>
      <c r="M146">
        <v>0.25</v>
      </c>
    </row>
    <row r="147" spans="1:13" x14ac:dyDescent="0.2">
      <c r="A147" s="1">
        <v>44099</v>
      </c>
      <c r="B147">
        <v>393.47000100000002</v>
      </c>
      <c r="C147">
        <v>408.73001099999999</v>
      </c>
      <c r="D147">
        <v>391.29998799999998</v>
      </c>
      <c r="E147">
        <v>407.33999599999999</v>
      </c>
      <c r="F147">
        <v>407.33999599999999</v>
      </c>
      <c r="G147">
        <v>67208500</v>
      </c>
      <c r="I147">
        <f t="shared" si="8"/>
        <v>5.041384910976391E-2</v>
      </c>
      <c r="J147">
        <v>0</v>
      </c>
      <c r="K147">
        <f t="shared" si="6"/>
        <v>5.041384910976391E-2</v>
      </c>
      <c r="L147">
        <f t="shared" si="7"/>
        <v>5.0413849109763911</v>
      </c>
      <c r="M147">
        <v>1.72</v>
      </c>
    </row>
    <row r="148" spans="1:13" x14ac:dyDescent="0.2">
      <c r="A148" s="1">
        <v>44102</v>
      </c>
      <c r="B148">
        <v>424.61999500000002</v>
      </c>
      <c r="C148">
        <v>428.07998700000002</v>
      </c>
      <c r="D148">
        <v>415.54998799999998</v>
      </c>
      <c r="E148">
        <v>421.20001200000002</v>
      </c>
      <c r="F148">
        <v>421.20001200000002</v>
      </c>
      <c r="G148">
        <v>49719600</v>
      </c>
      <c r="I148">
        <f t="shared" si="8"/>
        <v>3.402566930844677E-2</v>
      </c>
      <c r="J148">
        <v>0</v>
      </c>
      <c r="K148">
        <f t="shared" si="6"/>
        <v>3.402566930844677E-2</v>
      </c>
      <c r="L148">
        <f t="shared" si="7"/>
        <v>3.4025669308446771</v>
      </c>
      <c r="M148">
        <v>1.66</v>
      </c>
    </row>
    <row r="149" spans="1:13" x14ac:dyDescent="0.2">
      <c r="A149" s="1">
        <v>44103</v>
      </c>
      <c r="B149">
        <v>416</v>
      </c>
      <c r="C149">
        <v>428.5</v>
      </c>
      <c r="D149">
        <v>411.60000600000001</v>
      </c>
      <c r="E149">
        <v>419.07000699999998</v>
      </c>
      <c r="F149">
        <v>419.07000699999998</v>
      </c>
      <c r="G149">
        <v>50219300</v>
      </c>
      <c r="I149">
        <f t="shared" si="8"/>
        <v>-5.0569917837515153E-3</v>
      </c>
      <c r="J149">
        <v>0</v>
      </c>
      <c r="K149">
        <f t="shared" si="6"/>
        <v>-5.0569917837515153E-3</v>
      </c>
      <c r="L149">
        <f t="shared" si="7"/>
        <v>-0.50569917837515155</v>
      </c>
      <c r="M149">
        <v>-0.42</v>
      </c>
    </row>
    <row r="150" spans="1:13" x14ac:dyDescent="0.2">
      <c r="A150" s="1">
        <v>44104</v>
      </c>
      <c r="B150">
        <v>421.32000699999998</v>
      </c>
      <c r="C150">
        <v>433.92999300000002</v>
      </c>
      <c r="D150">
        <v>420.47000100000002</v>
      </c>
      <c r="E150">
        <v>429.01001000000002</v>
      </c>
      <c r="F150">
        <v>429.01001000000002</v>
      </c>
      <c r="G150">
        <v>48145600</v>
      </c>
      <c r="I150">
        <f t="shared" si="8"/>
        <v>2.3719194487712522E-2</v>
      </c>
      <c r="J150">
        <v>0</v>
      </c>
      <c r="K150">
        <f t="shared" si="6"/>
        <v>2.3719194487712522E-2</v>
      </c>
      <c r="L150">
        <f t="shared" si="7"/>
        <v>2.3719194487712523</v>
      </c>
      <c r="M150">
        <v>0.79</v>
      </c>
    </row>
    <row r="151" spans="1:13" x14ac:dyDescent="0.2">
      <c r="A151" s="1">
        <v>44105</v>
      </c>
      <c r="B151">
        <v>440.76001000000002</v>
      </c>
      <c r="C151">
        <v>448.88000499999998</v>
      </c>
      <c r="D151">
        <v>434.42001299999998</v>
      </c>
      <c r="E151">
        <v>448.16000400000001</v>
      </c>
      <c r="F151">
        <v>448.16000400000001</v>
      </c>
      <c r="G151">
        <v>50741500</v>
      </c>
      <c r="I151">
        <f t="shared" si="8"/>
        <v>4.4637639107768121E-2</v>
      </c>
      <c r="J151">
        <v>0</v>
      </c>
      <c r="K151">
        <f t="shared" si="6"/>
        <v>4.4637639107768121E-2</v>
      </c>
      <c r="L151">
        <f t="shared" si="7"/>
        <v>4.4637639107768123</v>
      </c>
      <c r="M151">
        <v>0.79</v>
      </c>
    </row>
    <row r="152" spans="1:13" x14ac:dyDescent="0.2">
      <c r="A152" s="1">
        <v>44106</v>
      </c>
      <c r="B152">
        <v>421.39001500000001</v>
      </c>
      <c r="C152">
        <v>439.13000499999998</v>
      </c>
      <c r="D152">
        <v>415</v>
      </c>
      <c r="E152">
        <v>415.08999599999999</v>
      </c>
      <c r="F152">
        <v>415.08999599999999</v>
      </c>
      <c r="G152">
        <v>71430000</v>
      </c>
      <c r="I152">
        <f t="shared" si="8"/>
        <v>-7.3790627688409313E-2</v>
      </c>
      <c r="J152">
        <v>0</v>
      </c>
      <c r="K152">
        <f t="shared" si="6"/>
        <v>-7.3790627688409313E-2</v>
      </c>
      <c r="L152">
        <f t="shared" si="7"/>
        <v>-7.3790627688409316</v>
      </c>
      <c r="M152">
        <v>-0.96</v>
      </c>
    </row>
    <row r="153" spans="1:13" x14ac:dyDescent="0.2">
      <c r="A153" s="1">
        <v>44109</v>
      </c>
      <c r="B153">
        <v>423.35000600000001</v>
      </c>
      <c r="C153">
        <v>433.64001500000001</v>
      </c>
      <c r="D153">
        <v>419.32998700000002</v>
      </c>
      <c r="E153">
        <v>425.67999300000002</v>
      </c>
      <c r="F153">
        <v>425.67999300000002</v>
      </c>
      <c r="G153">
        <v>44722800</v>
      </c>
      <c r="I153">
        <f t="shared" si="8"/>
        <v>2.551253246777848E-2</v>
      </c>
      <c r="J153">
        <v>0</v>
      </c>
      <c r="K153">
        <f t="shared" si="6"/>
        <v>2.551253246777848E-2</v>
      </c>
      <c r="L153">
        <f t="shared" si="7"/>
        <v>2.5512532467778479</v>
      </c>
      <c r="M153">
        <v>1.93</v>
      </c>
    </row>
    <row r="154" spans="1:13" x14ac:dyDescent="0.2">
      <c r="A154" s="1">
        <v>44110</v>
      </c>
      <c r="B154">
        <v>423.790009</v>
      </c>
      <c r="C154">
        <v>428.77999899999998</v>
      </c>
      <c r="D154">
        <v>406.04998799999998</v>
      </c>
      <c r="E154">
        <v>413.98001099999999</v>
      </c>
      <c r="F154">
        <v>413.98001099999999</v>
      </c>
      <c r="G154">
        <v>49146300</v>
      </c>
      <c r="I154">
        <f t="shared" si="8"/>
        <v>-2.7485393235288917E-2</v>
      </c>
      <c r="J154">
        <v>0</v>
      </c>
      <c r="K154">
        <f t="shared" si="6"/>
        <v>-2.7485393235288917E-2</v>
      </c>
      <c r="L154">
        <f t="shared" si="7"/>
        <v>-2.7485393235288917</v>
      </c>
      <c r="M154">
        <v>-1.28</v>
      </c>
    </row>
    <row r="155" spans="1:13" x14ac:dyDescent="0.2">
      <c r="A155" s="1">
        <v>44111</v>
      </c>
      <c r="B155">
        <v>419.86999500000002</v>
      </c>
      <c r="C155">
        <v>429.89999399999999</v>
      </c>
      <c r="D155">
        <v>413.85000600000001</v>
      </c>
      <c r="E155">
        <v>425.29998799999998</v>
      </c>
      <c r="F155">
        <v>425.29998799999998</v>
      </c>
      <c r="G155">
        <v>43127700</v>
      </c>
      <c r="I155">
        <f t="shared" si="8"/>
        <v>2.7344259865725726E-2</v>
      </c>
      <c r="J155">
        <v>0</v>
      </c>
      <c r="K155">
        <f t="shared" si="6"/>
        <v>2.7344259865725726E-2</v>
      </c>
      <c r="L155">
        <f t="shared" si="7"/>
        <v>2.7344259865725729</v>
      </c>
      <c r="M155">
        <v>1.84</v>
      </c>
    </row>
    <row r="156" spans="1:13" x14ac:dyDescent="0.2">
      <c r="A156" s="1">
        <v>44112</v>
      </c>
      <c r="B156">
        <v>438.44000199999999</v>
      </c>
      <c r="C156">
        <v>439</v>
      </c>
      <c r="D156">
        <v>425.29998799999998</v>
      </c>
      <c r="E156">
        <v>425.92001299999998</v>
      </c>
      <c r="F156">
        <v>425.92001299999998</v>
      </c>
      <c r="G156">
        <v>40421100</v>
      </c>
      <c r="I156">
        <f t="shared" si="8"/>
        <v>1.4578533211714981E-3</v>
      </c>
      <c r="J156">
        <v>0</v>
      </c>
      <c r="K156">
        <f t="shared" si="6"/>
        <v>1.4578533211714981E-3</v>
      </c>
      <c r="L156">
        <f t="shared" si="7"/>
        <v>0.14578533211714981</v>
      </c>
      <c r="M156">
        <v>0.8</v>
      </c>
    </row>
    <row r="157" spans="1:13" x14ac:dyDescent="0.2">
      <c r="A157" s="1">
        <v>44113</v>
      </c>
      <c r="B157">
        <v>430.13000499999998</v>
      </c>
      <c r="C157">
        <v>434.58999599999999</v>
      </c>
      <c r="D157">
        <v>426.459991</v>
      </c>
      <c r="E157">
        <v>434</v>
      </c>
      <c r="F157">
        <v>434</v>
      </c>
      <c r="G157">
        <v>28925700</v>
      </c>
      <c r="I157">
        <f t="shared" si="8"/>
        <v>1.8970667621575267E-2</v>
      </c>
      <c r="J157">
        <v>0</v>
      </c>
      <c r="K157">
        <f t="shared" si="6"/>
        <v>1.8970667621575267E-2</v>
      </c>
      <c r="L157">
        <f t="shared" si="7"/>
        <v>1.8970667621575268</v>
      </c>
      <c r="M157">
        <v>0.93</v>
      </c>
    </row>
    <row r="158" spans="1:13" x14ac:dyDescent="0.2">
      <c r="A158" s="1">
        <v>44116</v>
      </c>
      <c r="B158">
        <v>442</v>
      </c>
      <c r="C158">
        <v>448.73998999999998</v>
      </c>
      <c r="D158">
        <v>438.57998700000002</v>
      </c>
      <c r="E158">
        <v>442.29998799999998</v>
      </c>
      <c r="F158">
        <v>442.29998799999998</v>
      </c>
      <c r="G158">
        <v>38791100</v>
      </c>
      <c r="I158">
        <f t="shared" si="8"/>
        <v>1.9124396313364021E-2</v>
      </c>
      <c r="J158">
        <v>0</v>
      </c>
      <c r="K158">
        <f t="shared" si="6"/>
        <v>1.9124396313364021E-2</v>
      </c>
      <c r="L158">
        <f t="shared" si="7"/>
        <v>1.912439631336402</v>
      </c>
      <c r="M158">
        <v>1.53</v>
      </c>
    </row>
    <row r="159" spans="1:13" x14ac:dyDescent="0.2">
      <c r="A159" s="1">
        <v>44117</v>
      </c>
      <c r="B159">
        <v>443.35000600000001</v>
      </c>
      <c r="C159">
        <v>448.89001500000001</v>
      </c>
      <c r="D159">
        <v>436.60000600000001</v>
      </c>
      <c r="E159">
        <v>446.64999399999999</v>
      </c>
      <c r="F159">
        <v>446.64999399999999</v>
      </c>
      <c r="G159">
        <v>34463700</v>
      </c>
      <c r="I159">
        <f t="shared" si="8"/>
        <v>9.8349674836527637E-3</v>
      </c>
      <c r="J159">
        <v>0</v>
      </c>
      <c r="K159">
        <f t="shared" si="6"/>
        <v>9.8349674836527637E-3</v>
      </c>
      <c r="L159">
        <f t="shared" si="7"/>
        <v>0.98349674836527634</v>
      </c>
      <c r="M159">
        <v>-0.41</v>
      </c>
    </row>
    <row r="160" spans="1:13" x14ac:dyDescent="0.2">
      <c r="A160" s="1">
        <v>44118</v>
      </c>
      <c r="B160">
        <v>449.77999899999998</v>
      </c>
      <c r="C160">
        <v>465.89999399999999</v>
      </c>
      <c r="D160">
        <v>447.35000600000001</v>
      </c>
      <c r="E160">
        <v>461.29998799999998</v>
      </c>
      <c r="F160">
        <v>461.29998799999998</v>
      </c>
      <c r="G160">
        <v>47879700</v>
      </c>
      <c r="I160">
        <f t="shared" si="8"/>
        <v>3.2799718340531296E-2</v>
      </c>
      <c r="J160">
        <v>0</v>
      </c>
      <c r="K160">
        <f t="shared" si="6"/>
        <v>3.2799718340531296E-2</v>
      </c>
      <c r="L160">
        <f t="shared" si="7"/>
        <v>3.2799718340531294</v>
      </c>
      <c r="M160">
        <v>-0.65</v>
      </c>
    </row>
    <row r="161" spans="1:13" x14ac:dyDescent="0.2">
      <c r="A161" s="1">
        <v>44119</v>
      </c>
      <c r="B161">
        <v>450.30999800000001</v>
      </c>
      <c r="C161">
        <v>456.57000699999998</v>
      </c>
      <c r="D161">
        <v>442.5</v>
      </c>
      <c r="E161">
        <v>448.88000499999998</v>
      </c>
      <c r="F161">
        <v>448.88000499999998</v>
      </c>
      <c r="G161">
        <v>35672400</v>
      </c>
      <c r="I161">
        <f t="shared" si="8"/>
        <v>-2.6923874535197262E-2</v>
      </c>
      <c r="J161">
        <v>0</v>
      </c>
      <c r="K161">
        <f t="shared" si="6"/>
        <v>-2.6923874535197262E-2</v>
      </c>
      <c r="L161">
        <f t="shared" si="7"/>
        <v>-2.6923874535197263</v>
      </c>
      <c r="M161">
        <v>-0.08</v>
      </c>
    </row>
    <row r="162" spans="1:13" x14ac:dyDescent="0.2">
      <c r="A162" s="1">
        <v>44120</v>
      </c>
      <c r="B162">
        <v>454.44000199999999</v>
      </c>
      <c r="C162">
        <v>455.95001200000002</v>
      </c>
      <c r="D162">
        <v>438.85000600000001</v>
      </c>
      <c r="E162">
        <v>439.67001299999998</v>
      </c>
      <c r="F162">
        <v>439.67001299999998</v>
      </c>
      <c r="G162">
        <v>32775900</v>
      </c>
      <c r="I162">
        <f t="shared" si="8"/>
        <v>-2.0517714973737805E-2</v>
      </c>
      <c r="J162">
        <v>0</v>
      </c>
      <c r="K162">
        <f t="shared" si="6"/>
        <v>-2.0517714973737805E-2</v>
      </c>
      <c r="L162">
        <f t="shared" si="7"/>
        <v>-2.0517714973737804</v>
      </c>
      <c r="M162">
        <v>-0.06</v>
      </c>
    </row>
    <row r="163" spans="1:13" x14ac:dyDescent="0.2">
      <c r="A163" s="1">
        <v>44123</v>
      </c>
      <c r="B163">
        <v>446.23998999999998</v>
      </c>
      <c r="C163">
        <v>447</v>
      </c>
      <c r="D163">
        <v>428.86999500000002</v>
      </c>
      <c r="E163">
        <v>430.82998700000002</v>
      </c>
      <c r="F163">
        <v>430.82998700000002</v>
      </c>
      <c r="G163">
        <v>36287800</v>
      </c>
      <c r="I163">
        <f t="shared" si="8"/>
        <v>-2.0106047123118143E-2</v>
      </c>
      <c r="J163">
        <v>0</v>
      </c>
      <c r="K163">
        <f t="shared" si="6"/>
        <v>-2.0106047123118143E-2</v>
      </c>
      <c r="L163">
        <f t="shared" si="7"/>
        <v>-2.0106047123118143</v>
      </c>
      <c r="M163">
        <v>-1.53</v>
      </c>
    </row>
    <row r="164" spans="1:13" x14ac:dyDescent="0.2">
      <c r="A164" s="1">
        <v>44124</v>
      </c>
      <c r="B164">
        <v>431.75</v>
      </c>
      <c r="C164">
        <v>431.75</v>
      </c>
      <c r="D164">
        <v>419.04998799999998</v>
      </c>
      <c r="E164">
        <v>421.94000199999999</v>
      </c>
      <c r="F164">
        <v>421.94000199999999</v>
      </c>
      <c r="G164">
        <v>31656300</v>
      </c>
      <c r="I164">
        <f t="shared" si="8"/>
        <v>-2.0634554855161517E-2</v>
      </c>
      <c r="J164">
        <v>0</v>
      </c>
      <c r="K164">
        <f t="shared" si="6"/>
        <v>-2.0634554855161517E-2</v>
      </c>
      <c r="L164">
        <f t="shared" si="7"/>
        <v>-2.0634554855161515</v>
      </c>
      <c r="M164">
        <v>0.34</v>
      </c>
    </row>
    <row r="165" spans="1:13" x14ac:dyDescent="0.2">
      <c r="A165" s="1">
        <v>44125</v>
      </c>
      <c r="B165">
        <v>422.70001200000002</v>
      </c>
      <c r="C165">
        <v>432.95001200000002</v>
      </c>
      <c r="D165">
        <v>421.25</v>
      </c>
      <c r="E165">
        <v>422.64001500000001</v>
      </c>
      <c r="F165">
        <v>422.64001500000001</v>
      </c>
      <c r="G165">
        <v>32370500</v>
      </c>
      <c r="I165">
        <f t="shared" si="8"/>
        <v>1.6590344520120012E-3</v>
      </c>
      <c r="J165">
        <v>0</v>
      </c>
      <c r="K165">
        <f t="shared" si="6"/>
        <v>1.6590344520120012E-3</v>
      </c>
      <c r="L165">
        <f t="shared" si="7"/>
        <v>0.16590344520120012</v>
      </c>
      <c r="M165">
        <v>-0.36</v>
      </c>
    </row>
    <row r="166" spans="1:13" x14ac:dyDescent="0.2">
      <c r="A166" s="1">
        <v>44126</v>
      </c>
      <c r="B166">
        <v>441.92001299999998</v>
      </c>
      <c r="C166">
        <v>445.23001099999999</v>
      </c>
      <c r="D166">
        <v>424.51001000000002</v>
      </c>
      <c r="E166">
        <v>425.790009</v>
      </c>
      <c r="F166">
        <v>425.790009</v>
      </c>
      <c r="G166">
        <v>39993200</v>
      </c>
      <c r="I166">
        <f t="shared" si="8"/>
        <v>7.453137157398578E-3</v>
      </c>
      <c r="J166">
        <v>0</v>
      </c>
      <c r="K166">
        <f t="shared" si="6"/>
        <v>7.453137157398578E-3</v>
      </c>
      <c r="L166">
        <f t="shared" si="7"/>
        <v>0.74531371573985783</v>
      </c>
      <c r="M166">
        <v>0.67</v>
      </c>
    </row>
    <row r="167" spans="1:13" x14ac:dyDescent="0.2">
      <c r="A167" s="1">
        <v>44127</v>
      </c>
      <c r="B167">
        <v>421.83999599999999</v>
      </c>
      <c r="C167">
        <v>422.89001500000001</v>
      </c>
      <c r="D167">
        <v>407.38000499999998</v>
      </c>
      <c r="E167">
        <v>420.63000499999998</v>
      </c>
      <c r="F167">
        <v>420.63000499999998</v>
      </c>
      <c r="G167">
        <v>33717000</v>
      </c>
      <c r="I167">
        <f t="shared" si="8"/>
        <v>-1.2118659176899605E-2</v>
      </c>
      <c r="J167">
        <v>0</v>
      </c>
      <c r="K167">
        <f t="shared" si="6"/>
        <v>-1.2118659176899605E-2</v>
      </c>
      <c r="L167">
        <f t="shared" si="7"/>
        <v>-1.2118659176899604</v>
      </c>
      <c r="M167">
        <v>0.38</v>
      </c>
    </row>
    <row r="168" spans="1:13" x14ac:dyDescent="0.2">
      <c r="A168" s="1">
        <v>44130</v>
      </c>
      <c r="B168">
        <v>411.63000499999998</v>
      </c>
      <c r="C168">
        <v>425.76001000000002</v>
      </c>
      <c r="D168">
        <v>410</v>
      </c>
      <c r="E168">
        <v>420.27999899999998</v>
      </c>
      <c r="F168">
        <v>420.27999899999998</v>
      </c>
      <c r="G168">
        <v>28239200</v>
      </c>
      <c r="I168">
        <f t="shared" si="8"/>
        <v>-8.3209945995176351E-4</v>
      </c>
      <c r="J168">
        <v>0</v>
      </c>
      <c r="K168">
        <f t="shared" si="6"/>
        <v>-8.3209945995176351E-4</v>
      </c>
      <c r="L168">
        <f t="shared" si="7"/>
        <v>-8.3209945995176351E-2</v>
      </c>
      <c r="M168">
        <v>-1.85</v>
      </c>
    </row>
    <row r="169" spans="1:13" x14ac:dyDescent="0.2">
      <c r="A169" s="1">
        <v>44131</v>
      </c>
      <c r="B169">
        <v>423.76001000000002</v>
      </c>
      <c r="C169">
        <v>430.5</v>
      </c>
      <c r="D169">
        <v>420.10000600000001</v>
      </c>
      <c r="E169">
        <v>424.67999300000002</v>
      </c>
      <c r="F169">
        <v>424.67999300000002</v>
      </c>
      <c r="G169">
        <v>22686500</v>
      </c>
      <c r="I169">
        <f t="shared" si="8"/>
        <v>1.0469196750902366E-2</v>
      </c>
      <c r="J169">
        <v>0</v>
      </c>
      <c r="K169">
        <f t="shared" si="6"/>
        <v>1.0469196750902366E-2</v>
      </c>
      <c r="L169">
        <f t="shared" si="7"/>
        <v>1.0469196750902365</v>
      </c>
      <c r="M169">
        <v>-0.23</v>
      </c>
    </row>
    <row r="170" spans="1:13" x14ac:dyDescent="0.2">
      <c r="A170" s="1">
        <v>44132</v>
      </c>
      <c r="B170">
        <v>416.48001099999999</v>
      </c>
      <c r="C170">
        <v>418.60000600000001</v>
      </c>
      <c r="D170">
        <v>406</v>
      </c>
      <c r="E170">
        <v>406.01998900000001</v>
      </c>
      <c r="F170">
        <v>406.01998900000001</v>
      </c>
      <c r="G170">
        <v>25451400</v>
      </c>
      <c r="I170">
        <f t="shared" si="8"/>
        <v>-4.3938975952653399E-2</v>
      </c>
      <c r="J170">
        <v>0</v>
      </c>
      <c r="K170">
        <f t="shared" si="6"/>
        <v>-4.3938975952653399E-2</v>
      </c>
      <c r="L170">
        <f t="shared" si="7"/>
        <v>-4.3938975952653401</v>
      </c>
      <c r="M170">
        <v>-3.41</v>
      </c>
    </row>
    <row r="171" spans="1:13" x14ac:dyDescent="0.2">
      <c r="A171" s="1">
        <v>44133</v>
      </c>
      <c r="B171">
        <v>409.959991</v>
      </c>
      <c r="C171">
        <v>418.05999800000001</v>
      </c>
      <c r="D171">
        <v>406.459991</v>
      </c>
      <c r="E171">
        <v>410.82998700000002</v>
      </c>
      <c r="F171">
        <v>410.82998700000002</v>
      </c>
      <c r="G171">
        <v>22655300</v>
      </c>
      <c r="I171">
        <f t="shared" si="8"/>
        <v>1.1846702453853835E-2</v>
      </c>
      <c r="J171">
        <v>0</v>
      </c>
      <c r="K171">
        <f t="shared" si="6"/>
        <v>1.1846702453853835E-2</v>
      </c>
      <c r="L171">
        <f t="shared" si="7"/>
        <v>1.1846702453853835</v>
      </c>
      <c r="M171">
        <v>1.1299999999999999</v>
      </c>
    </row>
    <row r="172" spans="1:13" x14ac:dyDescent="0.2">
      <c r="A172" s="1">
        <v>44134</v>
      </c>
      <c r="B172">
        <v>406.89999399999999</v>
      </c>
      <c r="C172">
        <v>407.58999599999999</v>
      </c>
      <c r="D172">
        <v>379.10998499999999</v>
      </c>
      <c r="E172">
        <v>388.040009</v>
      </c>
      <c r="F172">
        <v>388.040009</v>
      </c>
      <c r="G172">
        <v>42511300</v>
      </c>
      <c r="I172">
        <f t="shared" si="8"/>
        <v>-5.5473014923810848E-2</v>
      </c>
      <c r="J172">
        <v>0</v>
      </c>
      <c r="K172">
        <f t="shared" si="6"/>
        <v>-5.5473014923810848E-2</v>
      </c>
      <c r="L172">
        <f t="shared" si="7"/>
        <v>-5.5473014923810844</v>
      </c>
      <c r="M172">
        <v>-1.45</v>
      </c>
    </row>
    <row r="173" spans="1:13" x14ac:dyDescent="0.2">
      <c r="A173" s="1">
        <v>44137</v>
      </c>
      <c r="B173">
        <v>394</v>
      </c>
      <c r="C173">
        <v>406.98001099999999</v>
      </c>
      <c r="D173">
        <v>392.29998799999998</v>
      </c>
      <c r="E173">
        <v>400.51001000000002</v>
      </c>
      <c r="F173">
        <v>400.51001000000002</v>
      </c>
      <c r="G173">
        <v>29021100</v>
      </c>
      <c r="I173">
        <f t="shared" si="8"/>
        <v>3.2135864113950231E-2</v>
      </c>
      <c r="J173">
        <v>0</v>
      </c>
      <c r="K173">
        <f t="shared" si="6"/>
        <v>3.2135864113950231E-2</v>
      </c>
      <c r="L173">
        <f t="shared" si="7"/>
        <v>3.2135864113950232</v>
      </c>
      <c r="M173">
        <v>1.17</v>
      </c>
    </row>
    <row r="174" spans="1:13" x14ac:dyDescent="0.2">
      <c r="A174" s="1">
        <v>44138</v>
      </c>
      <c r="B174">
        <v>409.73001099999999</v>
      </c>
      <c r="C174">
        <v>427.76998900000001</v>
      </c>
      <c r="D174">
        <v>406.69000199999999</v>
      </c>
      <c r="E174">
        <v>423.89999399999999</v>
      </c>
      <c r="F174">
        <v>423.89999399999999</v>
      </c>
      <c r="G174">
        <v>34351700</v>
      </c>
      <c r="I174">
        <f t="shared" si="8"/>
        <v>5.8400497905158395E-2</v>
      </c>
      <c r="J174">
        <v>0</v>
      </c>
      <c r="K174">
        <f t="shared" si="6"/>
        <v>5.8400497905158395E-2</v>
      </c>
      <c r="L174">
        <f t="shared" si="7"/>
        <v>5.8400497905158399</v>
      </c>
      <c r="M174">
        <v>1.93</v>
      </c>
    </row>
    <row r="175" spans="1:13" x14ac:dyDescent="0.2">
      <c r="A175" s="1">
        <v>44139</v>
      </c>
      <c r="B175">
        <v>430.61999500000002</v>
      </c>
      <c r="C175">
        <v>435.39999399999999</v>
      </c>
      <c r="D175">
        <v>417.10000600000001</v>
      </c>
      <c r="E175">
        <v>420.98001099999999</v>
      </c>
      <c r="F175">
        <v>420.98001099999999</v>
      </c>
      <c r="G175">
        <v>32143100</v>
      </c>
      <c r="I175">
        <f t="shared" si="8"/>
        <v>-6.888377073201851E-3</v>
      </c>
      <c r="J175">
        <v>0</v>
      </c>
      <c r="K175">
        <f t="shared" si="6"/>
        <v>-6.888377073201851E-3</v>
      </c>
      <c r="L175">
        <f t="shared" si="7"/>
        <v>-0.68883770732018512</v>
      </c>
      <c r="M175">
        <v>2.25</v>
      </c>
    </row>
    <row r="176" spans="1:13" x14ac:dyDescent="0.2">
      <c r="A176" s="1">
        <v>44140</v>
      </c>
      <c r="B176">
        <v>428.29998799999998</v>
      </c>
      <c r="C176">
        <v>440</v>
      </c>
      <c r="D176">
        <v>424</v>
      </c>
      <c r="E176">
        <v>438.08999599999999</v>
      </c>
      <c r="F176">
        <v>438.08999599999999</v>
      </c>
      <c r="G176">
        <v>28414500</v>
      </c>
      <c r="I176">
        <f t="shared" si="8"/>
        <v>4.0643224269382223E-2</v>
      </c>
      <c r="J176">
        <v>0</v>
      </c>
      <c r="K176">
        <f t="shared" si="6"/>
        <v>4.0643224269382223E-2</v>
      </c>
      <c r="L176">
        <f t="shared" si="7"/>
        <v>4.0643224269382223</v>
      </c>
      <c r="M176">
        <v>2.13</v>
      </c>
    </row>
    <row r="177" spans="1:13" x14ac:dyDescent="0.2">
      <c r="A177" s="1">
        <v>44141</v>
      </c>
      <c r="B177">
        <v>436.10000600000001</v>
      </c>
      <c r="C177">
        <v>436.57000699999998</v>
      </c>
      <c r="D177">
        <v>424.27999899999998</v>
      </c>
      <c r="E177">
        <v>429.95001200000002</v>
      </c>
      <c r="F177">
        <v>429.95001200000002</v>
      </c>
      <c r="G177">
        <v>21706000</v>
      </c>
      <c r="I177">
        <f t="shared" si="8"/>
        <v>-1.8580620590112652E-2</v>
      </c>
      <c r="J177">
        <v>0</v>
      </c>
      <c r="K177">
        <f t="shared" si="6"/>
        <v>-1.8580620590112652E-2</v>
      </c>
      <c r="L177">
        <f t="shared" si="7"/>
        <v>-1.8580620590112653</v>
      </c>
      <c r="M177">
        <v>0.01</v>
      </c>
    </row>
    <row r="178" spans="1:13" x14ac:dyDescent="0.2">
      <c r="A178" s="1">
        <v>44144</v>
      </c>
      <c r="B178">
        <v>439.5</v>
      </c>
      <c r="C178">
        <v>452.5</v>
      </c>
      <c r="D178">
        <v>421</v>
      </c>
      <c r="E178">
        <v>421.26001000000002</v>
      </c>
      <c r="F178">
        <v>421.26001000000002</v>
      </c>
      <c r="G178">
        <v>34833000</v>
      </c>
      <c r="I178">
        <f t="shared" si="8"/>
        <v>-2.0211656605326464E-2</v>
      </c>
      <c r="J178">
        <v>0</v>
      </c>
      <c r="K178">
        <f t="shared" si="6"/>
        <v>-2.0211656605326464E-2</v>
      </c>
      <c r="L178">
        <f t="shared" si="7"/>
        <v>-2.0211656605326462</v>
      </c>
      <c r="M178">
        <v>0.82</v>
      </c>
    </row>
    <row r="179" spans="1:13" x14ac:dyDescent="0.2">
      <c r="A179" s="1">
        <v>44145</v>
      </c>
      <c r="B179">
        <v>420.08999599999999</v>
      </c>
      <c r="C179">
        <v>420.08999599999999</v>
      </c>
      <c r="D179">
        <v>396.02999899999998</v>
      </c>
      <c r="E179">
        <v>410.35998499999999</v>
      </c>
      <c r="F179">
        <v>410.35998499999999</v>
      </c>
      <c r="G179">
        <v>30284200</v>
      </c>
      <c r="I179">
        <f t="shared" si="8"/>
        <v>-2.5874815413881862E-2</v>
      </c>
      <c r="J179">
        <v>0</v>
      </c>
      <c r="K179">
        <f t="shared" si="6"/>
        <v>-2.5874815413881862E-2</v>
      </c>
      <c r="L179">
        <f t="shared" si="7"/>
        <v>-2.5874815413881862</v>
      </c>
      <c r="M179">
        <v>-0.17</v>
      </c>
    </row>
    <row r="180" spans="1:13" x14ac:dyDescent="0.2">
      <c r="A180" s="1">
        <v>44146</v>
      </c>
      <c r="B180">
        <v>416.45001200000002</v>
      </c>
      <c r="C180">
        <v>418.70001200000002</v>
      </c>
      <c r="D180">
        <v>410.57998700000002</v>
      </c>
      <c r="E180">
        <v>417.13000499999998</v>
      </c>
      <c r="F180">
        <v>417.13000499999998</v>
      </c>
      <c r="G180">
        <v>17357700</v>
      </c>
      <c r="I180">
        <f t="shared" si="8"/>
        <v>1.6497758669135314E-2</v>
      </c>
      <c r="J180">
        <v>0</v>
      </c>
      <c r="K180">
        <f t="shared" si="6"/>
        <v>1.6497758669135314E-2</v>
      </c>
      <c r="L180">
        <f t="shared" si="7"/>
        <v>1.6497758669135314</v>
      </c>
      <c r="M180">
        <v>0.88</v>
      </c>
    </row>
    <row r="181" spans="1:13" x14ac:dyDescent="0.2">
      <c r="A181" s="1">
        <v>44147</v>
      </c>
      <c r="B181">
        <v>415.04998799999998</v>
      </c>
      <c r="C181">
        <v>423</v>
      </c>
      <c r="D181">
        <v>409.51998900000001</v>
      </c>
      <c r="E181">
        <v>411.76001000000002</v>
      </c>
      <c r="F181">
        <v>411.76001000000002</v>
      </c>
      <c r="G181">
        <v>19855100</v>
      </c>
      <c r="I181">
        <f t="shared" si="8"/>
        <v>-1.2873672321893891E-2</v>
      </c>
      <c r="J181">
        <v>0</v>
      </c>
      <c r="K181">
        <f t="shared" si="6"/>
        <v>-1.2873672321893891E-2</v>
      </c>
      <c r="L181">
        <f t="shared" si="7"/>
        <v>-1.2873672321893892</v>
      </c>
      <c r="M181">
        <v>-0.94</v>
      </c>
    </row>
    <row r="182" spans="1:13" x14ac:dyDescent="0.2">
      <c r="A182" s="1">
        <v>44148</v>
      </c>
      <c r="B182">
        <v>410.85000600000001</v>
      </c>
      <c r="C182">
        <v>412.52999899999998</v>
      </c>
      <c r="D182">
        <v>401.66000400000001</v>
      </c>
      <c r="E182">
        <v>408.5</v>
      </c>
      <c r="F182">
        <v>408.5</v>
      </c>
      <c r="G182">
        <v>19771100</v>
      </c>
      <c r="I182">
        <f t="shared" si="8"/>
        <v>-7.9172574335230426E-3</v>
      </c>
      <c r="J182">
        <v>0</v>
      </c>
      <c r="K182">
        <f t="shared" si="6"/>
        <v>-7.9172574335230426E-3</v>
      </c>
      <c r="L182">
        <f t="shared" si="7"/>
        <v>-0.79172574335230428</v>
      </c>
      <c r="M182">
        <v>1.31</v>
      </c>
    </row>
    <row r="183" spans="1:13" x14ac:dyDescent="0.2">
      <c r="A183" s="1">
        <v>44151</v>
      </c>
      <c r="B183">
        <v>408.92999300000002</v>
      </c>
      <c r="C183">
        <v>412.45001200000002</v>
      </c>
      <c r="D183">
        <v>404.08999599999999</v>
      </c>
      <c r="E183">
        <v>408.08999599999999</v>
      </c>
      <c r="F183">
        <v>408.08999599999999</v>
      </c>
      <c r="G183">
        <v>26838600</v>
      </c>
      <c r="I183">
        <f t="shared" si="8"/>
        <v>-1.0036817625459361E-3</v>
      </c>
      <c r="J183">
        <v>0</v>
      </c>
      <c r="K183">
        <f t="shared" si="6"/>
        <v>-1.0036817625459361E-3</v>
      </c>
      <c r="L183">
        <f t="shared" si="7"/>
        <v>-0.10036817625459361</v>
      </c>
      <c r="M183">
        <v>1.22</v>
      </c>
    </row>
    <row r="184" spans="1:13" x14ac:dyDescent="0.2">
      <c r="A184" s="1">
        <v>44152</v>
      </c>
      <c r="B184">
        <v>460.17001299999998</v>
      </c>
      <c r="C184">
        <v>462</v>
      </c>
      <c r="D184">
        <v>433.01001000000002</v>
      </c>
      <c r="E184">
        <v>441.60998499999999</v>
      </c>
      <c r="F184">
        <v>441.60998499999999</v>
      </c>
      <c r="G184">
        <v>61188300</v>
      </c>
      <c r="I184">
        <f t="shared" si="8"/>
        <v>8.2138717754796448E-2</v>
      </c>
      <c r="J184">
        <v>0</v>
      </c>
      <c r="K184">
        <f t="shared" si="6"/>
        <v>8.2138717754796448E-2</v>
      </c>
      <c r="L184">
        <f t="shared" si="7"/>
        <v>8.2138717754796442</v>
      </c>
      <c r="M184">
        <v>-0.19</v>
      </c>
    </row>
    <row r="185" spans="1:13" x14ac:dyDescent="0.2">
      <c r="A185" s="1">
        <v>44153</v>
      </c>
      <c r="B185">
        <v>448.35000600000001</v>
      </c>
      <c r="C185">
        <v>496</v>
      </c>
      <c r="D185">
        <v>443.5</v>
      </c>
      <c r="E185">
        <v>486.64001500000001</v>
      </c>
      <c r="F185">
        <v>486.64001500000001</v>
      </c>
      <c r="G185">
        <v>78044000</v>
      </c>
      <c r="I185">
        <f t="shared" si="8"/>
        <v>0.10196787103896668</v>
      </c>
      <c r="J185">
        <v>0</v>
      </c>
      <c r="K185">
        <f t="shared" si="6"/>
        <v>0.10196787103896668</v>
      </c>
      <c r="L185">
        <f t="shared" si="7"/>
        <v>10.196787103896668</v>
      </c>
      <c r="M185">
        <v>-0.93</v>
      </c>
    </row>
    <row r="186" spans="1:13" x14ac:dyDescent="0.2">
      <c r="A186" s="1">
        <v>44154</v>
      </c>
      <c r="B186">
        <v>492</v>
      </c>
      <c r="C186">
        <v>508.60998499999999</v>
      </c>
      <c r="D186">
        <v>487.57000699999998</v>
      </c>
      <c r="E186">
        <v>499.26998900000001</v>
      </c>
      <c r="F186">
        <v>499.26998900000001</v>
      </c>
      <c r="G186">
        <v>62475300</v>
      </c>
      <c r="I186">
        <f t="shared" si="8"/>
        <v>2.5953422675280832E-2</v>
      </c>
      <c r="J186">
        <v>0</v>
      </c>
      <c r="K186">
        <f t="shared" si="6"/>
        <v>2.5953422675280832E-2</v>
      </c>
      <c r="L186">
        <f t="shared" si="7"/>
        <v>2.5953422675280833</v>
      </c>
      <c r="M186">
        <v>0.59</v>
      </c>
    </row>
    <row r="187" spans="1:13" x14ac:dyDescent="0.2">
      <c r="A187" s="1">
        <v>44155</v>
      </c>
      <c r="B187">
        <v>497.98998999999998</v>
      </c>
      <c r="C187">
        <v>502.5</v>
      </c>
      <c r="D187">
        <v>489.05999800000001</v>
      </c>
      <c r="E187">
        <v>489.60998499999999</v>
      </c>
      <c r="F187">
        <v>489.60998499999999</v>
      </c>
      <c r="G187">
        <v>32911900</v>
      </c>
      <c r="I187">
        <f t="shared" si="8"/>
        <v>-1.9348256880707515E-2</v>
      </c>
      <c r="J187">
        <v>0</v>
      </c>
      <c r="K187">
        <f t="shared" si="6"/>
        <v>-1.9348256880707515E-2</v>
      </c>
      <c r="L187">
        <f t="shared" si="7"/>
        <v>-1.9348256880707515</v>
      </c>
      <c r="M187">
        <v>-0.51</v>
      </c>
    </row>
    <row r="188" spans="1:13" x14ac:dyDescent="0.2">
      <c r="A188" s="1">
        <v>44158</v>
      </c>
      <c r="B188">
        <v>503.5</v>
      </c>
      <c r="C188">
        <v>526</v>
      </c>
      <c r="D188">
        <v>501.790009</v>
      </c>
      <c r="E188">
        <v>521.84997599999997</v>
      </c>
      <c r="F188">
        <v>521.84997599999997</v>
      </c>
      <c r="G188">
        <v>50260300</v>
      </c>
      <c r="I188">
        <f t="shared" si="8"/>
        <v>6.5848311896661946E-2</v>
      </c>
      <c r="J188">
        <v>0</v>
      </c>
      <c r="K188">
        <f t="shared" si="6"/>
        <v>6.5848311896661946E-2</v>
      </c>
      <c r="L188">
        <f t="shared" si="7"/>
        <v>6.5848311896661942</v>
      </c>
      <c r="M188">
        <v>0.83</v>
      </c>
    </row>
    <row r="189" spans="1:13" x14ac:dyDescent="0.2">
      <c r="A189" s="1">
        <v>44159</v>
      </c>
      <c r="B189">
        <v>540.40002400000003</v>
      </c>
      <c r="C189">
        <v>559.98999000000003</v>
      </c>
      <c r="D189">
        <v>526.20001200000002</v>
      </c>
      <c r="E189">
        <v>555.38000499999998</v>
      </c>
      <c r="F189">
        <v>555.38000499999998</v>
      </c>
      <c r="G189">
        <v>53648500</v>
      </c>
      <c r="I189">
        <f t="shared" si="8"/>
        <v>6.4252238271636938E-2</v>
      </c>
      <c r="J189">
        <v>0</v>
      </c>
      <c r="K189">
        <f t="shared" si="6"/>
        <v>6.4252238271636938E-2</v>
      </c>
      <c r="L189">
        <f t="shared" si="7"/>
        <v>6.4252238271636939</v>
      </c>
      <c r="M189">
        <v>1.56</v>
      </c>
    </row>
    <row r="190" spans="1:13" x14ac:dyDescent="0.2">
      <c r="A190" s="1">
        <v>44160</v>
      </c>
      <c r="B190">
        <v>550.05999799999995</v>
      </c>
      <c r="C190">
        <v>574</v>
      </c>
      <c r="D190">
        <v>545.36999500000002</v>
      </c>
      <c r="E190">
        <v>574</v>
      </c>
      <c r="F190">
        <v>574</v>
      </c>
      <c r="G190">
        <v>48930200</v>
      </c>
      <c r="I190">
        <f t="shared" si="8"/>
        <v>3.3526585099152101E-2</v>
      </c>
      <c r="J190">
        <v>0</v>
      </c>
      <c r="K190">
        <f t="shared" si="6"/>
        <v>3.3526585099152101E-2</v>
      </c>
      <c r="L190">
        <f t="shared" si="7"/>
        <v>3.35265850991521</v>
      </c>
      <c r="M190">
        <v>0.03</v>
      </c>
    </row>
    <row r="191" spans="1:13" x14ac:dyDescent="0.2">
      <c r="A191" s="1">
        <v>44162</v>
      </c>
      <c r="B191">
        <v>581.15997300000004</v>
      </c>
      <c r="C191">
        <v>598.78002900000001</v>
      </c>
      <c r="D191">
        <v>578.45001200000002</v>
      </c>
      <c r="E191">
        <v>585.76000999999997</v>
      </c>
      <c r="F191">
        <v>585.76000999999997</v>
      </c>
      <c r="G191">
        <v>37561100</v>
      </c>
      <c r="I191">
        <f t="shared" si="8"/>
        <v>2.0487822299651508E-2</v>
      </c>
      <c r="J191">
        <v>0</v>
      </c>
      <c r="K191">
        <f t="shared" si="6"/>
        <v>2.0487822299651508E-2</v>
      </c>
      <c r="L191">
        <f t="shared" si="7"/>
        <v>2.0487822299651506</v>
      </c>
      <c r="M191">
        <v>0.43</v>
      </c>
    </row>
    <row r="192" spans="1:13" x14ac:dyDescent="0.2">
      <c r="A192" s="1">
        <v>44165</v>
      </c>
      <c r="B192">
        <v>602.21002199999998</v>
      </c>
      <c r="C192">
        <v>607.79998799999998</v>
      </c>
      <c r="D192">
        <v>554.51000999999997</v>
      </c>
      <c r="E192">
        <v>567.59997599999997</v>
      </c>
      <c r="F192">
        <v>567.59997599999997</v>
      </c>
      <c r="G192">
        <v>63003100</v>
      </c>
      <c r="I192">
        <f t="shared" si="8"/>
        <v>-3.100251585969482E-2</v>
      </c>
      <c r="J192">
        <v>0</v>
      </c>
      <c r="K192">
        <f t="shared" si="6"/>
        <v>-3.100251585969482E-2</v>
      </c>
      <c r="L192">
        <f t="shared" si="7"/>
        <v>-3.1002515859694819</v>
      </c>
      <c r="M192">
        <v>-0.53</v>
      </c>
    </row>
    <row r="193" spans="1:13" x14ac:dyDescent="0.2">
      <c r="A193" s="1">
        <v>44166</v>
      </c>
      <c r="B193">
        <v>597.59002699999996</v>
      </c>
      <c r="C193">
        <v>597.84997599999997</v>
      </c>
      <c r="D193">
        <v>572.04998799999998</v>
      </c>
      <c r="E193">
        <v>584.76000999999997</v>
      </c>
      <c r="F193">
        <v>584.76000999999997</v>
      </c>
      <c r="G193">
        <v>40103500</v>
      </c>
      <c r="I193">
        <f t="shared" si="8"/>
        <v>3.0232619319208703E-2</v>
      </c>
      <c r="J193">
        <v>0</v>
      </c>
      <c r="K193">
        <f t="shared" si="6"/>
        <v>3.0232619319208703E-2</v>
      </c>
      <c r="L193">
        <f t="shared" si="7"/>
        <v>3.0232619319208704</v>
      </c>
      <c r="M193">
        <v>0.98</v>
      </c>
    </row>
    <row r="194" spans="1:13" x14ac:dyDescent="0.2">
      <c r="A194" s="1">
        <v>44167</v>
      </c>
      <c r="B194">
        <v>556.44000200000005</v>
      </c>
      <c r="C194">
        <v>571.53997800000002</v>
      </c>
      <c r="D194">
        <v>541.21002199999998</v>
      </c>
      <c r="E194">
        <v>568.82000700000003</v>
      </c>
      <c r="F194">
        <v>568.82000700000003</v>
      </c>
      <c r="G194">
        <v>47775700</v>
      </c>
      <c r="I194">
        <f t="shared" si="8"/>
        <v>-2.7259051110557191E-2</v>
      </c>
      <c r="J194">
        <v>0</v>
      </c>
      <c r="K194">
        <f t="shared" si="6"/>
        <v>-2.7259051110557191E-2</v>
      </c>
      <c r="L194">
        <f t="shared" si="7"/>
        <v>-2.7259051110557193</v>
      </c>
      <c r="M194">
        <v>0.11</v>
      </c>
    </row>
    <row r="195" spans="1:13" x14ac:dyDescent="0.2">
      <c r="A195" s="1">
        <v>44168</v>
      </c>
      <c r="B195">
        <v>590.02002000000005</v>
      </c>
      <c r="C195">
        <v>598.96997099999999</v>
      </c>
      <c r="D195">
        <v>582.42999299999997</v>
      </c>
      <c r="E195">
        <v>593.38000499999998</v>
      </c>
      <c r="F195">
        <v>593.38000499999998</v>
      </c>
      <c r="G195">
        <v>42552000</v>
      </c>
      <c r="I195">
        <f t="shared" si="8"/>
        <v>4.3177099429978293E-2</v>
      </c>
      <c r="J195">
        <v>0</v>
      </c>
      <c r="K195">
        <f t="shared" si="6"/>
        <v>4.3177099429978293E-2</v>
      </c>
      <c r="L195">
        <f t="shared" si="7"/>
        <v>4.317709942997829</v>
      </c>
      <c r="M195">
        <v>0.18</v>
      </c>
    </row>
    <row r="196" spans="1:13" x14ac:dyDescent="0.2">
      <c r="A196" s="1">
        <v>44169</v>
      </c>
      <c r="B196">
        <v>591.01000999999997</v>
      </c>
      <c r="C196">
        <v>599.03997800000002</v>
      </c>
      <c r="D196">
        <v>585.5</v>
      </c>
      <c r="E196">
        <v>599.03997800000002</v>
      </c>
      <c r="F196">
        <v>599.03997800000002</v>
      </c>
      <c r="G196">
        <v>29401300</v>
      </c>
      <c r="I196">
        <f t="shared" si="8"/>
        <v>9.5385300352343969E-3</v>
      </c>
      <c r="J196">
        <v>0</v>
      </c>
      <c r="K196">
        <f t="shared" ref="K196:K252" si="9">I196-J196</f>
        <v>9.5385300352343969E-3</v>
      </c>
      <c r="L196">
        <f t="shared" ref="L196:L252" si="10">100*K196</f>
        <v>0.95385300352343971</v>
      </c>
      <c r="M196">
        <v>1.02</v>
      </c>
    </row>
    <row r="197" spans="1:13" x14ac:dyDescent="0.2">
      <c r="A197" s="1">
        <v>44172</v>
      </c>
      <c r="B197">
        <v>604.919983</v>
      </c>
      <c r="C197">
        <v>648.78997800000002</v>
      </c>
      <c r="D197">
        <v>603.04998799999998</v>
      </c>
      <c r="E197">
        <v>641.76000999999997</v>
      </c>
      <c r="F197">
        <v>641.76000999999997</v>
      </c>
      <c r="G197">
        <v>56309700</v>
      </c>
      <c r="I197">
        <f t="shared" ref="I197:I252" si="11">(F197-F196)/F196</f>
        <v>7.131415860194884E-2</v>
      </c>
      <c r="J197">
        <v>0</v>
      </c>
      <c r="K197">
        <f t="shared" si="9"/>
        <v>7.131415860194884E-2</v>
      </c>
      <c r="L197">
        <f t="shared" si="10"/>
        <v>7.1314158601948838</v>
      </c>
      <c r="M197">
        <v>0.03</v>
      </c>
    </row>
    <row r="198" spans="1:13" x14ac:dyDescent="0.2">
      <c r="A198" s="1">
        <v>44173</v>
      </c>
      <c r="B198">
        <v>625.51000999999997</v>
      </c>
      <c r="C198">
        <v>651.28002900000001</v>
      </c>
      <c r="D198">
        <v>618.5</v>
      </c>
      <c r="E198">
        <v>649.88000499999998</v>
      </c>
      <c r="F198">
        <v>649.88000499999998</v>
      </c>
      <c r="G198">
        <v>64265000</v>
      </c>
      <c r="I198">
        <f t="shared" si="11"/>
        <v>1.2652697072851295E-2</v>
      </c>
      <c r="J198">
        <v>0</v>
      </c>
      <c r="K198">
        <f t="shared" si="9"/>
        <v>1.2652697072851295E-2</v>
      </c>
      <c r="L198">
        <f t="shared" si="10"/>
        <v>1.2652697072851296</v>
      </c>
      <c r="M198">
        <v>0.47</v>
      </c>
    </row>
    <row r="199" spans="1:13" x14ac:dyDescent="0.2">
      <c r="A199" s="1">
        <v>44174</v>
      </c>
      <c r="B199">
        <v>653.69000200000005</v>
      </c>
      <c r="C199">
        <v>654.32000700000003</v>
      </c>
      <c r="D199">
        <v>588</v>
      </c>
      <c r="E199">
        <v>604.47997999999995</v>
      </c>
      <c r="F199">
        <v>604.47997999999995</v>
      </c>
      <c r="G199">
        <v>71291200</v>
      </c>
      <c r="I199">
        <f t="shared" si="11"/>
        <v>-6.985908883286851E-2</v>
      </c>
      <c r="J199">
        <v>0</v>
      </c>
      <c r="K199">
        <f t="shared" si="9"/>
        <v>-6.985908883286851E-2</v>
      </c>
      <c r="L199">
        <f t="shared" si="10"/>
        <v>-6.985908883286851</v>
      </c>
      <c r="M199">
        <v>-1.03</v>
      </c>
    </row>
    <row r="200" spans="1:13" x14ac:dyDescent="0.2">
      <c r="A200" s="1">
        <v>44175</v>
      </c>
      <c r="B200">
        <v>574.36999500000002</v>
      </c>
      <c r="C200">
        <v>627.75</v>
      </c>
      <c r="D200">
        <v>566.34002699999996</v>
      </c>
      <c r="E200">
        <v>627.07000700000003</v>
      </c>
      <c r="F200">
        <v>627.07000700000003</v>
      </c>
      <c r="G200">
        <v>67083200</v>
      </c>
      <c r="I200">
        <f t="shared" si="11"/>
        <v>3.7371009375695256E-2</v>
      </c>
      <c r="J200">
        <v>0</v>
      </c>
      <c r="K200">
        <f t="shared" si="9"/>
        <v>3.7371009375695256E-2</v>
      </c>
      <c r="L200">
        <f t="shared" si="10"/>
        <v>3.7371009375695254</v>
      </c>
      <c r="M200">
        <v>0.24</v>
      </c>
    </row>
    <row r="201" spans="1:13" x14ac:dyDescent="0.2">
      <c r="A201" s="1">
        <v>44176</v>
      </c>
      <c r="B201">
        <v>615.01000999999997</v>
      </c>
      <c r="C201">
        <v>624</v>
      </c>
      <c r="D201">
        <v>596.79998799999998</v>
      </c>
      <c r="E201">
        <v>609.98999000000003</v>
      </c>
      <c r="F201">
        <v>609.98999000000003</v>
      </c>
      <c r="G201">
        <v>46475000</v>
      </c>
      <c r="I201">
        <f t="shared" si="11"/>
        <v>-2.723781525082573E-2</v>
      </c>
      <c r="J201">
        <v>0</v>
      </c>
      <c r="K201">
        <f t="shared" si="9"/>
        <v>-2.723781525082573E-2</v>
      </c>
      <c r="L201">
        <f t="shared" si="10"/>
        <v>-2.7237815250825732</v>
      </c>
      <c r="M201">
        <v>-0.2</v>
      </c>
    </row>
    <row r="202" spans="1:13" x14ac:dyDescent="0.2">
      <c r="A202" s="1">
        <v>44179</v>
      </c>
      <c r="B202">
        <v>619</v>
      </c>
      <c r="C202">
        <v>642.75</v>
      </c>
      <c r="D202">
        <v>610.20001200000002</v>
      </c>
      <c r="E202">
        <v>639.830017</v>
      </c>
      <c r="F202">
        <v>639.830017</v>
      </c>
      <c r="G202">
        <v>52040600</v>
      </c>
      <c r="I202">
        <f t="shared" si="11"/>
        <v>4.8918879799978297E-2</v>
      </c>
      <c r="J202">
        <v>0</v>
      </c>
      <c r="K202">
        <f t="shared" si="9"/>
        <v>4.8918879799978297E-2</v>
      </c>
      <c r="L202">
        <f t="shared" si="10"/>
        <v>4.8918879799978301</v>
      </c>
      <c r="M202">
        <v>-0.28000000000000003</v>
      </c>
    </row>
    <row r="203" spans="1:13" x14ac:dyDescent="0.2">
      <c r="A203" s="1">
        <v>44180</v>
      </c>
      <c r="B203">
        <v>643.28002900000001</v>
      </c>
      <c r="C203">
        <v>646.90002400000003</v>
      </c>
      <c r="D203">
        <v>623.79998799999998</v>
      </c>
      <c r="E203">
        <v>633.25</v>
      </c>
      <c r="F203">
        <v>633.25</v>
      </c>
      <c r="G203">
        <v>45071500</v>
      </c>
      <c r="I203">
        <f t="shared" si="11"/>
        <v>-1.0284007978950445E-2</v>
      </c>
      <c r="J203">
        <v>0</v>
      </c>
      <c r="K203">
        <f t="shared" si="9"/>
        <v>-1.0284007978950445E-2</v>
      </c>
      <c r="L203">
        <f t="shared" si="10"/>
        <v>-1.0284007978950445</v>
      </c>
      <c r="M203">
        <v>1.28</v>
      </c>
    </row>
    <row r="204" spans="1:13" x14ac:dyDescent="0.2">
      <c r="A204" s="1">
        <v>44181</v>
      </c>
      <c r="B204">
        <v>628.22997999999995</v>
      </c>
      <c r="C204">
        <v>632.5</v>
      </c>
      <c r="D204">
        <v>605</v>
      </c>
      <c r="E204">
        <v>622.77002000000005</v>
      </c>
      <c r="F204">
        <v>622.77002000000005</v>
      </c>
      <c r="G204">
        <v>42095800</v>
      </c>
      <c r="I204">
        <f t="shared" si="11"/>
        <v>-1.6549514409790692E-2</v>
      </c>
      <c r="J204">
        <v>0</v>
      </c>
      <c r="K204">
        <f t="shared" si="9"/>
        <v>-1.6549514409790692E-2</v>
      </c>
      <c r="L204">
        <f t="shared" si="10"/>
        <v>-1.6549514409790693</v>
      </c>
      <c r="M204">
        <v>0.17</v>
      </c>
    </row>
    <row r="205" spans="1:13" x14ac:dyDescent="0.2">
      <c r="A205" s="1">
        <v>44182</v>
      </c>
      <c r="B205">
        <v>628.19000200000005</v>
      </c>
      <c r="C205">
        <v>658.82000700000003</v>
      </c>
      <c r="D205">
        <v>619.5</v>
      </c>
      <c r="E205">
        <v>655.90002400000003</v>
      </c>
      <c r="F205">
        <v>655.90002400000003</v>
      </c>
      <c r="G205">
        <v>56270100</v>
      </c>
      <c r="I205">
        <f t="shared" si="11"/>
        <v>5.3197814499805214E-2</v>
      </c>
      <c r="J205">
        <v>0</v>
      </c>
      <c r="K205">
        <f t="shared" si="9"/>
        <v>5.3197814499805214E-2</v>
      </c>
      <c r="L205">
        <f t="shared" si="10"/>
        <v>5.3197814499805212</v>
      </c>
      <c r="M205">
        <v>0.79</v>
      </c>
    </row>
    <row r="206" spans="1:13" x14ac:dyDescent="0.2">
      <c r="A206" s="1">
        <v>44183</v>
      </c>
      <c r="B206">
        <v>668.90002400000003</v>
      </c>
      <c r="C206">
        <v>695</v>
      </c>
      <c r="D206">
        <v>628.53997800000002</v>
      </c>
      <c r="E206">
        <v>695</v>
      </c>
      <c r="F206">
        <v>695</v>
      </c>
      <c r="G206">
        <v>222126200</v>
      </c>
      <c r="I206">
        <f t="shared" si="11"/>
        <v>5.9612707073174259E-2</v>
      </c>
      <c r="J206">
        <v>0</v>
      </c>
      <c r="K206">
        <f t="shared" si="9"/>
        <v>5.9612707073174259E-2</v>
      </c>
      <c r="L206">
        <f t="shared" si="10"/>
        <v>5.9612707073174258</v>
      </c>
      <c r="M206">
        <v>-0.12</v>
      </c>
    </row>
    <row r="207" spans="1:13" x14ac:dyDescent="0.2">
      <c r="A207" s="1">
        <v>44186</v>
      </c>
      <c r="B207">
        <v>666.23999000000003</v>
      </c>
      <c r="C207">
        <v>668.5</v>
      </c>
      <c r="D207">
        <v>646.07000700000003</v>
      </c>
      <c r="E207">
        <v>649.85998500000005</v>
      </c>
      <c r="F207">
        <v>649.85998500000005</v>
      </c>
      <c r="G207">
        <v>58045300</v>
      </c>
      <c r="I207">
        <f t="shared" si="11"/>
        <v>-6.4949661870503522E-2</v>
      </c>
      <c r="J207">
        <v>0</v>
      </c>
      <c r="K207">
        <f t="shared" si="9"/>
        <v>-6.4949661870503522E-2</v>
      </c>
      <c r="L207">
        <f t="shared" si="10"/>
        <v>-6.4949661870503519</v>
      </c>
      <c r="M207">
        <v>-0.23</v>
      </c>
    </row>
    <row r="208" spans="1:13" x14ac:dyDescent="0.2">
      <c r="A208" s="1">
        <v>44187</v>
      </c>
      <c r="B208">
        <v>648</v>
      </c>
      <c r="C208">
        <v>649.88000499999998</v>
      </c>
      <c r="D208">
        <v>614.22997999999995</v>
      </c>
      <c r="E208">
        <v>640.34002699999996</v>
      </c>
      <c r="F208">
        <v>640.34002699999996</v>
      </c>
      <c r="G208">
        <v>51716000</v>
      </c>
      <c r="I208">
        <f t="shared" si="11"/>
        <v>-1.4649244790783798E-2</v>
      </c>
      <c r="J208">
        <v>0</v>
      </c>
      <c r="K208">
        <f t="shared" si="9"/>
        <v>-1.4649244790783798E-2</v>
      </c>
      <c r="L208">
        <f t="shared" si="10"/>
        <v>-1.4649244790783797</v>
      </c>
      <c r="M208">
        <v>0.06</v>
      </c>
    </row>
    <row r="209" spans="1:13" x14ac:dyDescent="0.2">
      <c r="A209" s="1">
        <v>44188</v>
      </c>
      <c r="B209">
        <v>632.20001200000002</v>
      </c>
      <c r="C209">
        <v>651.5</v>
      </c>
      <c r="D209">
        <v>622.57000700000003</v>
      </c>
      <c r="E209">
        <v>645.97997999999995</v>
      </c>
      <c r="F209">
        <v>645.97997999999995</v>
      </c>
      <c r="G209">
        <v>33173000</v>
      </c>
      <c r="I209">
        <f t="shared" si="11"/>
        <v>8.8077470752894096E-3</v>
      </c>
      <c r="J209">
        <v>0</v>
      </c>
      <c r="K209">
        <f t="shared" si="9"/>
        <v>8.8077470752894096E-3</v>
      </c>
      <c r="L209">
        <f t="shared" si="10"/>
        <v>0.88077470752894094</v>
      </c>
      <c r="M209">
        <v>0.1</v>
      </c>
    </row>
    <row r="210" spans="1:13" x14ac:dyDescent="0.2">
      <c r="A210" s="1">
        <v>44189</v>
      </c>
      <c r="B210">
        <v>642.98999000000003</v>
      </c>
      <c r="C210">
        <v>666.09002699999996</v>
      </c>
      <c r="D210">
        <v>641</v>
      </c>
      <c r="E210">
        <v>661.77002000000005</v>
      </c>
      <c r="F210">
        <v>661.77002000000005</v>
      </c>
      <c r="G210">
        <v>22865600</v>
      </c>
      <c r="I210">
        <f t="shared" si="11"/>
        <v>2.4443543900540217E-2</v>
      </c>
      <c r="J210">
        <v>0</v>
      </c>
      <c r="K210">
        <f t="shared" si="9"/>
        <v>2.4443543900540217E-2</v>
      </c>
      <c r="L210">
        <f t="shared" si="10"/>
        <v>2.4443543900540217</v>
      </c>
      <c r="M210">
        <v>0.21</v>
      </c>
    </row>
    <row r="211" spans="1:13" x14ac:dyDescent="0.2">
      <c r="A211" s="1">
        <v>44193</v>
      </c>
      <c r="B211">
        <v>674.51000999999997</v>
      </c>
      <c r="C211">
        <v>681.40002400000003</v>
      </c>
      <c r="D211">
        <v>660.79998799999998</v>
      </c>
      <c r="E211">
        <v>663.69000200000005</v>
      </c>
      <c r="F211">
        <v>663.69000200000005</v>
      </c>
      <c r="G211">
        <v>32278600</v>
      </c>
      <c r="I211">
        <f t="shared" si="11"/>
        <v>2.9012828353874422E-3</v>
      </c>
      <c r="J211">
        <v>0</v>
      </c>
      <c r="K211">
        <f t="shared" si="9"/>
        <v>2.9012828353874422E-3</v>
      </c>
      <c r="L211">
        <f t="shared" si="10"/>
        <v>0.2901282835387442</v>
      </c>
      <c r="M211">
        <v>0.46</v>
      </c>
    </row>
    <row r="212" spans="1:13" x14ac:dyDescent="0.2">
      <c r="A212" s="1">
        <v>44194</v>
      </c>
      <c r="B212">
        <v>661</v>
      </c>
      <c r="C212">
        <v>669.90002400000003</v>
      </c>
      <c r="D212">
        <v>655</v>
      </c>
      <c r="E212">
        <v>665.98999000000003</v>
      </c>
      <c r="F212">
        <v>665.98999000000003</v>
      </c>
      <c r="G212">
        <v>22910800</v>
      </c>
      <c r="I212">
        <f t="shared" si="11"/>
        <v>3.4654552472827287E-3</v>
      </c>
      <c r="J212">
        <v>0</v>
      </c>
      <c r="K212">
        <f t="shared" si="9"/>
        <v>3.4654552472827287E-3</v>
      </c>
      <c r="L212">
        <f t="shared" si="10"/>
        <v>0.34654552472827288</v>
      </c>
      <c r="M212">
        <v>-0.4</v>
      </c>
    </row>
    <row r="213" spans="1:13" x14ac:dyDescent="0.2">
      <c r="A213" s="1">
        <v>44195</v>
      </c>
      <c r="B213">
        <v>672</v>
      </c>
      <c r="C213">
        <v>696.59997599999997</v>
      </c>
      <c r="D213">
        <v>668.35998500000005</v>
      </c>
      <c r="E213">
        <v>694.78002900000001</v>
      </c>
      <c r="F213">
        <v>694.78002900000001</v>
      </c>
      <c r="G213">
        <v>42846000</v>
      </c>
      <c r="I213">
        <f t="shared" si="11"/>
        <v>4.3228936519000796E-2</v>
      </c>
      <c r="J213">
        <v>0</v>
      </c>
      <c r="K213">
        <f t="shared" si="9"/>
        <v>4.3228936519000796E-2</v>
      </c>
      <c r="L213">
        <f t="shared" si="10"/>
        <v>4.3228936519000793</v>
      </c>
      <c r="M213">
        <v>0.27</v>
      </c>
    </row>
    <row r="214" spans="1:13" x14ac:dyDescent="0.2">
      <c r="A214" s="1">
        <v>44196</v>
      </c>
      <c r="B214">
        <v>699.98999000000003</v>
      </c>
      <c r="C214">
        <v>718.71997099999999</v>
      </c>
      <c r="D214">
        <v>691.11999500000002</v>
      </c>
      <c r="E214">
        <v>705.669983</v>
      </c>
      <c r="F214">
        <v>705.669983</v>
      </c>
      <c r="G214">
        <v>49649900</v>
      </c>
      <c r="I214">
        <f t="shared" si="11"/>
        <v>1.5673959448250042E-2</v>
      </c>
      <c r="J214">
        <v>0</v>
      </c>
      <c r="K214">
        <f t="shared" si="9"/>
        <v>1.5673959448250042E-2</v>
      </c>
      <c r="L214">
        <f t="shared" si="10"/>
        <v>1.5673959448250043</v>
      </c>
      <c r="M214">
        <v>0.39</v>
      </c>
    </row>
    <row r="215" spans="1:13" x14ac:dyDescent="0.2">
      <c r="A215" s="1">
        <v>44200</v>
      </c>
      <c r="B215">
        <v>719.46002199999998</v>
      </c>
      <c r="C215">
        <v>744.48999000000003</v>
      </c>
      <c r="D215">
        <v>717.19000200000005</v>
      </c>
      <c r="E215">
        <v>729.77002000000005</v>
      </c>
      <c r="F215">
        <v>729.77002000000005</v>
      </c>
      <c r="G215">
        <v>48638200</v>
      </c>
      <c r="I215">
        <f t="shared" si="11"/>
        <v>3.4151993964011425E-2</v>
      </c>
      <c r="J215">
        <v>0</v>
      </c>
      <c r="K215">
        <f t="shared" si="9"/>
        <v>3.4151993964011425E-2</v>
      </c>
      <c r="L215">
        <f t="shared" si="10"/>
        <v>3.4151993964011425</v>
      </c>
      <c r="M215">
        <v>-1.41</v>
      </c>
    </row>
    <row r="216" spans="1:13" x14ac:dyDescent="0.2">
      <c r="A216" s="1">
        <v>44201</v>
      </c>
      <c r="B216">
        <v>723.65997300000004</v>
      </c>
      <c r="C216">
        <v>740.84002699999996</v>
      </c>
      <c r="D216">
        <v>719.20001200000002</v>
      </c>
      <c r="E216">
        <v>735.10998500000005</v>
      </c>
      <c r="F216">
        <v>735.10998500000005</v>
      </c>
      <c r="G216">
        <v>32245200</v>
      </c>
      <c r="I216">
        <f t="shared" si="11"/>
        <v>7.3173258062862135E-3</v>
      </c>
      <c r="J216">
        <v>0</v>
      </c>
      <c r="K216">
        <f t="shared" si="9"/>
        <v>7.3173258062862135E-3</v>
      </c>
      <c r="L216">
        <f t="shared" si="10"/>
        <v>0.73173258062862134</v>
      </c>
      <c r="M216">
        <v>0.86</v>
      </c>
    </row>
    <row r="217" spans="1:13" x14ac:dyDescent="0.2">
      <c r="A217" s="1">
        <v>44202</v>
      </c>
      <c r="B217">
        <v>758.48999000000003</v>
      </c>
      <c r="C217">
        <v>774</v>
      </c>
      <c r="D217">
        <v>749.09997599999997</v>
      </c>
      <c r="E217">
        <v>755.97997999999995</v>
      </c>
      <c r="F217">
        <v>755.97997999999995</v>
      </c>
      <c r="G217">
        <v>44700000</v>
      </c>
      <c r="I217">
        <f t="shared" si="11"/>
        <v>2.8390302710960866E-2</v>
      </c>
      <c r="J217">
        <v>0</v>
      </c>
      <c r="K217">
        <f t="shared" si="9"/>
        <v>2.8390302710960866E-2</v>
      </c>
      <c r="L217">
        <f t="shared" si="10"/>
        <v>2.8390302710960866</v>
      </c>
      <c r="M217">
        <v>0.79</v>
      </c>
    </row>
    <row r="218" spans="1:13" x14ac:dyDescent="0.2">
      <c r="A218" s="1">
        <v>44203</v>
      </c>
      <c r="B218">
        <v>777.63000499999998</v>
      </c>
      <c r="C218">
        <v>816.98999000000003</v>
      </c>
      <c r="D218">
        <v>775.20001200000002</v>
      </c>
      <c r="E218">
        <v>816.03997800000002</v>
      </c>
      <c r="F218">
        <v>816.03997800000002</v>
      </c>
      <c r="G218">
        <v>51498900</v>
      </c>
      <c r="I218">
        <f t="shared" si="11"/>
        <v>7.9446545661169585E-2</v>
      </c>
      <c r="J218">
        <v>0</v>
      </c>
      <c r="K218">
        <f t="shared" si="9"/>
        <v>7.9446545661169585E-2</v>
      </c>
      <c r="L218">
        <f t="shared" si="10"/>
        <v>7.9446545661169585</v>
      </c>
      <c r="M218">
        <v>1.76</v>
      </c>
    </row>
    <row r="219" spans="1:13" x14ac:dyDescent="0.2">
      <c r="A219" s="1">
        <v>44204</v>
      </c>
      <c r="B219">
        <v>856</v>
      </c>
      <c r="C219">
        <v>884.48999000000003</v>
      </c>
      <c r="D219">
        <v>838.39001499999995</v>
      </c>
      <c r="E219">
        <v>880.02002000000005</v>
      </c>
      <c r="F219">
        <v>880.02002000000005</v>
      </c>
      <c r="G219">
        <v>75055500</v>
      </c>
      <c r="I219">
        <f t="shared" si="11"/>
        <v>7.8403073041600449E-2</v>
      </c>
      <c r="J219">
        <v>0</v>
      </c>
      <c r="K219">
        <f t="shared" si="9"/>
        <v>7.8403073041600449E-2</v>
      </c>
      <c r="L219">
        <f t="shared" si="10"/>
        <v>7.8403073041600448</v>
      </c>
      <c r="M219">
        <v>0.51</v>
      </c>
    </row>
    <row r="220" spans="1:13" x14ac:dyDescent="0.2">
      <c r="A220" s="1">
        <v>44207</v>
      </c>
      <c r="B220">
        <v>849.40002400000003</v>
      </c>
      <c r="C220">
        <v>854.42999299999997</v>
      </c>
      <c r="D220">
        <v>803.61999500000002</v>
      </c>
      <c r="E220">
        <v>811.19000200000005</v>
      </c>
      <c r="F220">
        <v>811.19000200000005</v>
      </c>
      <c r="G220">
        <v>59301600</v>
      </c>
      <c r="I220">
        <f t="shared" si="11"/>
        <v>-7.8214150173538083E-2</v>
      </c>
      <c r="J220">
        <v>0</v>
      </c>
      <c r="K220">
        <f t="shared" si="9"/>
        <v>-7.8214150173538083E-2</v>
      </c>
      <c r="L220">
        <f t="shared" si="10"/>
        <v>-7.8214150173538082</v>
      </c>
      <c r="M220">
        <v>-0.51</v>
      </c>
    </row>
    <row r="221" spans="1:13" x14ac:dyDescent="0.2">
      <c r="A221" s="1">
        <v>44208</v>
      </c>
      <c r="B221">
        <v>831</v>
      </c>
      <c r="C221">
        <v>868</v>
      </c>
      <c r="D221">
        <v>827.34002699999996</v>
      </c>
      <c r="E221">
        <v>849.44000200000005</v>
      </c>
      <c r="F221">
        <v>849.44000200000005</v>
      </c>
      <c r="G221">
        <v>46270700</v>
      </c>
      <c r="I221">
        <f t="shared" si="11"/>
        <v>4.7152948021664594E-2</v>
      </c>
      <c r="J221">
        <v>0</v>
      </c>
      <c r="K221">
        <f t="shared" si="9"/>
        <v>4.7152948021664594E-2</v>
      </c>
      <c r="L221">
        <f t="shared" si="10"/>
        <v>4.7152948021664596</v>
      </c>
      <c r="M221">
        <v>0.38</v>
      </c>
    </row>
    <row r="222" spans="1:13" x14ac:dyDescent="0.2">
      <c r="A222" s="1">
        <v>44209</v>
      </c>
      <c r="B222">
        <v>852.76000999999997</v>
      </c>
      <c r="C222">
        <v>860.46997099999999</v>
      </c>
      <c r="D222">
        <v>832</v>
      </c>
      <c r="E222">
        <v>854.40997300000004</v>
      </c>
      <c r="F222">
        <v>854.40997300000004</v>
      </c>
      <c r="G222">
        <v>33312500</v>
      </c>
      <c r="I222">
        <f t="shared" si="11"/>
        <v>5.8508793891248675E-3</v>
      </c>
      <c r="J222">
        <v>0</v>
      </c>
      <c r="K222">
        <f t="shared" si="9"/>
        <v>5.8508793891248675E-3</v>
      </c>
      <c r="L222">
        <f t="shared" si="10"/>
        <v>0.58508793891248678</v>
      </c>
      <c r="M222">
        <v>7.0000000000000007E-2</v>
      </c>
    </row>
    <row r="223" spans="1:13" x14ac:dyDescent="0.2">
      <c r="A223" s="1">
        <v>44210</v>
      </c>
      <c r="B223">
        <v>843.39001499999995</v>
      </c>
      <c r="C223">
        <v>863</v>
      </c>
      <c r="D223">
        <v>838.75</v>
      </c>
      <c r="E223">
        <v>845</v>
      </c>
      <c r="F223">
        <v>845</v>
      </c>
      <c r="G223">
        <v>31266300</v>
      </c>
      <c r="I223">
        <f t="shared" si="11"/>
        <v>-1.1013416623590882E-2</v>
      </c>
      <c r="J223">
        <v>0</v>
      </c>
      <c r="K223">
        <f t="shared" si="9"/>
        <v>-1.1013416623590882E-2</v>
      </c>
      <c r="L223">
        <f t="shared" si="10"/>
        <v>-1.1013416623590881</v>
      </c>
      <c r="M223">
        <v>-0.11</v>
      </c>
    </row>
    <row r="224" spans="1:13" x14ac:dyDescent="0.2">
      <c r="A224" s="1">
        <v>44211</v>
      </c>
      <c r="B224">
        <v>852</v>
      </c>
      <c r="C224">
        <v>859.90002400000003</v>
      </c>
      <c r="D224">
        <v>819.09997599999997</v>
      </c>
      <c r="E224">
        <v>826.15997300000004</v>
      </c>
      <c r="F224">
        <v>826.15997300000004</v>
      </c>
      <c r="G224">
        <v>38777600</v>
      </c>
      <c r="I224">
        <f t="shared" si="11"/>
        <v>-2.2295889940828359E-2</v>
      </c>
      <c r="J224">
        <v>0</v>
      </c>
      <c r="K224">
        <f t="shared" si="9"/>
        <v>-2.2295889940828359E-2</v>
      </c>
      <c r="L224">
        <f t="shared" si="10"/>
        <v>-2.2295889940828357</v>
      </c>
      <c r="M224">
        <v>-0.86</v>
      </c>
    </row>
    <row r="225" spans="1:13" x14ac:dyDescent="0.2">
      <c r="A225" s="1">
        <v>44215</v>
      </c>
      <c r="B225">
        <v>837.79998799999998</v>
      </c>
      <c r="C225">
        <v>850</v>
      </c>
      <c r="D225">
        <v>833</v>
      </c>
      <c r="E225">
        <v>844.54998799999998</v>
      </c>
      <c r="F225">
        <v>844.54998799999998</v>
      </c>
      <c r="G225">
        <v>25367000</v>
      </c>
      <c r="I225">
        <f t="shared" si="11"/>
        <v>2.225962961291995E-2</v>
      </c>
      <c r="J225">
        <v>0</v>
      </c>
      <c r="K225">
        <f t="shared" si="9"/>
        <v>2.225962961291995E-2</v>
      </c>
      <c r="L225">
        <f t="shared" si="10"/>
        <v>2.2259629612919949</v>
      </c>
      <c r="M225">
        <v>0.91</v>
      </c>
    </row>
    <row r="226" spans="1:13" x14ac:dyDescent="0.2">
      <c r="A226" s="1">
        <v>44216</v>
      </c>
      <c r="B226">
        <v>858.73999000000003</v>
      </c>
      <c r="C226">
        <v>859.5</v>
      </c>
      <c r="D226">
        <v>837.28002900000001</v>
      </c>
      <c r="E226">
        <v>850.45001200000002</v>
      </c>
      <c r="F226">
        <v>850.45001200000002</v>
      </c>
      <c r="G226">
        <v>25665900</v>
      </c>
      <c r="I226">
        <f t="shared" si="11"/>
        <v>6.9859973759185349E-3</v>
      </c>
      <c r="J226">
        <v>0</v>
      </c>
      <c r="K226">
        <f t="shared" si="9"/>
        <v>6.9859973759185349E-3</v>
      </c>
      <c r="L226">
        <f t="shared" si="10"/>
        <v>0.69859973759185345</v>
      </c>
      <c r="M226">
        <v>1.26</v>
      </c>
    </row>
    <row r="227" spans="1:13" x14ac:dyDescent="0.2">
      <c r="A227" s="1">
        <v>44217</v>
      </c>
      <c r="B227">
        <v>855</v>
      </c>
      <c r="C227">
        <v>855.71997099999999</v>
      </c>
      <c r="D227">
        <v>841.419983</v>
      </c>
      <c r="E227">
        <v>844.98999000000003</v>
      </c>
      <c r="F227">
        <v>844.98999000000003</v>
      </c>
      <c r="G227">
        <v>20521100</v>
      </c>
      <c r="I227">
        <f t="shared" si="11"/>
        <v>-6.4201562972051327E-3</v>
      </c>
      <c r="J227">
        <v>0</v>
      </c>
      <c r="K227">
        <f t="shared" si="9"/>
        <v>-6.4201562972051327E-3</v>
      </c>
      <c r="L227">
        <f t="shared" si="10"/>
        <v>-0.64201562972051329</v>
      </c>
      <c r="M227">
        <v>-0.04</v>
      </c>
    </row>
    <row r="228" spans="1:13" x14ac:dyDescent="0.2">
      <c r="A228" s="1">
        <v>44218</v>
      </c>
      <c r="B228">
        <v>834.30999799999995</v>
      </c>
      <c r="C228">
        <v>848</v>
      </c>
      <c r="D228">
        <v>828.61999500000002</v>
      </c>
      <c r="E228">
        <v>846.64001499999995</v>
      </c>
      <c r="F228">
        <v>846.64001499999995</v>
      </c>
      <c r="G228">
        <v>20066500</v>
      </c>
      <c r="I228">
        <f t="shared" si="11"/>
        <v>1.9527154398597244E-3</v>
      </c>
      <c r="J228">
        <v>0</v>
      </c>
      <c r="K228">
        <f t="shared" si="9"/>
        <v>1.9527154398597244E-3</v>
      </c>
      <c r="L228">
        <f t="shared" si="10"/>
        <v>0.19527154398597243</v>
      </c>
      <c r="M228">
        <v>-7.0000000000000007E-2</v>
      </c>
    </row>
    <row r="229" spans="1:13" x14ac:dyDescent="0.2">
      <c r="A229" s="1">
        <v>44221</v>
      </c>
      <c r="B229">
        <v>855</v>
      </c>
      <c r="C229">
        <v>900.40002400000003</v>
      </c>
      <c r="D229">
        <v>838.82000700000003</v>
      </c>
      <c r="E229">
        <v>880.79998799999998</v>
      </c>
      <c r="F229">
        <v>880.79998799999998</v>
      </c>
      <c r="G229">
        <v>41173400</v>
      </c>
      <c r="I229">
        <f t="shared" si="11"/>
        <v>4.0347694881867874E-2</v>
      </c>
      <c r="J229">
        <v>0</v>
      </c>
      <c r="K229">
        <f t="shared" si="9"/>
        <v>4.0347694881867874E-2</v>
      </c>
      <c r="L229">
        <f t="shared" si="10"/>
        <v>4.0347694881867877</v>
      </c>
      <c r="M229">
        <v>0.28000000000000003</v>
      </c>
    </row>
    <row r="230" spans="1:13" x14ac:dyDescent="0.2">
      <c r="A230" s="1">
        <v>44222</v>
      </c>
      <c r="B230">
        <v>891.38000499999998</v>
      </c>
      <c r="C230">
        <v>895.90002400000003</v>
      </c>
      <c r="D230">
        <v>871.59997599999997</v>
      </c>
      <c r="E230">
        <v>883.09002699999996</v>
      </c>
      <c r="F230">
        <v>883.09002699999996</v>
      </c>
      <c r="G230">
        <v>23131600</v>
      </c>
      <c r="I230">
        <f t="shared" si="11"/>
        <v>2.5999534868294968E-3</v>
      </c>
      <c r="J230">
        <v>0</v>
      </c>
      <c r="K230">
        <f t="shared" si="9"/>
        <v>2.5999534868294968E-3</v>
      </c>
      <c r="L230">
        <f t="shared" si="10"/>
        <v>0.25999534868294966</v>
      </c>
      <c r="M230">
        <v>-0.32</v>
      </c>
    </row>
    <row r="231" spans="1:13" x14ac:dyDescent="0.2">
      <c r="A231" s="1">
        <v>44223</v>
      </c>
      <c r="B231">
        <v>870.34997599999997</v>
      </c>
      <c r="C231">
        <v>891.5</v>
      </c>
      <c r="D231">
        <v>858.65997300000004</v>
      </c>
      <c r="E231">
        <v>864.15997300000004</v>
      </c>
      <c r="F231">
        <v>864.15997300000004</v>
      </c>
      <c r="G231">
        <v>27334000</v>
      </c>
      <c r="I231">
        <f t="shared" si="11"/>
        <v>-2.1436154209903593E-2</v>
      </c>
      <c r="J231">
        <v>0</v>
      </c>
      <c r="K231">
        <f t="shared" si="9"/>
        <v>-2.1436154209903593E-2</v>
      </c>
      <c r="L231">
        <f t="shared" si="10"/>
        <v>-2.1436154209903595</v>
      </c>
      <c r="M231">
        <v>-2.5299999999999998</v>
      </c>
    </row>
    <row r="232" spans="1:13" x14ac:dyDescent="0.2">
      <c r="A232" s="1">
        <v>44224</v>
      </c>
      <c r="B232">
        <v>820</v>
      </c>
      <c r="C232">
        <v>848</v>
      </c>
      <c r="D232">
        <v>801</v>
      </c>
      <c r="E232">
        <v>835.42999299999997</v>
      </c>
      <c r="F232">
        <v>835.42999299999997</v>
      </c>
      <c r="G232">
        <v>26378000</v>
      </c>
      <c r="I232">
        <f t="shared" si="11"/>
        <v>-3.3246136013754098E-2</v>
      </c>
      <c r="J232">
        <v>0</v>
      </c>
      <c r="K232">
        <f t="shared" si="9"/>
        <v>-3.3246136013754098E-2</v>
      </c>
      <c r="L232">
        <f t="shared" si="10"/>
        <v>-3.3246136013754097</v>
      </c>
      <c r="M232">
        <v>0.92</v>
      </c>
    </row>
    <row r="233" spans="1:13" x14ac:dyDescent="0.2">
      <c r="A233" s="1">
        <v>44225</v>
      </c>
      <c r="B233">
        <v>830</v>
      </c>
      <c r="C233">
        <v>842.40997300000004</v>
      </c>
      <c r="D233">
        <v>780.09997599999997</v>
      </c>
      <c r="E233">
        <v>793.53002900000001</v>
      </c>
      <c r="F233">
        <v>793.53002900000001</v>
      </c>
      <c r="G233">
        <v>34990800</v>
      </c>
      <c r="I233">
        <f t="shared" si="11"/>
        <v>-5.0153770335128432E-2</v>
      </c>
      <c r="J233">
        <v>0</v>
      </c>
      <c r="K233">
        <f t="shared" si="9"/>
        <v>-5.0153770335128432E-2</v>
      </c>
      <c r="L233">
        <f t="shared" si="10"/>
        <v>-5.0153770335128431</v>
      </c>
      <c r="M233">
        <v>-1.84</v>
      </c>
    </row>
    <row r="234" spans="1:13" x14ac:dyDescent="0.2">
      <c r="A234" s="1">
        <v>44228</v>
      </c>
      <c r="B234">
        <v>814.28997800000002</v>
      </c>
      <c r="C234">
        <v>842</v>
      </c>
      <c r="D234">
        <v>795.55999799999995</v>
      </c>
      <c r="E234">
        <v>839.80999799999995</v>
      </c>
      <c r="F234">
        <v>839.80999799999995</v>
      </c>
      <c r="G234">
        <v>25391400</v>
      </c>
      <c r="I234">
        <f t="shared" si="11"/>
        <v>5.8321635361829431E-2</v>
      </c>
      <c r="J234">
        <v>0</v>
      </c>
      <c r="K234">
        <f t="shared" si="9"/>
        <v>5.8321635361829431E-2</v>
      </c>
      <c r="L234">
        <f t="shared" si="10"/>
        <v>5.8321635361829429</v>
      </c>
      <c r="M234">
        <v>1.73</v>
      </c>
    </row>
    <row r="235" spans="1:13" x14ac:dyDescent="0.2">
      <c r="A235" s="1">
        <v>44229</v>
      </c>
      <c r="B235">
        <v>844.67999299999997</v>
      </c>
      <c r="C235">
        <v>880.5</v>
      </c>
      <c r="D235">
        <v>842.20001200000002</v>
      </c>
      <c r="E235">
        <v>872.78997800000002</v>
      </c>
      <c r="F235">
        <v>872.78997800000002</v>
      </c>
      <c r="G235">
        <v>24346200</v>
      </c>
      <c r="I235">
        <f t="shared" si="11"/>
        <v>3.9270763718628733E-2</v>
      </c>
      <c r="J235">
        <v>0</v>
      </c>
      <c r="K235">
        <f t="shared" si="9"/>
        <v>3.9270763718628733E-2</v>
      </c>
      <c r="L235">
        <f t="shared" si="10"/>
        <v>3.9270763718628734</v>
      </c>
      <c r="M235">
        <v>1.48</v>
      </c>
    </row>
    <row r="236" spans="1:13" x14ac:dyDescent="0.2">
      <c r="A236" s="1">
        <v>44230</v>
      </c>
      <c r="B236">
        <v>877.02002000000005</v>
      </c>
      <c r="C236">
        <v>878.080017</v>
      </c>
      <c r="D236">
        <v>853.05999799999995</v>
      </c>
      <c r="E236">
        <v>854.69000200000005</v>
      </c>
      <c r="F236">
        <v>854.69000200000005</v>
      </c>
      <c r="G236">
        <v>18343500</v>
      </c>
      <c r="I236">
        <f t="shared" si="11"/>
        <v>-2.0738065807625449E-2</v>
      </c>
      <c r="J236">
        <v>0</v>
      </c>
      <c r="K236">
        <f t="shared" si="9"/>
        <v>-2.0738065807625449E-2</v>
      </c>
      <c r="L236">
        <f t="shared" si="10"/>
        <v>-2.073806580762545</v>
      </c>
      <c r="M236">
        <v>0.16</v>
      </c>
    </row>
    <row r="237" spans="1:13" x14ac:dyDescent="0.2">
      <c r="A237" s="1">
        <v>44231</v>
      </c>
      <c r="B237">
        <v>855</v>
      </c>
      <c r="C237">
        <v>856.5</v>
      </c>
      <c r="D237">
        <v>833.419983</v>
      </c>
      <c r="E237">
        <v>849.98999000000003</v>
      </c>
      <c r="F237">
        <v>849.98999000000003</v>
      </c>
      <c r="G237">
        <v>15812700</v>
      </c>
      <c r="I237">
        <f t="shared" si="11"/>
        <v>-5.499083865497253E-3</v>
      </c>
      <c r="J237">
        <v>0</v>
      </c>
      <c r="K237">
        <f t="shared" si="9"/>
        <v>-5.499083865497253E-3</v>
      </c>
      <c r="L237">
        <f t="shared" si="10"/>
        <v>-0.54990838654972529</v>
      </c>
      <c r="M237">
        <v>1.23</v>
      </c>
    </row>
    <row r="238" spans="1:13" x14ac:dyDescent="0.2">
      <c r="A238" s="1">
        <v>44232</v>
      </c>
      <c r="B238">
        <v>845</v>
      </c>
      <c r="C238">
        <v>864.77002000000005</v>
      </c>
      <c r="D238">
        <v>838.96997099999999</v>
      </c>
      <c r="E238">
        <v>852.22997999999995</v>
      </c>
      <c r="F238">
        <v>852.22997999999995</v>
      </c>
      <c r="G238">
        <v>18566600</v>
      </c>
      <c r="I238">
        <f t="shared" si="11"/>
        <v>2.6353133876316831E-3</v>
      </c>
      <c r="J238">
        <v>0</v>
      </c>
      <c r="K238">
        <f t="shared" si="9"/>
        <v>2.6353133876316831E-3</v>
      </c>
      <c r="L238">
        <f t="shared" si="10"/>
        <v>0.26353133876316831</v>
      </c>
      <c r="M238">
        <v>0.57999999999999996</v>
      </c>
    </row>
    <row r="239" spans="1:13" x14ac:dyDescent="0.2">
      <c r="A239" s="1">
        <v>44235</v>
      </c>
      <c r="B239">
        <v>869.669983</v>
      </c>
      <c r="C239">
        <v>877.77002000000005</v>
      </c>
      <c r="D239">
        <v>854.75</v>
      </c>
      <c r="E239">
        <v>863.419983</v>
      </c>
      <c r="F239">
        <v>863.419983</v>
      </c>
      <c r="G239">
        <v>20161700</v>
      </c>
      <c r="I239">
        <f t="shared" si="11"/>
        <v>1.3130262091929749E-2</v>
      </c>
      <c r="J239">
        <v>0</v>
      </c>
      <c r="K239">
        <f t="shared" si="9"/>
        <v>1.3130262091929749E-2</v>
      </c>
      <c r="L239">
        <f t="shared" si="10"/>
        <v>1.313026209192975</v>
      </c>
      <c r="M239">
        <v>0.96</v>
      </c>
    </row>
    <row r="240" spans="1:13" x14ac:dyDescent="0.2">
      <c r="A240" s="1">
        <v>44236</v>
      </c>
      <c r="B240">
        <v>855.11999500000002</v>
      </c>
      <c r="C240">
        <v>859.79998799999998</v>
      </c>
      <c r="D240">
        <v>841.75</v>
      </c>
      <c r="E240">
        <v>849.46002199999998</v>
      </c>
      <c r="F240">
        <v>849.46002199999998</v>
      </c>
      <c r="G240">
        <v>15157700</v>
      </c>
      <c r="I240">
        <f t="shared" si="11"/>
        <v>-1.6168216250329732E-2</v>
      </c>
      <c r="J240">
        <v>0</v>
      </c>
      <c r="K240">
        <f t="shared" si="9"/>
        <v>-1.6168216250329732E-2</v>
      </c>
      <c r="L240">
        <f t="shared" si="10"/>
        <v>-1.6168216250329732</v>
      </c>
      <c r="M240">
        <v>0.05</v>
      </c>
    </row>
    <row r="241" spans="1:13" x14ac:dyDescent="0.2">
      <c r="A241" s="1">
        <v>44237</v>
      </c>
      <c r="B241">
        <v>843.64001499999995</v>
      </c>
      <c r="C241">
        <v>844.82000700000003</v>
      </c>
      <c r="D241">
        <v>800.02002000000005</v>
      </c>
      <c r="E241">
        <v>804.82000700000003</v>
      </c>
      <c r="F241">
        <v>804.82000700000003</v>
      </c>
      <c r="G241">
        <v>36216100</v>
      </c>
      <c r="I241">
        <f t="shared" si="11"/>
        <v>-5.2551048717864146E-2</v>
      </c>
      <c r="J241">
        <v>0</v>
      </c>
      <c r="K241">
        <f t="shared" si="9"/>
        <v>-5.2551048717864146E-2</v>
      </c>
      <c r="L241">
        <f t="shared" si="10"/>
        <v>-5.2551048717864148</v>
      </c>
      <c r="M241">
        <v>-7.0000000000000007E-2</v>
      </c>
    </row>
    <row r="242" spans="1:13" x14ac:dyDescent="0.2">
      <c r="A242" s="1">
        <v>44238</v>
      </c>
      <c r="B242">
        <v>812.44000200000005</v>
      </c>
      <c r="C242">
        <v>829.88000499999998</v>
      </c>
      <c r="D242">
        <v>801.72997999999995</v>
      </c>
      <c r="E242">
        <v>811.65997300000004</v>
      </c>
      <c r="F242">
        <v>811.65997300000004</v>
      </c>
      <c r="G242">
        <v>21622800</v>
      </c>
      <c r="I242">
        <f t="shared" si="11"/>
        <v>8.4987524421718356E-3</v>
      </c>
      <c r="J242">
        <v>0</v>
      </c>
      <c r="K242">
        <f t="shared" si="9"/>
        <v>8.4987524421718356E-3</v>
      </c>
      <c r="L242">
        <f t="shared" si="10"/>
        <v>0.84987524421718352</v>
      </c>
      <c r="M242">
        <v>0.19</v>
      </c>
    </row>
    <row r="243" spans="1:13" x14ac:dyDescent="0.2">
      <c r="A243" s="1">
        <v>44239</v>
      </c>
      <c r="B243">
        <v>801.26000999999997</v>
      </c>
      <c r="C243">
        <v>817.330017</v>
      </c>
      <c r="D243">
        <v>785.330017</v>
      </c>
      <c r="E243">
        <v>816.11999500000002</v>
      </c>
      <c r="F243">
        <v>816.11999500000002</v>
      </c>
      <c r="G243">
        <v>23768300</v>
      </c>
      <c r="I243">
        <f t="shared" si="11"/>
        <v>5.4949389502542099E-3</v>
      </c>
      <c r="J243">
        <v>0</v>
      </c>
      <c r="K243">
        <f t="shared" si="9"/>
        <v>5.4949389502542099E-3</v>
      </c>
      <c r="L243">
        <f t="shared" si="10"/>
        <v>0.54949389502542101</v>
      </c>
      <c r="M243">
        <v>0.49</v>
      </c>
    </row>
    <row r="244" spans="1:13" x14ac:dyDescent="0.2">
      <c r="A244" s="1">
        <v>44243</v>
      </c>
      <c r="B244">
        <v>818</v>
      </c>
      <c r="C244">
        <v>821</v>
      </c>
      <c r="D244">
        <v>792.44000200000005</v>
      </c>
      <c r="E244">
        <v>796.21997099999999</v>
      </c>
      <c r="F244">
        <v>796.21997099999999</v>
      </c>
      <c r="G244">
        <v>19802300</v>
      </c>
      <c r="I244">
        <f t="shared" si="11"/>
        <v>-2.438369862510234E-2</v>
      </c>
      <c r="J244">
        <v>0</v>
      </c>
      <c r="K244">
        <f t="shared" si="9"/>
        <v>-2.438369862510234E-2</v>
      </c>
      <c r="L244">
        <f t="shared" si="10"/>
        <v>-2.4383698625102341</v>
      </c>
      <c r="M244">
        <v>-0.14000000000000001</v>
      </c>
    </row>
    <row r="245" spans="1:13" x14ac:dyDescent="0.2">
      <c r="A245" s="1">
        <v>44244</v>
      </c>
      <c r="B245">
        <v>779.09002699999996</v>
      </c>
      <c r="C245">
        <v>799.84002699999996</v>
      </c>
      <c r="D245">
        <v>762.01000999999997</v>
      </c>
      <c r="E245">
        <v>798.15002400000003</v>
      </c>
      <c r="F245">
        <v>798.15002400000003</v>
      </c>
      <c r="G245">
        <v>25996500</v>
      </c>
      <c r="I245">
        <f t="shared" si="11"/>
        <v>2.4240198315749651E-3</v>
      </c>
      <c r="J245">
        <v>0</v>
      </c>
      <c r="K245">
        <f t="shared" si="9"/>
        <v>2.4240198315749651E-3</v>
      </c>
      <c r="L245">
        <f t="shared" si="10"/>
        <v>0.2424019831574965</v>
      </c>
      <c r="M245">
        <v>-0.2</v>
      </c>
    </row>
    <row r="246" spans="1:13" x14ac:dyDescent="0.2">
      <c r="A246" s="1">
        <v>44245</v>
      </c>
      <c r="B246">
        <v>780.90002400000003</v>
      </c>
      <c r="C246">
        <v>794.69000200000005</v>
      </c>
      <c r="D246">
        <v>776.27002000000005</v>
      </c>
      <c r="E246">
        <v>787.38000499999998</v>
      </c>
      <c r="F246">
        <v>787.38000499999998</v>
      </c>
      <c r="G246">
        <v>17957100</v>
      </c>
      <c r="I246">
        <f t="shared" si="11"/>
        <v>-1.3493727590240662E-2</v>
      </c>
      <c r="J246">
        <v>0</v>
      </c>
      <c r="K246">
        <f t="shared" si="9"/>
        <v>-1.3493727590240662E-2</v>
      </c>
      <c r="L246">
        <f t="shared" si="10"/>
        <v>-1.3493727590240663</v>
      </c>
      <c r="M246">
        <v>-0.63</v>
      </c>
    </row>
    <row r="247" spans="1:13" x14ac:dyDescent="0.2">
      <c r="A247" s="1">
        <v>44246</v>
      </c>
      <c r="B247">
        <v>795</v>
      </c>
      <c r="C247">
        <v>796.78997800000002</v>
      </c>
      <c r="D247">
        <v>777.36999500000002</v>
      </c>
      <c r="E247">
        <v>781.29998799999998</v>
      </c>
      <c r="F247">
        <v>781.29998799999998</v>
      </c>
      <c r="G247">
        <v>18958300</v>
      </c>
      <c r="I247">
        <f t="shared" si="11"/>
        <v>-7.7218331191938232E-3</v>
      </c>
      <c r="J247">
        <v>0</v>
      </c>
      <c r="K247">
        <f t="shared" si="9"/>
        <v>-7.7218331191938232E-3</v>
      </c>
      <c r="L247">
        <f t="shared" si="10"/>
        <v>-0.77218331191938228</v>
      </c>
      <c r="M247">
        <v>0.16</v>
      </c>
    </row>
    <row r="248" spans="1:13" x14ac:dyDescent="0.2">
      <c r="A248" s="1">
        <v>44249</v>
      </c>
      <c r="B248">
        <v>762.64001499999995</v>
      </c>
      <c r="C248">
        <v>768.5</v>
      </c>
      <c r="D248">
        <v>710.20001200000002</v>
      </c>
      <c r="E248">
        <v>714.5</v>
      </c>
      <c r="F248">
        <v>714.5</v>
      </c>
      <c r="G248">
        <v>37269700</v>
      </c>
      <c r="I248">
        <f t="shared" si="11"/>
        <v>-8.5498514048358065E-2</v>
      </c>
      <c r="J248">
        <v>0</v>
      </c>
      <c r="K248">
        <f t="shared" si="9"/>
        <v>-8.5498514048358065E-2</v>
      </c>
      <c r="L248">
        <f t="shared" si="10"/>
        <v>-8.5498514048358061</v>
      </c>
      <c r="M248">
        <v>-1.1200000000000001</v>
      </c>
    </row>
    <row r="249" spans="1:13" x14ac:dyDescent="0.2">
      <c r="A249" s="1">
        <v>44250</v>
      </c>
      <c r="B249">
        <v>662.13000499999998</v>
      </c>
      <c r="C249">
        <v>713.60998500000005</v>
      </c>
      <c r="D249">
        <v>619</v>
      </c>
      <c r="E249">
        <v>698.84002699999996</v>
      </c>
      <c r="F249">
        <v>698.84002699999996</v>
      </c>
      <c r="G249">
        <v>66606900</v>
      </c>
      <c r="I249">
        <f t="shared" si="11"/>
        <v>-2.1917386983904878E-2</v>
      </c>
      <c r="J249">
        <v>0</v>
      </c>
      <c r="K249">
        <f t="shared" si="9"/>
        <v>-2.1917386983904878E-2</v>
      </c>
      <c r="L249">
        <f t="shared" si="10"/>
        <v>-2.1917386983904876</v>
      </c>
      <c r="M249">
        <v>-0.15</v>
      </c>
    </row>
    <row r="250" spans="1:13" x14ac:dyDescent="0.2">
      <c r="A250" s="1">
        <v>44251</v>
      </c>
      <c r="B250">
        <v>711.84997599999997</v>
      </c>
      <c r="C250">
        <v>745</v>
      </c>
      <c r="D250">
        <v>694.169983</v>
      </c>
      <c r="E250">
        <v>742.02002000000005</v>
      </c>
      <c r="F250">
        <v>742.02002000000005</v>
      </c>
      <c r="G250">
        <v>36767000</v>
      </c>
      <c r="I250">
        <f t="shared" si="11"/>
        <v>6.1788093600425788E-2</v>
      </c>
      <c r="J250">
        <v>0</v>
      </c>
      <c r="K250">
        <f t="shared" si="9"/>
        <v>6.1788093600425788E-2</v>
      </c>
      <c r="L250">
        <f t="shared" si="10"/>
        <v>6.1788093600425791</v>
      </c>
      <c r="M250">
        <v>1.1499999999999999</v>
      </c>
    </row>
    <row r="251" spans="1:13" x14ac:dyDescent="0.2">
      <c r="A251" s="1">
        <v>44252</v>
      </c>
      <c r="B251">
        <v>726.15002400000003</v>
      </c>
      <c r="C251">
        <v>737.21002199999998</v>
      </c>
      <c r="D251">
        <v>670.580017</v>
      </c>
      <c r="E251">
        <v>682.21997099999999</v>
      </c>
      <c r="F251">
        <v>682.21997099999999</v>
      </c>
      <c r="G251">
        <v>39023900</v>
      </c>
      <c r="I251">
        <f t="shared" si="11"/>
        <v>-8.0590883518210268E-2</v>
      </c>
      <c r="J251">
        <v>0</v>
      </c>
      <c r="K251">
        <f t="shared" si="9"/>
        <v>-8.0590883518210268E-2</v>
      </c>
      <c r="L251">
        <f t="shared" si="10"/>
        <v>-8.0590883518210266</v>
      </c>
      <c r="M251">
        <v>-2.73</v>
      </c>
    </row>
    <row r="252" spans="1:13" x14ac:dyDescent="0.2">
      <c r="A252" s="1">
        <v>44253</v>
      </c>
      <c r="B252">
        <v>700</v>
      </c>
      <c r="C252">
        <v>706.70001200000002</v>
      </c>
      <c r="D252">
        <v>659.51000999999997</v>
      </c>
      <c r="E252">
        <v>675.5</v>
      </c>
      <c r="F252">
        <v>675.5</v>
      </c>
      <c r="G252">
        <v>41089200</v>
      </c>
      <c r="I252">
        <f t="shared" si="11"/>
        <v>-9.8501528622063558E-3</v>
      </c>
      <c r="J252">
        <v>0</v>
      </c>
      <c r="K252">
        <f t="shared" si="9"/>
        <v>-9.8501528622063558E-3</v>
      </c>
      <c r="L252">
        <f t="shared" si="10"/>
        <v>-0.98501528622063561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TSLA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2021-04-29T13:09:53Z</dcterms:created>
  <dcterms:modified xsi:type="dcterms:W3CDTF">2021-04-29T16:29:49Z</dcterms:modified>
</cp:coreProperties>
</file>