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CAPM OLS/"/>
    </mc:Choice>
  </mc:AlternateContent>
  <xr:revisionPtr revIDLastSave="0" documentId="13_ncr:1_{C2CBD9D3-2732-4F4D-BCDA-49E841B994F6}" xr6:coauthVersionLast="46" xr6:coauthVersionMax="46" xr10:uidLastSave="{00000000-0000-0000-0000-000000000000}"/>
  <bookViews>
    <workbookView xWindow="1960" yWindow="460" windowWidth="26840" windowHeight="14820" activeTab="1" xr2:uid="{00000000-000D-0000-FFFF-FFFF00000000}"/>
  </bookViews>
  <sheets>
    <sheet name="Sheet2" sheetId="2" r:id="rId1"/>
    <sheet name="Sheet1" sheetId="3" r:id="rId2"/>
    <sheet name="JNJ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<sst xmlns="http://schemas.openxmlformats.org/spreadsheetml/2006/main" count="64" uniqueCount="39">
  <si>
    <t>Date</t>
  </si>
  <si>
    <t>Open</t>
  </si>
  <si>
    <t>High</t>
  </si>
  <si>
    <t>Low</t>
  </si>
  <si>
    <t>Close</t>
  </si>
  <si>
    <t>Adj Close</t>
  </si>
  <si>
    <t>Volume</t>
  </si>
  <si>
    <t>Mkt-RF</t>
  </si>
  <si>
    <t>JNJ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</si>
  <si>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</si>
  <si>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</si>
  <si>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</si>
  <si>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</si>
  <si>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</si>
  <si>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</si>
  <si>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</si>
  <si>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</si>
  <si>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</si>
  <si>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</si>
  <si>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</si>
  <si>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</si>
  <si>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</si>
  <si>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</si>
  <si>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</si>
  <si>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</si>
  <si>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</si>
  <si>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</si>
  <si>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</si>
  <si>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</si>
  <si>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</si>
  <si>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</si>
  <si>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</si>
  <si>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beta</t>
  </si>
  <si>
    <t>alpha</t>
  </si>
  <si>
    <t>Daily Return</t>
  </si>
  <si>
    <t>RF rate</t>
  </si>
  <si>
    <t>Excess Return for JNJ</t>
  </si>
  <si>
    <t>Intercept</t>
  </si>
  <si>
    <t>X Variable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</si>
</sst>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4" fontId="0" fillId="0" borderId="0" xfId="0" applyNumberFormat="1"/>
    <xf numFmtId="0" fontId="0" fillId="0" borderId="0" xfId="0" applyFill="1" applyBorder="1" applyAlignment="1"/>
    <xf numFmtId="0" fontId="0" fillId="0" borderId="10" xfId="0" applyFill="1" applyBorder="1" applyAlignment="1"/>
    <xf numFmtId="0" fontId="18" fillId="0" borderId="11" xfId="0" applyFont="1" applyFill="1" applyBorder="1" applyAlignment="1">
      <alignment horizontal="center"/>
    </xf>
    <xf numFmtId="0" fontId="18" fillId="0" borderId="11" xfId="0" applyFont="1" applyFill="1" applyBorder="1" applyAlignment="1">
      <alignment horizontal="centerContinuous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18"/>
  <sheetViews>
    <sheetView workbookViewId="0">
      <selection activeCell="K5" sqref="K5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0.73363079869368719</v>
      </c>
    </row>
    <row r="5" spans="1:9" x14ac:dyDescent="0.2">
      <c r="A5" s="2" t="s">
        <v>12</v>
      </c>
      <c r="B5" s="2">
        <v>0.53821414879193741</v>
      </c>
    </row>
    <row r="6" spans="1:9" x14ac:dyDescent="0.2">
      <c r="A6" s="2" t="s">
        <v>13</v>
      </c>
      <c r="B6" s="2">
        <v>0.53635210906932418</v>
      </c>
    </row>
    <row r="7" spans="1:9" x14ac:dyDescent="0.2">
      <c r="A7" s="2" t="s">
        <v>14</v>
      </c>
      <c r="B7" s="2">
        <v>1.3130298521062953</v>
      </c>
    </row>
    <row r="8" spans="1:9" ht="17" thickBot="1" x14ac:dyDescent="0.25">
      <c r="A8" s="3" t="s">
        <v>15</v>
      </c>
      <c r="B8" s="3">
        <v>250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498.32809073542694</v>
      </c>
      <c r="D12" s="2">
        <v>498.32809073542694</v>
      </c>
      <c r="E12" s="2">
        <v>289.04547107975577</v>
      </c>
      <c r="F12" s="2">
        <v>1.6902774775995109E-43</v>
      </c>
    </row>
    <row r="13" spans="1:9" x14ac:dyDescent="0.2">
      <c r="A13" s="2" t="s">
        <v>18</v>
      </c>
      <c r="B13" s="2">
        <v>248</v>
      </c>
      <c r="C13" s="2">
        <v>427.56375334552536</v>
      </c>
      <c r="D13" s="2">
        <v>1.7240473925222797</v>
      </c>
      <c r="E13" s="2"/>
      <c r="F13" s="2"/>
    </row>
    <row r="14" spans="1:9" ht="17" thickBot="1" x14ac:dyDescent="0.25">
      <c r="A14" s="3" t="s">
        <v>19</v>
      </c>
      <c r="B14" s="3">
        <v>249</v>
      </c>
      <c r="C14" s="3">
        <v>925.8918440809523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33</v>
      </c>
      <c r="B17" s="2">
        <v>-6.1622748334896817E-2</v>
      </c>
      <c r="C17" s="2">
        <v>8.3210321178121716E-2</v>
      </c>
      <c r="D17" s="2">
        <v>-0.74056616369724015</v>
      </c>
      <c r="E17" s="2">
        <v>0.45965709304056857</v>
      </c>
      <c r="F17" s="2">
        <v>-0.22551177105773379</v>
      </c>
      <c r="G17" s="2">
        <v>0.10226627438794017</v>
      </c>
      <c r="H17" s="2">
        <v>-0.22551177105773379</v>
      </c>
      <c r="I17" s="2">
        <v>0.10226627438794017</v>
      </c>
    </row>
    <row r="18" spans="1:9" ht="17" thickBot="1" x14ac:dyDescent="0.25">
      <c r="A18" s="3" t="s">
        <v>32</v>
      </c>
      <c r="B18" s="3">
        <v>0.65835620260207495</v>
      </c>
      <c r="C18" s="3">
        <v>3.8723789178581609E-2</v>
      </c>
      <c r="D18" s="3">
        <v>17.001337332097041</v>
      </c>
      <c r="E18" s="3">
        <v>1.690277477599246E-43</v>
      </c>
      <c r="F18" s="3">
        <v>0.58208677021979072</v>
      </c>
      <c r="G18" s="3">
        <v>0.73462563498435918</v>
      </c>
      <c r="H18" s="3">
        <v>0.58208677021979072</v>
      </c>
      <c r="I18" s="3">
        <v>0.73462563498435918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03B35-28E0-B94D-AD78-2162142491B8}">
  <dimension ref="A1:I18"/>
  <sheetViews>
    <sheetView tabSelected="1" workbookViewId="0">
      <selection activeCell="L13" sqref="L13"/>
    </sheetView>
  </sheetViews>
  <sheetFormatPr baseColWidth="10" defaultRowHeight="16" x14ac:dyDescent="0.2"/>
  <sheetData>
    <row r="1" spans="1:9" x14ac:dyDescent="0.2">
      <c r="A1" t="s">
        <v>9</v>
      </c>
    </row>
    <row r="2" spans="1:9" ht="17" thickBot="1" x14ac:dyDescent="0.25"/>
    <row r="3" spans="1:9" x14ac:dyDescent="0.2">
      <c r="A3" s="5" t="s">
        <v>10</v>
      </c>
      <c r="B3" s="5"/>
    </row>
    <row r="4" spans="1:9" x14ac:dyDescent="0.2">
      <c r="A4" s="2" t="s">
        <v>11</v>
      </c>
      <c r="B4" s="2">
        <v>0.57472039368643135</v>
      </c>
    </row>
    <row r="5" spans="1:9" x14ac:dyDescent="0.2">
      <c r="A5" s="2" t="s">
        <v>12</v>
      </c>
      <c r="B5" s="2">
        <v>0.33030353091908665</v>
      </c>
    </row>
    <row r="6" spans="1:9" x14ac:dyDescent="0.2">
      <c r="A6" s="2" t="s">
        <v>13</v>
      </c>
      <c r="B6" s="2">
        <v>0.3273533262094791</v>
      </c>
    </row>
    <row r="7" spans="1:9" x14ac:dyDescent="0.2">
      <c r="A7" s="2" t="s">
        <v>14</v>
      </c>
      <c r="B7" s="2">
        <v>1.0140425151888257</v>
      </c>
    </row>
    <row r="8" spans="1:9" ht="17" thickBot="1" x14ac:dyDescent="0.25">
      <c r="A8" s="3" t="s">
        <v>15</v>
      </c>
      <c r="B8" s="3">
        <v>229</v>
      </c>
    </row>
    <row r="10" spans="1:9" ht="17" thickBot="1" x14ac:dyDescent="0.25">
      <c r="A10" t="s">
        <v>16</v>
      </c>
    </row>
    <row r="11" spans="1:9" x14ac:dyDescent="0.2">
      <c r="A11" s="4"/>
      <c r="B11" s="4" t="s">
        <v>20</v>
      </c>
      <c r="C11" s="4" t="s">
        <v>21</v>
      </c>
      <c r="D11" s="4" t="s">
        <v>22</v>
      </c>
      <c r="E11" s="4" t="s">
        <v>23</v>
      </c>
      <c r="F11" s="4" t="s">
        <v>24</v>
      </c>
    </row>
    <row r="12" spans="1:9" x14ac:dyDescent="0.2">
      <c r="A12" s="2" t="s">
        <v>17</v>
      </c>
      <c r="B12" s="2">
        <v>1</v>
      </c>
      <c r="C12" s="2">
        <v>115.12599373307532</v>
      </c>
      <c r="D12" s="2">
        <v>115.12599373307532</v>
      </c>
      <c r="E12" s="2">
        <v>111.9595293992414</v>
      </c>
      <c r="F12" s="2">
        <v>1.5753677062433525E-21</v>
      </c>
    </row>
    <row r="13" spans="1:9" x14ac:dyDescent="0.2">
      <c r="A13" s="2" t="s">
        <v>18</v>
      </c>
      <c r="B13" s="2">
        <v>227</v>
      </c>
      <c r="C13" s="2">
        <v>233.42006453257895</v>
      </c>
      <c r="D13" s="2">
        <v>1.02828222261048</v>
      </c>
      <c r="E13" s="2"/>
      <c r="F13" s="2"/>
    </row>
    <row r="14" spans="1:9" ht="17" thickBot="1" x14ac:dyDescent="0.25">
      <c r="A14" s="3" t="s">
        <v>19</v>
      </c>
      <c r="B14" s="3">
        <v>228</v>
      </c>
      <c r="C14" s="3">
        <v>348.54605826565427</v>
      </c>
      <c r="D14" s="3"/>
      <c r="E14" s="3"/>
      <c r="F14" s="3"/>
    </row>
    <row r="15" spans="1:9" ht="17" thickBot="1" x14ac:dyDescent="0.25"/>
    <row r="16" spans="1:9" x14ac:dyDescent="0.2">
      <c r="A16" s="4"/>
      <c r="B16" s="4" t="s">
        <v>25</v>
      </c>
      <c r="C16" s="4" t="s">
        <v>14</v>
      </c>
      <c r="D16" s="4" t="s">
        <v>26</v>
      </c>
      <c r="E16" s="4" t="s">
        <v>27</v>
      </c>
      <c r="F16" s="4" t="s">
        <v>28</v>
      </c>
      <c r="G16" s="4" t="s">
        <v>29</v>
      </c>
      <c r="H16" s="4" t="s">
        <v>30</v>
      </c>
      <c r="I16" s="4" t="s">
        <v>31</v>
      </c>
    </row>
    <row r="17" spans="1:9" x14ac:dyDescent="0.2">
      <c r="A17" s="2" t="s">
        <v>37</v>
      </c>
      <c r="B17" s="2">
        <v>-7.5382520232439437E-3</v>
      </c>
      <c r="C17" s="2">
        <v>6.7804317709046866E-2</v>
      </c>
      <c r="D17" s="2">
        <v>-0.11117657809921659</v>
      </c>
      <c r="E17" s="2">
        <v>0.91157456166236295</v>
      </c>
      <c r="F17" s="2">
        <v>-0.14114459289505538</v>
      </c>
      <c r="G17" s="2">
        <v>0.12606808884856752</v>
      </c>
      <c r="H17" s="2">
        <v>-0.14114459289505538</v>
      </c>
      <c r="I17" s="2">
        <v>0.12606808884856752</v>
      </c>
    </row>
    <row r="18" spans="1:9" ht="17" thickBot="1" x14ac:dyDescent="0.25">
      <c r="A18" s="3" t="s">
        <v>38</v>
      </c>
      <c r="B18" s="3">
        <v>0.51167778219586368</v>
      </c>
      <c r="C18" s="3">
        <v>4.8357743519893318E-2</v>
      </c>
      <c r="D18" s="3">
        <v>10.581093015338292</v>
      </c>
      <c r="E18" s="3">
        <v>1.5753677062437136E-21</v>
      </c>
      <c r="F18" s="3">
        <v>0.4163903228892944</v>
      </c>
      <c r="G18" s="3">
        <v>0.60696524150243292</v>
      </c>
      <c r="H18" s="3">
        <v>0.4163903228892944</v>
      </c>
      <c r="I18" s="3">
        <v>0.60696524150243292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252"/>
  <sheetViews>
    <sheetView topLeftCell="A24" workbookViewId="0">
      <selection activeCell="O8" sqref="O8"/>
    </sheetView>
  </sheetViews>
  <sheetFormatPr baseColWidth="10" defaultRowHeight="16" x14ac:dyDescent="0.2"/>
  <cols>
    <col min="9" max="9" width="12.83203125" bestFit="1" customWidth="1"/>
    <col min="11" max="11" width="20.16406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s="6" t="s">
        <v>34</v>
      </c>
      <c r="J1" s="6" t="s">
        <v>35</v>
      </c>
      <c r="K1" s="6" t="s">
        <v>36</v>
      </c>
      <c r="L1" s="6" t="s">
        <v>8</v>
      </c>
      <c r="M1" s="6" t="s">
        <v>7</v>
      </c>
    </row>
    <row r="2" spans="1:13" x14ac:dyDescent="0.2">
      <c r="A2" s="1">
        <v>43892</v>
      </c>
      <c r="B2">
        <v>134.779999</v>
      </c>
      <c r="C2">
        <v>140.13000500000001</v>
      </c>
      <c r="D2">
        <v>134.009995</v>
      </c>
      <c r="E2">
        <v>140.020004</v>
      </c>
      <c r="F2">
        <v>136.33326700000001</v>
      </c>
      <c r="G2">
        <v>11508200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140</v>
      </c>
      <c r="C3">
        <v>140.990005</v>
      </c>
      <c r="D3">
        <v>133.10000600000001</v>
      </c>
      <c r="E3">
        <v>135.58999600000001</v>
      </c>
      <c r="F3">
        <v>132.019913</v>
      </c>
      <c r="G3">
        <v>13662500</v>
      </c>
      <c r="I3">
        <f>(F3-F2)/F2</f>
        <v>-3.1638308792233401E-2</v>
      </c>
      <c r="J3">
        <v>6.0000000000000001E-3</v>
      </c>
      <c r="K3">
        <f>I3-J3</f>
        <v>-3.7638308792233399E-2</v>
      </c>
      <c r="L3">
        <f>100*K3</f>
        <v>-3.7638308792233399</v>
      </c>
      <c r="M3">
        <v>-2.79</v>
      </c>
    </row>
    <row r="4" spans="1:13" x14ac:dyDescent="0.2">
      <c r="A4" s="1">
        <v>43894</v>
      </c>
      <c r="B4">
        <v>137.679993</v>
      </c>
      <c r="C4">
        <v>143.63999899999999</v>
      </c>
      <c r="D4">
        <v>137.13999899999999</v>
      </c>
      <c r="E4">
        <v>143.479996</v>
      </c>
      <c r="F4">
        <v>139.70216400000001</v>
      </c>
      <c r="G4">
        <v>10560500</v>
      </c>
      <c r="I4">
        <f>(F4-F3)/F3</f>
        <v>5.8190092883942501E-2</v>
      </c>
      <c r="J4">
        <v>6.0000000000000001E-3</v>
      </c>
      <c r="K4">
        <f t="shared" ref="K4:K67" si="0">I4-J4</f>
        <v>5.2190092883942503E-2</v>
      </c>
      <c r="L4">
        <f t="shared" ref="L4:L67" si="1">100*K4</f>
        <v>5.2190092883942505</v>
      </c>
      <c r="M4">
        <v>4.03</v>
      </c>
    </row>
    <row r="5" spans="1:13" x14ac:dyDescent="0.2">
      <c r="A5" s="1">
        <v>43895</v>
      </c>
      <c r="B5">
        <v>140.800003</v>
      </c>
      <c r="C5">
        <v>142.679993</v>
      </c>
      <c r="D5">
        <v>139.83999600000001</v>
      </c>
      <c r="E5">
        <v>142.009995</v>
      </c>
      <c r="F5">
        <v>138.270859</v>
      </c>
      <c r="G5">
        <v>11339200</v>
      </c>
      <c r="I5">
        <f t="shared" ref="I5:I68" si="2">(F5-F4)/F4</f>
        <v>-1.0245403213653933E-2</v>
      </c>
      <c r="J5">
        <v>6.0000000000000001E-3</v>
      </c>
      <c r="K5">
        <f t="shared" si="0"/>
        <v>-1.6245403213653933E-2</v>
      </c>
      <c r="L5">
        <f t="shared" si="1"/>
        <v>-1.6245403213653933</v>
      </c>
      <c r="M5">
        <v>-3.38</v>
      </c>
    </row>
    <row r="6" spans="1:13" x14ac:dyDescent="0.2">
      <c r="A6" s="1">
        <v>43896</v>
      </c>
      <c r="B6">
        <v>138.479996</v>
      </c>
      <c r="C6">
        <v>143.009995</v>
      </c>
      <c r="D6">
        <v>137.41000399999999</v>
      </c>
      <c r="E6">
        <v>142.029999</v>
      </c>
      <c r="F6">
        <v>138.290344</v>
      </c>
      <c r="G6">
        <v>12239100</v>
      </c>
      <c r="I6">
        <f t="shared" si="2"/>
        <v>1.4091906379205384E-4</v>
      </c>
      <c r="J6">
        <v>6.0000000000000001E-3</v>
      </c>
      <c r="K6">
        <f t="shared" si="0"/>
        <v>-5.8590809362079463E-3</v>
      </c>
      <c r="L6">
        <f t="shared" si="1"/>
        <v>-0.58590809362079466</v>
      </c>
      <c r="M6">
        <v>-1.78</v>
      </c>
    </row>
    <row r="7" spans="1:13" x14ac:dyDescent="0.2">
      <c r="A7" s="1">
        <v>43899</v>
      </c>
      <c r="B7">
        <v>136.33000200000001</v>
      </c>
      <c r="C7">
        <v>139.679993</v>
      </c>
      <c r="D7">
        <v>134.89999399999999</v>
      </c>
      <c r="E7">
        <v>136.44000199999999</v>
      </c>
      <c r="F7">
        <v>132.847534</v>
      </c>
      <c r="G7">
        <v>13848600</v>
      </c>
      <c r="I7">
        <f t="shared" si="2"/>
        <v>-3.9357845548493309E-2</v>
      </c>
      <c r="J7">
        <v>6.0000000000000001E-3</v>
      </c>
      <c r="K7">
        <f t="shared" si="0"/>
        <v>-4.5357845548493307E-2</v>
      </c>
      <c r="L7">
        <f t="shared" si="1"/>
        <v>-4.5357845548493305</v>
      </c>
      <c r="M7">
        <v>-7.79</v>
      </c>
    </row>
    <row r="8" spans="1:13" x14ac:dyDescent="0.2">
      <c r="A8" s="1">
        <v>43900</v>
      </c>
      <c r="B8">
        <v>139.970001</v>
      </c>
      <c r="C8">
        <v>141.949997</v>
      </c>
      <c r="D8">
        <v>134.229996</v>
      </c>
      <c r="E8">
        <v>141.63999899999999</v>
      </c>
      <c r="F8">
        <v>137.91061400000001</v>
      </c>
      <c r="G8">
        <v>12698100</v>
      </c>
      <c r="I8">
        <f t="shared" si="2"/>
        <v>3.8111960738390627E-2</v>
      </c>
      <c r="J8">
        <v>6.0000000000000001E-3</v>
      </c>
      <c r="K8">
        <f t="shared" si="0"/>
        <v>3.2111960738390628E-2</v>
      </c>
      <c r="L8">
        <f t="shared" si="1"/>
        <v>3.211196073839063</v>
      </c>
      <c r="M8">
        <v>4.74</v>
      </c>
    </row>
    <row r="9" spans="1:13" x14ac:dyDescent="0.2">
      <c r="A9" s="1">
        <v>43901</v>
      </c>
      <c r="B9">
        <v>138.08999600000001</v>
      </c>
      <c r="C9">
        <v>138.75</v>
      </c>
      <c r="D9">
        <v>131.5</v>
      </c>
      <c r="E9">
        <v>131.800003</v>
      </c>
      <c r="F9">
        <v>128.329712</v>
      </c>
      <c r="G9">
        <v>17763400</v>
      </c>
      <c r="I9">
        <f t="shared" si="2"/>
        <v>-6.9471824699439078E-2</v>
      </c>
      <c r="J9">
        <v>6.0000000000000001E-3</v>
      </c>
      <c r="K9">
        <f t="shared" si="0"/>
        <v>-7.5471824699439083E-2</v>
      </c>
      <c r="L9">
        <f t="shared" si="1"/>
        <v>-7.5471824699439081</v>
      </c>
      <c r="M9">
        <v>-5.05</v>
      </c>
    </row>
    <row r="10" spans="1:13" x14ac:dyDescent="0.2">
      <c r="A10" s="1">
        <v>43902</v>
      </c>
      <c r="B10">
        <v>127.30999799999999</v>
      </c>
      <c r="C10">
        <v>133.759995</v>
      </c>
      <c r="D10">
        <v>124.5</v>
      </c>
      <c r="E10">
        <v>125.410004</v>
      </c>
      <c r="F10">
        <v>122.10794799999999</v>
      </c>
      <c r="G10">
        <v>21539200</v>
      </c>
      <c r="I10">
        <f t="shared" si="2"/>
        <v>-4.8482646014198237E-2</v>
      </c>
      <c r="J10">
        <v>6.0000000000000001E-3</v>
      </c>
      <c r="K10">
        <f t="shared" si="0"/>
        <v>-5.4482646014198235E-2</v>
      </c>
      <c r="L10">
        <f t="shared" si="1"/>
        <v>-5.4482646014198233</v>
      </c>
      <c r="M10">
        <v>-9.6300000000000008</v>
      </c>
    </row>
    <row r="11" spans="1:13" x14ac:dyDescent="0.2">
      <c r="A11" s="1">
        <v>43903</v>
      </c>
      <c r="B11">
        <v>129.320007</v>
      </c>
      <c r="C11">
        <v>134.91999799999999</v>
      </c>
      <c r="D11">
        <v>124.650002</v>
      </c>
      <c r="E11">
        <v>134.28999300000001</v>
      </c>
      <c r="F11">
        <v>130.75412</v>
      </c>
      <c r="G11">
        <v>20084200</v>
      </c>
      <c r="I11">
        <f t="shared" si="2"/>
        <v>7.0807610328526754E-2</v>
      </c>
      <c r="J11">
        <v>6.0000000000000001E-3</v>
      </c>
      <c r="K11">
        <f t="shared" si="0"/>
        <v>6.4807610328526749E-2</v>
      </c>
      <c r="L11">
        <f t="shared" si="1"/>
        <v>6.4807610328526746</v>
      </c>
      <c r="M11">
        <v>8.9600000000000009</v>
      </c>
    </row>
    <row r="12" spans="1:13" x14ac:dyDescent="0.2">
      <c r="A12" s="1">
        <v>43906</v>
      </c>
      <c r="B12">
        <v>123.57</v>
      </c>
      <c r="C12">
        <v>133.759995</v>
      </c>
      <c r="D12">
        <v>122.43</v>
      </c>
      <c r="E12">
        <v>127.129997</v>
      </c>
      <c r="F12">
        <v>123.782661</v>
      </c>
      <c r="G12">
        <v>18877900</v>
      </c>
      <c r="I12">
        <f t="shared" si="2"/>
        <v>-5.3317318031737705E-2</v>
      </c>
      <c r="J12">
        <v>6.0000000000000001E-3</v>
      </c>
      <c r="K12">
        <f t="shared" si="0"/>
        <v>-5.9317318031737704E-2</v>
      </c>
      <c r="L12">
        <f t="shared" si="1"/>
        <v>-5.9317318031737702</v>
      </c>
      <c r="M12">
        <v>-12</v>
      </c>
    </row>
    <row r="13" spans="1:13" x14ac:dyDescent="0.2">
      <c r="A13" s="1">
        <v>43907</v>
      </c>
      <c r="B13">
        <v>128.550003</v>
      </c>
      <c r="C13">
        <v>136.770004</v>
      </c>
      <c r="D13">
        <v>127.80999799999999</v>
      </c>
      <c r="E13">
        <v>136.58999600000001</v>
      </c>
      <c r="F13">
        <v>132.993561</v>
      </c>
      <c r="G13">
        <v>18911800</v>
      </c>
      <c r="I13">
        <f t="shared" si="2"/>
        <v>7.4411875828069282E-2</v>
      </c>
      <c r="J13">
        <v>6.0000000000000001E-3</v>
      </c>
      <c r="K13">
        <f t="shared" si="0"/>
        <v>6.8411875828069277E-2</v>
      </c>
      <c r="L13">
        <f t="shared" si="1"/>
        <v>6.8411875828069277</v>
      </c>
      <c r="M13">
        <v>5.87</v>
      </c>
    </row>
    <row r="14" spans="1:13" x14ac:dyDescent="0.2">
      <c r="A14" s="1">
        <v>43908</v>
      </c>
      <c r="B14">
        <v>131.020004</v>
      </c>
      <c r="C14">
        <v>135.66999799999999</v>
      </c>
      <c r="D14">
        <v>128.71000699999999</v>
      </c>
      <c r="E14">
        <v>134.96000699999999</v>
      </c>
      <c r="F14">
        <v>131.406509</v>
      </c>
      <c r="G14">
        <v>17521100</v>
      </c>
      <c r="I14">
        <f t="shared" si="2"/>
        <v>-1.1933299537712204E-2</v>
      </c>
      <c r="J14">
        <v>6.0000000000000001E-3</v>
      </c>
      <c r="K14">
        <f t="shared" si="0"/>
        <v>-1.7933299537712204E-2</v>
      </c>
      <c r="L14">
        <f t="shared" si="1"/>
        <v>-1.7933299537712204</v>
      </c>
      <c r="M14">
        <v>-5.56</v>
      </c>
    </row>
    <row r="15" spans="1:13" x14ac:dyDescent="0.2">
      <c r="A15" s="1">
        <v>43909</v>
      </c>
      <c r="B15">
        <v>134.990005</v>
      </c>
      <c r="C15">
        <v>134.990005</v>
      </c>
      <c r="D15">
        <v>126.150002</v>
      </c>
      <c r="E15">
        <v>127.050003</v>
      </c>
      <c r="F15">
        <v>123.70476499999999</v>
      </c>
      <c r="G15">
        <v>18482300</v>
      </c>
      <c r="I15">
        <f t="shared" si="2"/>
        <v>-5.8610064741922374E-2</v>
      </c>
      <c r="J15">
        <v>6.0000000000000001E-3</v>
      </c>
      <c r="K15">
        <f t="shared" si="0"/>
        <v>-6.4610064741922379E-2</v>
      </c>
      <c r="L15">
        <f t="shared" si="1"/>
        <v>-6.4610064741922377</v>
      </c>
      <c r="M15">
        <v>1.31</v>
      </c>
    </row>
    <row r="16" spans="1:13" x14ac:dyDescent="0.2">
      <c r="A16" s="1">
        <v>43910</v>
      </c>
      <c r="B16">
        <v>126.83000199999999</v>
      </c>
      <c r="C16">
        <v>127.44000200000001</v>
      </c>
      <c r="D16">
        <v>118.129997</v>
      </c>
      <c r="E16">
        <v>119.889999</v>
      </c>
      <c r="F16">
        <v>116.733284</v>
      </c>
      <c r="G16">
        <v>19785100</v>
      </c>
      <c r="I16">
        <f t="shared" si="2"/>
        <v>-5.6355800037290377E-2</v>
      </c>
      <c r="J16">
        <v>6.0000000000000001E-3</v>
      </c>
      <c r="K16">
        <f t="shared" si="0"/>
        <v>-6.2355800037290375E-2</v>
      </c>
      <c r="L16">
        <f t="shared" si="1"/>
        <v>-6.2355800037290372</v>
      </c>
      <c r="M16">
        <v>-4.1500000000000004</v>
      </c>
    </row>
    <row r="17" spans="1:13" x14ac:dyDescent="0.2">
      <c r="A17" s="1">
        <v>43913</v>
      </c>
      <c r="B17">
        <v>117</v>
      </c>
      <c r="C17">
        <v>118.55999799999999</v>
      </c>
      <c r="D17">
        <v>109.160004</v>
      </c>
      <c r="E17">
        <v>111.139999</v>
      </c>
      <c r="F17">
        <v>108.213684</v>
      </c>
      <c r="G17">
        <v>20815200</v>
      </c>
      <c r="I17">
        <f t="shared" si="2"/>
        <v>-7.2983468879364327E-2</v>
      </c>
      <c r="J17">
        <v>6.0000000000000001E-3</v>
      </c>
      <c r="K17">
        <f t="shared" si="0"/>
        <v>-7.8983468879364332E-2</v>
      </c>
      <c r="L17">
        <f t="shared" si="1"/>
        <v>-7.8983468879364329</v>
      </c>
      <c r="M17">
        <v>-2.5499999999999998</v>
      </c>
    </row>
    <row r="18" spans="1:13" x14ac:dyDescent="0.2">
      <c r="A18" s="1">
        <v>43914</v>
      </c>
      <c r="B18">
        <v>118.760002</v>
      </c>
      <c r="C18">
        <v>119.650002</v>
      </c>
      <c r="D18">
        <v>113.860001</v>
      </c>
      <c r="E18">
        <v>119.18</v>
      </c>
      <c r="F18">
        <v>116.04199199999999</v>
      </c>
      <c r="G18">
        <v>17604800</v>
      </c>
      <c r="I18">
        <f t="shared" si="2"/>
        <v>7.2341202245734398E-2</v>
      </c>
      <c r="J18">
        <v>6.0000000000000001E-3</v>
      </c>
      <c r="K18">
        <f t="shared" si="0"/>
        <v>6.6341202245734393E-2</v>
      </c>
      <c r="L18">
        <f t="shared" si="1"/>
        <v>6.6341202245734392</v>
      </c>
      <c r="M18">
        <v>9.34</v>
      </c>
    </row>
    <row r="19" spans="1:13" x14ac:dyDescent="0.2">
      <c r="A19" s="1">
        <v>43915</v>
      </c>
      <c r="B19">
        <v>118.910004</v>
      </c>
      <c r="C19">
        <v>123.959999</v>
      </c>
      <c r="D19">
        <v>116.699997</v>
      </c>
      <c r="E19">
        <v>119.400002</v>
      </c>
      <c r="F19">
        <v>116.256187</v>
      </c>
      <c r="G19">
        <v>13986100</v>
      </c>
      <c r="I19">
        <f t="shared" si="2"/>
        <v>1.8458404264553102E-3</v>
      </c>
      <c r="J19">
        <v>6.0000000000000001E-3</v>
      </c>
      <c r="K19">
        <f t="shared" si="0"/>
        <v>-4.1541595735446902E-3</v>
      </c>
      <c r="L19">
        <f t="shared" si="1"/>
        <v>-0.41541595735446901</v>
      </c>
      <c r="M19">
        <v>1.18</v>
      </c>
    </row>
    <row r="20" spans="1:13" x14ac:dyDescent="0.2">
      <c r="A20" s="1">
        <v>43916</v>
      </c>
      <c r="B20">
        <v>120.57</v>
      </c>
      <c r="C20">
        <v>127.099998</v>
      </c>
      <c r="D20">
        <v>120.379997</v>
      </c>
      <c r="E20">
        <v>126.57</v>
      </c>
      <c r="F20">
        <v>123.237396</v>
      </c>
      <c r="G20">
        <v>15066800</v>
      </c>
      <c r="I20">
        <f t="shared" si="2"/>
        <v>6.0050214789858947E-2</v>
      </c>
      <c r="J20">
        <v>6.0000000000000001E-3</v>
      </c>
      <c r="K20">
        <f t="shared" si="0"/>
        <v>5.4050214789858948E-2</v>
      </c>
      <c r="L20">
        <f t="shared" si="1"/>
        <v>5.405021478985895</v>
      </c>
      <c r="M20">
        <v>6.02</v>
      </c>
    </row>
    <row r="21" spans="1:13" x14ac:dyDescent="0.2">
      <c r="A21" s="1">
        <v>43917</v>
      </c>
      <c r="B21">
        <v>121.650002</v>
      </c>
      <c r="C21">
        <v>127.620003</v>
      </c>
      <c r="D21">
        <v>120.58000199999999</v>
      </c>
      <c r="E21">
        <v>123.160004</v>
      </c>
      <c r="F21">
        <v>119.917191</v>
      </c>
      <c r="G21">
        <v>12133200</v>
      </c>
      <c r="I21">
        <f t="shared" si="2"/>
        <v>-2.6941538102606463E-2</v>
      </c>
      <c r="J21">
        <v>6.0000000000000001E-3</v>
      </c>
      <c r="K21">
        <f t="shared" si="0"/>
        <v>-3.2941538102606464E-2</v>
      </c>
      <c r="L21">
        <f t="shared" si="1"/>
        <v>-3.2941538102606462</v>
      </c>
      <c r="M21">
        <v>-3.48</v>
      </c>
    </row>
    <row r="22" spans="1:13" x14ac:dyDescent="0.2">
      <c r="A22" s="1">
        <v>43920</v>
      </c>
      <c r="B22">
        <v>128.46000699999999</v>
      </c>
      <c r="C22">
        <v>133.990005</v>
      </c>
      <c r="D22">
        <v>127.5</v>
      </c>
      <c r="E22">
        <v>133.009995</v>
      </c>
      <c r="F22">
        <v>129.50784300000001</v>
      </c>
      <c r="G22">
        <v>21754000</v>
      </c>
      <c r="I22">
        <f t="shared" si="2"/>
        <v>7.9977290328623565E-2</v>
      </c>
      <c r="J22">
        <v>6.0000000000000001E-3</v>
      </c>
      <c r="K22">
        <f t="shared" si="0"/>
        <v>7.397729032862356E-2</v>
      </c>
      <c r="L22">
        <f t="shared" si="1"/>
        <v>7.3977290328623564</v>
      </c>
      <c r="M22">
        <v>3.16</v>
      </c>
    </row>
    <row r="23" spans="1:13" x14ac:dyDescent="0.2">
      <c r="A23" s="1">
        <v>43921</v>
      </c>
      <c r="B23">
        <v>134.990005</v>
      </c>
      <c r="C23">
        <v>135.71000699999999</v>
      </c>
      <c r="D23">
        <v>130.050003</v>
      </c>
      <c r="E23">
        <v>131.13000500000001</v>
      </c>
      <c r="F23">
        <v>127.677345</v>
      </c>
      <c r="G23">
        <v>15746100</v>
      </c>
      <c r="I23">
        <f t="shared" si="2"/>
        <v>-1.4134263667722469E-2</v>
      </c>
      <c r="J23">
        <v>6.0000000000000001E-3</v>
      </c>
      <c r="K23">
        <f t="shared" si="0"/>
        <v>-2.0134263667722467E-2</v>
      </c>
      <c r="L23">
        <f t="shared" si="1"/>
        <v>-2.0134263667722467</v>
      </c>
      <c r="M23">
        <v>-1.44</v>
      </c>
    </row>
    <row r="24" spans="1:13" x14ac:dyDescent="0.2">
      <c r="A24" s="1">
        <v>43922</v>
      </c>
      <c r="B24">
        <v>127.699997</v>
      </c>
      <c r="C24">
        <v>130.229996</v>
      </c>
      <c r="D24">
        <v>125.5</v>
      </c>
      <c r="E24">
        <v>128.80999800000001</v>
      </c>
      <c r="F24">
        <v>125.41842699999999</v>
      </c>
      <c r="G24">
        <v>12606100</v>
      </c>
      <c r="I24">
        <f t="shared" si="2"/>
        <v>-1.7692394841073867E-2</v>
      </c>
      <c r="J24">
        <v>0</v>
      </c>
      <c r="K24">
        <f t="shared" si="0"/>
        <v>-1.7692394841073867E-2</v>
      </c>
      <c r="L24">
        <f t="shared" si="1"/>
        <v>-1.7692394841073866</v>
      </c>
      <c r="M24">
        <v>-4.51</v>
      </c>
    </row>
    <row r="25" spans="1:13" x14ac:dyDescent="0.2">
      <c r="A25" s="1">
        <v>43923</v>
      </c>
      <c r="B25">
        <v>129.11999499999999</v>
      </c>
      <c r="C25">
        <v>134</v>
      </c>
      <c r="D25">
        <v>127.220001</v>
      </c>
      <c r="E25">
        <v>133.14999399999999</v>
      </c>
      <c r="F25">
        <v>129.64415</v>
      </c>
      <c r="G25">
        <v>11594500</v>
      </c>
      <c r="I25">
        <f t="shared" si="2"/>
        <v>3.3692999514337733E-2</v>
      </c>
      <c r="J25">
        <v>0</v>
      </c>
      <c r="K25">
        <f t="shared" si="0"/>
        <v>3.3692999514337733E-2</v>
      </c>
      <c r="L25">
        <f t="shared" si="1"/>
        <v>3.3692999514337734</v>
      </c>
      <c r="M25">
        <v>2.1</v>
      </c>
    </row>
    <row r="26" spans="1:13" x14ac:dyDescent="0.2">
      <c r="A26" s="1">
        <v>43924</v>
      </c>
      <c r="B26">
        <v>132.38000500000001</v>
      </c>
      <c r="C26">
        <v>134.78999300000001</v>
      </c>
      <c r="D26">
        <v>131.58000200000001</v>
      </c>
      <c r="E26">
        <v>134.16999799999999</v>
      </c>
      <c r="F26">
        <v>130.63729900000001</v>
      </c>
      <c r="G26">
        <v>10071200</v>
      </c>
      <c r="I26">
        <f t="shared" si="2"/>
        <v>7.6605770487909921E-3</v>
      </c>
      <c r="J26">
        <v>0</v>
      </c>
      <c r="K26">
        <f t="shared" si="0"/>
        <v>7.6605770487909921E-3</v>
      </c>
      <c r="L26">
        <f t="shared" si="1"/>
        <v>0.76605770487909919</v>
      </c>
      <c r="M26">
        <v>-1.64</v>
      </c>
    </row>
    <row r="27" spans="1:13" x14ac:dyDescent="0.2">
      <c r="A27" s="1">
        <v>43927</v>
      </c>
      <c r="B27">
        <v>137.009995</v>
      </c>
      <c r="C27">
        <v>140.970001</v>
      </c>
      <c r="D27">
        <v>135.53999300000001</v>
      </c>
      <c r="E27">
        <v>139.759995</v>
      </c>
      <c r="F27">
        <v>136.08010899999999</v>
      </c>
      <c r="G27">
        <v>14994400</v>
      </c>
      <c r="I27">
        <f t="shared" si="2"/>
        <v>4.1663522146151995E-2</v>
      </c>
      <c r="J27">
        <v>0</v>
      </c>
      <c r="K27">
        <f t="shared" si="0"/>
        <v>4.1663522146151995E-2</v>
      </c>
      <c r="L27">
        <f t="shared" si="1"/>
        <v>4.1663522146151992</v>
      </c>
      <c r="M27">
        <v>7.06</v>
      </c>
    </row>
    <row r="28" spans="1:13" x14ac:dyDescent="0.2">
      <c r="A28" s="1">
        <v>43928</v>
      </c>
      <c r="B28">
        <v>139.86000100000001</v>
      </c>
      <c r="C28">
        <v>142.029999</v>
      </c>
      <c r="D28">
        <v>137.259995</v>
      </c>
      <c r="E28">
        <v>137.479996</v>
      </c>
      <c r="F28">
        <v>133.86013800000001</v>
      </c>
      <c r="G28">
        <v>11567100</v>
      </c>
      <c r="I28">
        <f t="shared" si="2"/>
        <v>-1.6313706803394661E-2</v>
      </c>
      <c r="J28">
        <v>0</v>
      </c>
      <c r="K28">
        <f t="shared" si="0"/>
        <v>-1.6313706803394661E-2</v>
      </c>
      <c r="L28">
        <f t="shared" si="1"/>
        <v>-1.6313706803394661</v>
      </c>
      <c r="M28">
        <v>-0.11</v>
      </c>
    </row>
    <row r="29" spans="1:13" x14ac:dyDescent="0.2">
      <c r="A29" s="1">
        <v>43929</v>
      </c>
      <c r="B29">
        <v>137.75</v>
      </c>
      <c r="C29">
        <v>144.13000500000001</v>
      </c>
      <c r="D29">
        <v>137.300003</v>
      </c>
      <c r="E29">
        <v>143.259995</v>
      </c>
      <c r="F29">
        <v>139.48794599999999</v>
      </c>
      <c r="G29">
        <v>10758200</v>
      </c>
      <c r="I29">
        <f t="shared" si="2"/>
        <v>4.2042448813253031E-2</v>
      </c>
      <c r="J29">
        <v>0</v>
      </c>
      <c r="K29">
        <f t="shared" si="0"/>
        <v>4.2042448813253031E-2</v>
      </c>
      <c r="L29">
        <f t="shared" si="1"/>
        <v>4.2042448813253035</v>
      </c>
      <c r="M29">
        <v>3.4</v>
      </c>
    </row>
    <row r="30" spans="1:13" x14ac:dyDescent="0.2">
      <c r="A30" s="1">
        <v>43930</v>
      </c>
      <c r="B30">
        <v>144.009995</v>
      </c>
      <c r="C30">
        <v>145.41999799999999</v>
      </c>
      <c r="D30">
        <v>140.279999</v>
      </c>
      <c r="E30">
        <v>141.229996</v>
      </c>
      <c r="F30">
        <v>137.511414</v>
      </c>
      <c r="G30">
        <v>11127200</v>
      </c>
      <c r="I30">
        <f t="shared" si="2"/>
        <v>-1.41699125743811E-2</v>
      </c>
      <c r="J30">
        <v>0</v>
      </c>
      <c r="K30">
        <f t="shared" si="0"/>
        <v>-1.41699125743811E-2</v>
      </c>
      <c r="L30">
        <f t="shared" si="1"/>
        <v>-1.4169912574381101</v>
      </c>
      <c r="M30">
        <v>1.59</v>
      </c>
    </row>
    <row r="31" spans="1:13" x14ac:dyDescent="0.2">
      <c r="A31" s="1">
        <v>43934</v>
      </c>
      <c r="B31">
        <v>140</v>
      </c>
      <c r="C31">
        <v>141.490005</v>
      </c>
      <c r="D31">
        <v>137.83999600000001</v>
      </c>
      <c r="E31">
        <v>139.770004</v>
      </c>
      <c r="F31">
        <v>136.08985899999999</v>
      </c>
      <c r="G31">
        <v>8153200</v>
      </c>
      <c r="I31">
        <f t="shared" si="2"/>
        <v>-1.0337723674341768E-2</v>
      </c>
      <c r="J31">
        <v>0</v>
      </c>
      <c r="K31">
        <f t="shared" si="0"/>
        <v>-1.0337723674341768E-2</v>
      </c>
      <c r="L31">
        <f t="shared" si="1"/>
        <v>-1.0337723674341768</v>
      </c>
      <c r="M31">
        <v>-0.92</v>
      </c>
    </row>
    <row r="32" spans="1:13" x14ac:dyDescent="0.2">
      <c r="A32" s="1">
        <v>43935</v>
      </c>
      <c r="B32">
        <v>145.41999799999999</v>
      </c>
      <c r="C32">
        <v>147.41999799999999</v>
      </c>
      <c r="D32">
        <v>144.050003</v>
      </c>
      <c r="E32">
        <v>146.029999</v>
      </c>
      <c r="F32">
        <v>142.185013</v>
      </c>
      <c r="G32">
        <v>13838000</v>
      </c>
      <c r="I32">
        <f t="shared" si="2"/>
        <v>4.4787716327930126E-2</v>
      </c>
      <c r="J32">
        <v>0</v>
      </c>
      <c r="K32">
        <f t="shared" si="0"/>
        <v>4.4787716327930126E-2</v>
      </c>
      <c r="L32">
        <f t="shared" si="1"/>
        <v>4.4787716327930127</v>
      </c>
      <c r="M32">
        <v>3.02</v>
      </c>
    </row>
    <row r="33" spans="1:13" x14ac:dyDescent="0.2">
      <c r="A33" s="1">
        <v>43936</v>
      </c>
      <c r="B33">
        <v>145.550003</v>
      </c>
      <c r="C33">
        <v>147.91000399999999</v>
      </c>
      <c r="D33">
        <v>143.53999300000001</v>
      </c>
      <c r="E33">
        <v>147.66000399999999</v>
      </c>
      <c r="F33">
        <v>143.77211</v>
      </c>
      <c r="G33">
        <v>11962300</v>
      </c>
      <c r="I33">
        <f t="shared" si="2"/>
        <v>1.11621961169705E-2</v>
      </c>
      <c r="J33">
        <v>0</v>
      </c>
      <c r="K33">
        <f t="shared" si="0"/>
        <v>1.11621961169705E-2</v>
      </c>
      <c r="L33">
        <f t="shared" si="1"/>
        <v>1.11621961169705</v>
      </c>
      <c r="M33">
        <v>-2.15</v>
      </c>
    </row>
    <row r="34" spans="1:13" x14ac:dyDescent="0.2">
      <c r="A34" s="1">
        <v>43937</v>
      </c>
      <c r="B34">
        <v>148.30999800000001</v>
      </c>
      <c r="C34">
        <v>150.679993</v>
      </c>
      <c r="D34">
        <v>146.44000199999999</v>
      </c>
      <c r="E34">
        <v>149.66999799999999</v>
      </c>
      <c r="F34">
        <v>145.729187</v>
      </c>
      <c r="G34">
        <v>12181700</v>
      </c>
      <c r="I34">
        <f t="shared" si="2"/>
        <v>1.3612354997085305E-2</v>
      </c>
      <c r="J34">
        <v>0</v>
      </c>
      <c r="K34">
        <f t="shared" si="0"/>
        <v>1.3612354997085305E-2</v>
      </c>
      <c r="L34">
        <f t="shared" si="1"/>
        <v>1.3612354997085305</v>
      </c>
      <c r="M34">
        <v>0.62</v>
      </c>
    </row>
    <row r="35" spans="1:13" x14ac:dyDescent="0.2">
      <c r="A35" s="1">
        <v>43938</v>
      </c>
      <c r="B35">
        <v>151.990005</v>
      </c>
      <c r="C35">
        <v>152.300003</v>
      </c>
      <c r="D35">
        <v>149.60000600000001</v>
      </c>
      <c r="E35">
        <v>152.020004</v>
      </c>
      <c r="F35">
        <v>148.017303</v>
      </c>
      <c r="G35">
        <v>10920000</v>
      </c>
      <c r="I35">
        <f t="shared" si="2"/>
        <v>1.5701151204528453E-2</v>
      </c>
      <c r="J35">
        <v>0</v>
      </c>
      <c r="K35">
        <f t="shared" si="0"/>
        <v>1.5701151204528453E-2</v>
      </c>
      <c r="L35">
        <f t="shared" si="1"/>
        <v>1.5701151204528454</v>
      </c>
      <c r="M35">
        <v>2.72</v>
      </c>
    </row>
    <row r="36" spans="1:13" x14ac:dyDescent="0.2">
      <c r="A36" s="1">
        <v>43941</v>
      </c>
      <c r="B36">
        <v>150.929993</v>
      </c>
      <c r="C36">
        <v>153</v>
      </c>
      <c r="D36">
        <v>150.08999600000001</v>
      </c>
      <c r="E36">
        <v>151.66999799999999</v>
      </c>
      <c r="F36">
        <v>147.67652899999999</v>
      </c>
      <c r="G36">
        <v>12226200</v>
      </c>
      <c r="I36">
        <f t="shared" si="2"/>
        <v>-2.3022578650822353E-3</v>
      </c>
      <c r="J36">
        <v>0</v>
      </c>
      <c r="K36">
        <f t="shared" si="0"/>
        <v>-2.3022578650822353E-3</v>
      </c>
      <c r="L36">
        <f t="shared" si="1"/>
        <v>-0.23022578650822353</v>
      </c>
      <c r="M36">
        <v>-1.56</v>
      </c>
    </row>
    <row r="37" spans="1:13" x14ac:dyDescent="0.2">
      <c r="A37" s="1">
        <v>43942</v>
      </c>
      <c r="B37">
        <v>150.11999499999999</v>
      </c>
      <c r="C37">
        <v>151.63999899999999</v>
      </c>
      <c r="D37">
        <v>148.570007</v>
      </c>
      <c r="E37">
        <v>149.679993</v>
      </c>
      <c r="F37">
        <v>145.738922</v>
      </c>
      <c r="G37">
        <v>9951100</v>
      </c>
      <c r="I37">
        <f t="shared" si="2"/>
        <v>-1.3120615802122393E-2</v>
      </c>
      <c r="J37">
        <v>0</v>
      </c>
      <c r="K37">
        <f t="shared" si="0"/>
        <v>-1.3120615802122393E-2</v>
      </c>
      <c r="L37">
        <f t="shared" si="1"/>
        <v>-1.3120615802122393</v>
      </c>
      <c r="M37">
        <v>-3.08</v>
      </c>
    </row>
    <row r="38" spans="1:13" x14ac:dyDescent="0.2">
      <c r="A38" s="1">
        <v>43943</v>
      </c>
      <c r="B38">
        <v>152.80999800000001</v>
      </c>
      <c r="C38">
        <v>155</v>
      </c>
      <c r="D38">
        <v>151.729996</v>
      </c>
      <c r="E38">
        <v>152.990005</v>
      </c>
      <c r="F38">
        <v>148.961761</v>
      </c>
      <c r="G38">
        <v>11518300</v>
      </c>
      <c r="I38">
        <f t="shared" si="2"/>
        <v>2.211378371523836E-2</v>
      </c>
      <c r="J38">
        <v>0</v>
      </c>
      <c r="K38">
        <f t="shared" si="0"/>
        <v>2.211378371523836E-2</v>
      </c>
      <c r="L38">
        <f t="shared" si="1"/>
        <v>2.211378371523836</v>
      </c>
      <c r="M38">
        <v>2.31</v>
      </c>
    </row>
    <row r="39" spans="1:13" x14ac:dyDescent="0.2">
      <c r="A39" s="1">
        <v>43944</v>
      </c>
      <c r="B39">
        <v>154.25</v>
      </c>
      <c r="C39">
        <v>157</v>
      </c>
      <c r="D39">
        <v>153.699997</v>
      </c>
      <c r="E39">
        <v>155.509995</v>
      </c>
      <c r="F39">
        <v>151.41542100000001</v>
      </c>
      <c r="G39">
        <v>10665000</v>
      </c>
      <c r="I39">
        <f t="shared" si="2"/>
        <v>1.647174404711833E-2</v>
      </c>
      <c r="J39">
        <v>0</v>
      </c>
      <c r="K39">
        <f t="shared" si="0"/>
        <v>1.647174404711833E-2</v>
      </c>
      <c r="L39">
        <f t="shared" si="1"/>
        <v>1.6471744047118331</v>
      </c>
      <c r="M39">
        <v>0.13</v>
      </c>
    </row>
    <row r="40" spans="1:13" x14ac:dyDescent="0.2">
      <c r="A40" s="1">
        <v>43945</v>
      </c>
      <c r="B40">
        <v>155.570007</v>
      </c>
      <c r="C40">
        <v>156.300003</v>
      </c>
      <c r="D40">
        <v>153.63999899999999</v>
      </c>
      <c r="E40">
        <v>154.86000100000001</v>
      </c>
      <c r="F40">
        <v>150.782532</v>
      </c>
      <c r="G40">
        <v>8654100</v>
      </c>
      <c r="I40">
        <f t="shared" si="2"/>
        <v>-4.1798186460810073E-3</v>
      </c>
      <c r="J40">
        <v>0</v>
      </c>
      <c r="K40">
        <f t="shared" si="0"/>
        <v>-4.1798186460810073E-3</v>
      </c>
      <c r="L40">
        <f t="shared" si="1"/>
        <v>-0.41798186460810072</v>
      </c>
      <c r="M40">
        <v>1.44</v>
      </c>
    </row>
    <row r="41" spans="1:13" x14ac:dyDescent="0.2">
      <c r="A41" s="1">
        <v>43948</v>
      </c>
      <c r="B41">
        <v>154.80999800000001</v>
      </c>
      <c r="C41">
        <v>156.050003</v>
      </c>
      <c r="D41">
        <v>154</v>
      </c>
      <c r="E41">
        <v>154.28999300000001</v>
      </c>
      <c r="F41">
        <v>150.22753900000001</v>
      </c>
      <c r="G41">
        <v>8924000</v>
      </c>
      <c r="I41">
        <f t="shared" si="2"/>
        <v>-3.6807512955147619E-3</v>
      </c>
      <c r="J41">
        <v>0</v>
      </c>
      <c r="K41">
        <f t="shared" si="0"/>
        <v>-3.6807512955147619E-3</v>
      </c>
      <c r="L41">
        <f t="shared" si="1"/>
        <v>-0.3680751295514762</v>
      </c>
      <c r="M41">
        <v>1.73</v>
      </c>
    </row>
    <row r="42" spans="1:13" x14ac:dyDescent="0.2">
      <c r="A42" s="1">
        <v>43949</v>
      </c>
      <c r="B42">
        <v>151.25</v>
      </c>
      <c r="C42">
        <v>153.10000600000001</v>
      </c>
      <c r="D42">
        <v>150.699997</v>
      </c>
      <c r="E42">
        <v>151.38999899999999</v>
      </c>
      <c r="F42">
        <v>147.40389999999999</v>
      </c>
      <c r="G42">
        <v>8558700</v>
      </c>
      <c r="I42">
        <f t="shared" si="2"/>
        <v>-1.8795748228292643E-2</v>
      </c>
      <c r="J42">
        <v>0</v>
      </c>
      <c r="K42">
        <f t="shared" si="0"/>
        <v>-1.8795748228292643E-2</v>
      </c>
      <c r="L42">
        <f t="shared" si="1"/>
        <v>-1.8795748228292644</v>
      </c>
      <c r="M42">
        <v>-0.45</v>
      </c>
    </row>
    <row r="43" spans="1:13" x14ac:dyDescent="0.2">
      <c r="A43" s="1">
        <v>43950</v>
      </c>
      <c r="B43">
        <v>151.38000500000001</v>
      </c>
      <c r="C43">
        <v>151.63000500000001</v>
      </c>
      <c r="D43">
        <v>149.16000399999999</v>
      </c>
      <c r="E43">
        <v>150.240005</v>
      </c>
      <c r="F43">
        <v>146.28417999999999</v>
      </c>
      <c r="G43">
        <v>9285200</v>
      </c>
      <c r="I43">
        <f t="shared" si="2"/>
        <v>-7.596271197709158E-3</v>
      </c>
      <c r="J43">
        <v>0</v>
      </c>
      <c r="K43">
        <f t="shared" si="0"/>
        <v>-7.596271197709158E-3</v>
      </c>
      <c r="L43">
        <f t="shared" si="1"/>
        <v>-0.75962711977091579</v>
      </c>
      <c r="M43">
        <v>2.92</v>
      </c>
    </row>
    <row r="44" spans="1:13" x14ac:dyDescent="0.2">
      <c r="A44" s="1">
        <v>43951</v>
      </c>
      <c r="B44">
        <v>148.46000699999999</v>
      </c>
      <c r="C44">
        <v>150.429993</v>
      </c>
      <c r="D44">
        <v>147.16000399999999</v>
      </c>
      <c r="E44">
        <v>150.03999300000001</v>
      </c>
      <c r="F44">
        <v>146.08943199999999</v>
      </c>
      <c r="G44">
        <v>14829600</v>
      </c>
      <c r="I44">
        <f t="shared" si="2"/>
        <v>-1.3312991192896194E-3</v>
      </c>
      <c r="J44">
        <v>0</v>
      </c>
      <c r="K44">
        <f t="shared" si="0"/>
        <v>-1.3312991192896194E-3</v>
      </c>
      <c r="L44">
        <f t="shared" si="1"/>
        <v>-0.13312991192896195</v>
      </c>
      <c r="M44">
        <v>-1.18</v>
      </c>
    </row>
    <row r="45" spans="1:13" x14ac:dyDescent="0.2">
      <c r="A45" s="1">
        <v>43952</v>
      </c>
      <c r="B45">
        <v>149.61999499999999</v>
      </c>
      <c r="C45">
        <v>149.66999799999999</v>
      </c>
      <c r="D45">
        <v>146.78999300000001</v>
      </c>
      <c r="E45">
        <v>148.28999300000001</v>
      </c>
      <c r="F45">
        <v>144.38552899999999</v>
      </c>
      <c r="G45">
        <v>7309000</v>
      </c>
      <c r="I45">
        <f t="shared" si="2"/>
        <v>-1.1663424086692301E-2</v>
      </c>
      <c r="J45">
        <v>0</v>
      </c>
      <c r="K45">
        <f t="shared" si="0"/>
        <v>-1.1663424086692301E-2</v>
      </c>
      <c r="L45">
        <f t="shared" si="1"/>
        <v>-1.1663424086692302</v>
      </c>
      <c r="M45">
        <v>-2.91</v>
      </c>
    </row>
    <row r="46" spans="1:13" x14ac:dyDescent="0.2">
      <c r="A46" s="1">
        <v>43955</v>
      </c>
      <c r="B46">
        <v>148.770004</v>
      </c>
      <c r="C46">
        <v>149.08000200000001</v>
      </c>
      <c r="D46">
        <v>147.08999600000001</v>
      </c>
      <c r="E46">
        <v>148.270004</v>
      </c>
      <c r="F46">
        <v>144.36605800000001</v>
      </c>
      <c r="G46">
        <v>7198400</v>
      </c>
      <c r="I46">
        <f t="shared" si="2"/>
        <v>-1.3485423459564004E-4</v>
      </c>
      <c r="J46">
        <v>0</v>
      </c>
      <c r="K46">
        <f t="shared" si="0"/>
        <v>-1.3485423459564004E-4</v>
      </c>
      <c r="L46">
        <f t="shared" si="1"/>
        <v>-1.3485423459564005E-2</v>
      </c>
      <c r="M46">
        <v>0.53</v>
      </c>
    </row>
    <row r="47" spans="1:13" x14ac:dyDescent="0.2">
      <c r="A47" s="1">
        <v>43956</v>
      </c>
      <c r="B47">
        <v>149</v>
      </c>
      <c r="C47">
        <v>150.779999</v>
      </c>
      <c r="D47">
        <v>148.63999899999999</v>
      </c>
      <c r="E47">
        <v>149.5</v>
      </c>
      <c r="F47">
        <v>145.56366</v>
      </c>
      <c r="G47">
        <v>6562300</v>
      </c>
      <c r="I47">
        <f t="shared" si="2"/>
        <v>8.2955925831263537E-3</v>
      </c>
      <c r="J47">
        <v>0</v>
      </c>
      <c r="K47">
        <f t="shared" si="0"/>
        <v>8.2955925831263537E-3</v>
      </c>
      <c r="L47">
        <f t="shared" si="1"/>
        <v>0.82955925831263533</v>
      </c>
      <c r="M47">
        <v>0.95</v>
      </c>
    </row>
    <row r="48" spans="1:13" x14ac:dyDescent="0.2">
      <c r="A48" s="1">
        <v>43957</v>
      </c>
      <c r="B48">
        <v>150</v>
      </c>
      <c r="C48">
        <v>150.320007</v>
      </c>
      <c r="D48">
        <v>148.03999300000001</v>
      </c>
      <c r="E48">
        <v>148.08000200000001</v>
      </c>
      <c r="F48">
        <v>144.18104600000001</v>
      </c>
      <c r="G48">
        <v>6191600</v>
      </c>
      <c r="I48">
        <f t="shared" si="2"/>
        <v>-9.4983459470584179E-3</v>
      </c>
      <c r="J48">
        <v>0</v>
      </c>
      <c r="K48">
        <f t="shared" si="0"/>
        <v>-9.4983459470584179E-3</v>
      </c>
      <c r="L48">
        <f t="shared" si="1"/>
        <v>-0.94983459470584175</v>
      </c>
      <c r="M48">
        <v>-0.52</v>
      </c>
    </row>
    <row r="49" spans="1:13" x14ac:dyDescent="0.2">
      <c r="A49" s="1">
        <v>43958</v>
      </c>
      <c r="B49">
        <v>149.36999499999999</v>
      </c>
      <c r="C49">
        <v>149.529999</v>
      </c>
      <c r="D49">
        <v>147.13000500000001</v>
      </c>
      <c r="E49">
        <v>147.58999600000001</v>
      </c>
      <c r="F49">
        <v>143.70394899999999</v>
      </c>
      <c r="G49">
        <v>5570500</v>
      </c>
      <c r="I49">
        <f t="shared" si="2"/>
        <v>-3.3090133081709974E-3</v>
      </c>
      <c r="J49">
        <v>0</v>
      </c>
      <c r="K49">
        <f t="shared" si="0"/>
        <v>-3.3090133081709974E-3</v>
      </c>
      <c r="L49">
        <f t="shared" si="1"/>
        <v>-0.33090133081709971</v>
      </c>
      <c r="M49">
        <v>1.33</v>
      </c>
    </row>
    <row r="50" spans="1:13" x14ac:dyDescent="0.2">
      <c r="A50" s="1">
        <v>43959</v>
      </c>
      <c r="B50">
        <v>148.91999799999999</v>
      </c>
      <c r="C50">
        <v>149.179993</v>
      </c>
      <c r="D50">
        <v>147.88999899999999</v>
      </c>
      <c r="E50">
        <v>148.699997</v>
      </c>
      <c r="F50">
        <v>144.784729</v>
      </c>
      <c r="G50">
        <v>4712100</v>
      </c>
      <c r="I50">
        <f t="shared" si="2"/>
        <v>7.5208789147471816E-3</v>
      </c>
      <c r="J50">
        <v>0</v>
      </c>
      <c r="K50">
        <f t="shared" si="0"/>
        <v>7.5208789147471816E-3</v>
      </c>
      <c r="L50">
        <f t="shared" si="1"/>
        <v>0.75208789147471811</v>
      </c>
      <c r="M50">
        <v>1.9</v>
      </c>
    </row>
    <row r="51" spans="1:13" x14ac:dyDescent="0.2">
      <c r="A51" s="1">
        <v>43962</v>
      </c>
      <c r="B51">
        <v>148.449997</v>
      </c>
      <c r="C51">
        <v>150.10000600000001</v>
      </c>
      <c r="D51">
        <v>148.11999499999999</v>
      </c>
      <c r="E51">
        <v>149.11000100000001</v>
      </c>
      <c r="F51">
        <v>145.18392900000001</v>
      </c>
      <c r="G51">
        <v>5887500</v>
      </c>
      <c r="I51">
        <f t="shared" si="2"/>
        <v>2.7571968587930813E-3</v>
      </c>
      <c r="J51">
        <v>0</v>
      </c>
      <c r="K51">
        <f t="shared" si="0"/>
        <v>2.7571968587930813E-3</v>
      </c>
      <c r="L51">
        <f t="shared" si="1"/>
        <v>0.27571968587930812</v>
      </c>
      <c r="M51">
        <v>7.0000000000000007E-2</v>
      </c>
    </row>
    <row r="52" spans="1:13" x14ac:dyDescent="0.2">
      <c r="A52" s="1">
        <v>43963</v>
      </c>
      <c r="B52">
        <v>150.10000600000001</v>
      </c>
      <c r="C52">
        <v>150.33999600000001</v>
      </c>
      <c r="D52">
        <v>147.029999</v>
      </c>
      <c r="E52">
        <v>147.13999899999999</v>
      </c>
      <c r="F52">
        <v>143.265793</v>
      </c>
      <c r="G52">
        <v>7039200</v>
      </c>
      <c r="I52">
        <f t="shared" si="2"/>
        <v>-1.3211765332511451E-2</v>
      </c>
      <c r="J52">
        <v>0</v>
      </c>
      <c r="K52">
        <f t="shared" si="0"/>
        <v>-1.3211765332511451E-2</v>
      </c>
      <c r="L52">
        <f t="shared" si="1"/>
        <v>-1.3211765332511451</v>
      </c>
      <c r="M52">
        <v>-2.06</v>
      </c>
    </row>
    <row r="53" spans="1:13" x14ac:dyDescent="0.2">
      <c r="A53" s="1">
        <v>43964</v>
      </c>
      <c r="B53">
        <v>146.08000200000001</v>
      </c>
      <c r="C53">
        <v>148.949997</v>
      </c>
      <c r="D53">
        <v>146.009995</v>
      </c>
      <c r="E53">
        <v>147.13000500000001</v>
      </c>
      <c r="F53">
        <v>143.256058</v>
      </c>
      <c r="G53">
        <v>6970500</v>
      </c>
      <c r="I53">
        <f t="shared" si="2"/>
        <v>-6.7950623775252938E-5</v>
      </c>
      <c r="J53">
        <v>0</v>
      </c>
      <c r="K53">
        <f t="shared" si="0"/>
        <v>-6.7950623775252938E-5</v>
      </c>
      <c r="L53">
        <f t="shared" si="1"/>
        <v>-6.7950623775252942E-3</v>
      </c>
      <c r="M53">
        <v>-1.89</v>
      </c>
    </row>
    <row r="54" spans="1:13" x14ac:dyDescent="0.2">
      <c r="A54" s="1">
        <v>43965</v>
      </c>
      <c r="B54">
        <v>145.38999899999999</v>
      </c>
      <c r="C54">
        <v>147.759995</v>
      </c>
      <c r="D54">
        <v>144.259995</v>
      </c>
      <c r="E54">
        <v>147.63999899999999</v>
      </c>
      <c r="F54">
        <v>143.75262499999999</v>
      </c>
      <c r="G54">
        <v>6871400</v>
      </c>
      <c r="I54">
        <f t="shared" si="2"/>
        <v>3.466289711810993E-3</v>
      </c>
      <c r="J54">
        <v>0</v>
      </c>
      <c r="K54">
        <f t="shared" si="0"/>
        <v>3.466289711810993E-3</v>
      </c>
      <c r="L54">
        <f t="shared" si="1"/>
        <v>0.34662897118109931</v>
      </c>
      <c r="M54">
        <v>1.1399999999999999</v>
      </c>
    </row>
    <row r="55" spans="1:13" x14ac:dyDescent="0.2">
      <c r="A55" s="1">
        <v>43966</v>
      </c>
      <c r="B55">
        <v>147.86999499999999</v>
      </c>
      <c r="C55">
        <v>150.479996</v>
      </c>
      <c r="D55">
        <v>145.66000399999999</v>
      </c>
      <c r="E55">
        <v>150.44000199999999</v>
      </c>
      <c r="F55">
        <v>146.47891200000001</v>
      </c>
      <c r="G55">
        <v>10340400</v>
      </c>
      <c r="I55">
        <f t="shared" si="2"/>
        <v>1.8965128462871642E-2</v>
      </c>
      <c r="J55">
        <v>0</v>
      </c>
      <c r="K55">
        <f t="shared" si="0"/>
        <v>1.8965128462871642E-2</v>
      </c>
      <c r="L55">
        <f t="shared" si="1"/>
        <v>1.8965128462871641</v>
      </c>
      <c r="M55">
        <v>0.56999999999999995</v>
      </c>
    </row>
    <row r="56" spans="1:13" x14ac:dyDescent="0.2">
      <c r="A56" s="1">
        <v>43969</v>
      </c>
      <c r="B56">
        <v>152.490005</v>
      </c>
      <c r="C56">
        <v>153.61999499999999</v>
      </c>
      <c r="D56">
        <v>150.46000699999999</v>
      </c>
      <c r="E56">
        <v>150.520004</v>
      </c>
      <c r="F56">
        <v>146.55680799999999</v>
      </c>
      <c r="G56">
        <v>7390000</v>
      </c>
      <c r="I56">
        <f t="shared" si="2"/>
        <v>5.317898592800943E-4</v>
      </c>
      <c r="J56">
        <v>0</v>
      </c>
      <c r="K56">
        <f t="shared" si="0"/>
        <v>5.317898592800943E-4</v>
      </c>
      <c r="L56">
        <f t="shared" si="1"/>
        <v>5.3178985928009431E-2</v>
      </c>
      <c r="M56">
        <v>3.24</v>
      </c>
    </row>
    <row r="57" spans="1:13" x14ac:dyDescent="0.2">
      <c r="A57" s="1">
        <v>43970</v>
      </c>
      <c r="B57">
        <v>150.10000600000001</v>
      </c>
      <c r="C57">
        <v>151.10000600000001</v>
      </c>
      <c r="D57">
        <v>148.39999399999999</v>
      </c>
      <c r="E57">
        <v>149.020004</v>
      </c>
      <c r="F57">
        <v>145.096283</v>
      </c>
      <c r="G57">
        <v>6107300</v>
      </c>
      <c r="I57">
        <f t="shared" si="2"/>
        <v>-9.965589588987158E-3</v>
      </c>
      <c r="J57">
        <v>0</v>
      </c>
      <c r="K57">
        <f t="shared" si="0"/>
        <v>-9.965589588987158E-3</v>
      </c>
      <c r="L57">
        <f t="shared" si="1"/>
        <v>-0.99655895889871582</v>
      </c>
      <c r="M57">
        <v>-1.01</v>
      </c>
    </row>
    <row r="58" spans="1:13" x14ac:dyDescent="0.2">
      <c r="A58" s="1">
        <v>43971</v>
      </c>
      <c r="B58">
        <v>149.75</v>
      </c>
      <c r="C58">
        <v>150.38999899999999</v>
      </c>
      <c r="D58">
        <v>147.270004</v>
      </c>
      <c r="E58">
        <v>147.679993</v>
      </c>
      <c r="F58">
        <v>143.79156499999999</v>
      </c>
      <c r="G58">
        <v>5713400</v>
      </c>
      <c r="I58">
        <f t="shared" si="2"/>
        <v>-8.992084242433751E-3</v>
      </c>
      <c r="J58">
        <v>0</v>
      </c>
      <c r="K58">
        <f t="shared" si="0"/>
        <v>-8.992084242433751E-3</v>
      </c>
      <c r="L58">
        <f t="shared" si="1"/>
        <v>-0.8992084242433751</v>
      </c>
      <c r="M58">
        <v>1.8</v>
      </c>
    </row>
    <row r="59" spans="1:13" x14ac:dyDescent="0.2">
      <c r="A59" s="1">
        <v>43972</v>
      </c>
      <c r="B59">
        <v>148.5</v>
      </c>
      <c r="C59">
        <v>148.5</v>
      </c>
      <c r="D59">
        <v>145.820007</v>
      </c>
      <c r="E59">
        <v>146.71000699999999</v>
      </c>
      <c r="F59">
        <v>142.847137</v>
      </c>
      <c r="G59">
        <v>6487300</v>
      </c>
      <c r="I59">
        <f t="shared" si="2"/>
        <v>-6.5680347800650745E-3</v>
      </c>
      <c r="J59">
        <v>0</v>
      </c>
      <c r="K59">
        <f t="shared" si="0"/>
        <v>-6.5680347800650745E-3</v>
      </c>
      <c r="L59">
        <f t="shared" si="1"/>
        <v>-0.6568034780065074</v>
      </c>
      <c r="M59">
        <v>-0.7</v>
      </c>
    </row>
    <row r="60" spans="1:13" x14ac:dyDescent="0.2">
      <c r="A60" s="1">
        <v>43973</v>
      </c>
      <c r="B60">
        <v>144.570007</v>
      </c>
      <c r="C60">
        <v>146.28999300000001</v>
      </c>
      <c r="D60">
        <v>144.05999800000001</v>
      </c>
      <c r="E60">
        <v>144.36999499999999</v>
      </c>
      <c r="F60">
        <v>141.54315199999999</v>
      </c>
      <c r="G60">
        <v>6140900</v>
      </c>
      <c r="I60">
        <f t="shared" si="2"/>
        <v>-9.1285343716760066E-3</v>
      </c>
      <c r="J60">
        <v>0</v>
      </c>
      <c r="K60">
        <f t="shared" si="0"/>
        <v>-9.1285343716760066E-3</v>
      </c>
      <c r="L60">
        <f t="shared" si="1"/>
        <v>-0.9128534371676007</v>
      </c>
      <c r="M60">
        <v>0.27</v>
      </c>
    </row>
    <row r="61" spans="1:13" x14ac:dyDescent="0.2">
      <c r="A61" s="1">
        <v>43977</v>
      </c>
      <c r="B61">
        <v>146.19000199999999</v>
      </c>
      <c r="C61">
        <v>146.44000199999999</v>
      </c>
      <c r="D61">
        <v>144.300003</v>
      </c>
      <c r="E61">
        <v>144.55999800000001</v>
      </c>
      <c r="F61">
        <v>141.72943100000001</v>
      </c>
      <c r="G61">
        <v>7072300</v>
      </c>
      <c r="I61">
        <f t="shared" si="2"/>
        <v>1.316058017416577E-3</v>
      </c>
      <c r="J61">
        <v>0</v>
      </c>
      <c r="K61">
        <f t="shared" si="0"/>
        <v>1.316058017416577E-3</v>
      </c>
      <c r="L61">
        <f t="shared" si="1"/>
        <v>0.1316058017416577</v>
      </c>
      <c r="M61">
        <v>1.23</v>
      </c>
    </row>
    <row r="62" spans="1:13" x14ac:dyDescent="0.2">
      <c r="A62" s="1">
        <v>43978</v>
      </c>
      <c r="B62">
        <v>144.320007</v>
      </c>
      <c r="C62">
        <v>145.25</v>
      </c>
      <c r="D62">
        <v>143.009995</v>
      </c>
      <c r="E62">
        <v>144.88999899999999</v>
      </c>
      <c r="F62">
        <v>142.05297899999999</v>
      </c>
      <c r="G62">
        <v>7950000</v>
      </c>
      <c r="I62">
        <f t="shared" si="2"/>
        <v>2.2828568330313E-3</v>
      </c>
      <c r="J62">
        <v>0</v>
      </c>
      <c r="K62">
        <f t="shared" si="0"/>
        <v>2.2828568330313E-3</v>
      </c>
      <c r="L62">
        <f t="shared" si="1"/>
        <v>0.22828568330312998</v>
      </c>
      <c r="M62">
        <v>1.54</v>
      </c>
    </row>
    <row r="63" spans="1:13" x14ac:dyDescent="0.2">
      <c r="A63" s="1">
        <v>43979</v>
      </c>
      <c r="B63">
        <v>146.020004</v>
      </c>
      <c r="C63">
        <v>148.11000100000001</v>
      </c>
      <c r="D63">
        <v>145.80999800000001</v>
      </c>
      <c r="E63">
        <v>146.970001</v>
      </c>
      <c r="F63">
        <v>144.09223900000001</v>
      </c>
      <c r="G63">
        <v>6189600</v>
      </c>
      <c r="I63">
        <f t="shared" si="2"/>
        <v>1.4355629951273412E-2</v>
      </c>
      <c r="J63">
        <v>0</v>
      </c>
      <c r="K63">
        <f t="shared" si="0"/>
        <v>1.4355629951273412E-2</v>
      </c>
      <c r="L63">
        <f t="shared" si="1"/>
        <v>1.4355629951273412</v>
      </c>
      <c r="M63">
        <v>-0.41</v>
      </c>
    </row>
    <row r="64" spans="1:13" x14ac:dyDescent="0.2">
      <c r="A64" s="1">
        <v>43980</v>
      </c>
      <c r="B64">
        <v>147.96000699999999</v>
      </c>
      <c r="C64">
        <v>149.35000600000001</v>
      </c>
      <c r="D64">
        <v>145.33000200000001</v>
      </c>
      <c r="E64">
        <v>148.75</v>
      </c>
      <c r="F64">
        <v>145.837402</v>
      </c>
      <c r="G64">
        <v>8505200</v>
      </c>
      <c r="I64">
        <f t="shared" si="2"/>
        <v>1.2111429540629116E-2</v>
      </c>
      <c r="J64">
        <v>0</v>
      </c>
      <c r="K64">
        <f t="shared" si="0"/>
        <v>1.2111429540629116E-2</v>
      </c>
      <c r="L64">
        <f t="shared" si="1"/>
        <v>1.2111429540629115</v>
      </c>
      <c r="M64">
        <v>0.6</v>
      </c>
    </row>
    <row r="65" spans="1:13" x14ac:dyDescent="0.2">
      <c r="A65" s="1">
        <v>43983</v>
      </c>
      <c r="B65">
        <v>147.28999300000001</v>
      </c>
      <c r="C65">
        <v>148.33999600000001</v>
      </c>
      <c r="D65">
        <v>146.009995</v>
      </c>
      <c r="E65">
        <v>147.19000199999999</v>
      </c>
      <c r="F65">
        <v>144.30793800000001</v>
      </c>
      <c r="G65">
        <v>6141800</v>
      </c>
      <c r="I65">
        <f t="shared" si="2"/>
        <v>-1.0487460548700601E-2</v>
      </c>
      <c r="J65">
        <v>0</v>
      </c>
      <c r="K65">
        <f t="shared" si="0"/>
        <v>-1.0487460548700601E-2</v>
      </c>
      <c r="L65">
        <f t="shared" si="1"/>
        <v>-1.04874605487006</v>
      </c>
      <c r="M65">
        <v>0.52</v>
      </c>
    </row>
    <row r="66" spans="1:13" x14ac:dyDescent="0.2">
      <c r="A66" s="1">
        <v>43984</v>
      </c>
      <c r="B66">
        <v>147.05999800000001</v>
      </c>
      <c r="C66">
        <v>148.35000600000001</v>
      </c>
      <c r="D66">
        <v>146.11999499999999</v>
      </c>
      <c r="E66">
        <v>148.25</v>
      </c>
      <c r="F66">
        <v>145.34719799999999</v>
      </c>
      <c r="G66">
        <v>6078300</v>
      </c>
      <c r="I66">
        <f t="shared" si="2"/>
        <v>7.2016828346614199E-3</v>
      </c>
      <c r="J66">
        <v>0</v>
      </c>
      <c r="K66">
        <f t="shared" si="0"/>
        <v>7.2016828346614199E-3</v>
      </c>
      <c r="L66">
        <f t="shared" si="1"/>
        <v>0.72016828346614203</v>
      </c>
      <c r="M66">
        <v>0.81</v>
      </c>
    </row>
    <row r="67" spans="1:13" x14ac:dyDescent="0.2">
      <c r="A67" s="1">
        <v>43985</v>
      </c>
      <c r="B67">
        <v>148.520004</v>
      </c>
      <c r="C67">
        <v>149.13999899999999</v>
      </c>
      <c r="D67">
        <v>146.449997</v>
      </c>
      <c r="E67">
        <v>148.64999399999999</v>
      </c>
      <c r="F67">
        <v>145.739349</v>
      </c>
      <c r="G67">
        <v>6339500</v>
      </c>
      <c r="I67">
        <f t="shared" si="2"/>
        <v>2.6980293077270923E-3</v>
      </c>
      <c r="J67">
        <v>0</v>
      </c>
      <c r="K67">
        <f t="shared" si="0"/>
        <v>2.6980293077270923E-3</v>
      </c>
      <c r="L67">
        <f t="shared" si="1"/>
        <v>0.26980293077270923</v>
      </c>
      <c r="M67">
        <v>1.42</v>
      </c>
    </row>
    <row r="68" spans="1:13" x14ac:dyDescent="0.2">
      <c r="A68" s="1">
        <v>43986</v>
      </c>
      <c r="B68">
        <v>146.800003</v>
      </c>
      <c r="C68">
        <v>148.36999499999999</v>
      </c>
      <c r="D68">
        <v>145.58000200000001</v>
      </c>
      <c r="E68">
        <v>146.729996</v>
      </c>
      <c r="F68">
        <v>143.85694899999999</v>
      </c>
      <c r="G68">
        <v>8170500</v>
      </c>
      <c r="I68">
        <f t="shared" si="2"/>
        <v>-1.2916209746483897E-2</v>
      </c>
      <c r="J68">
        <v>0</v>
      </c>
      <c r="K68">
        <f t="shared" ref="K68:K131" si="3">I68-J68</f>
        <v>-1.2916209746483897E-2</v>
      </c>
      <c r="L68">
        <f t="shared" ref="L68:L131" si="4">100*K68</f>
        <v>-1.2916209746483898</v>
      </c>
      <c r="M68">
        <v>-0.34</v>
      </c>
    </row>
    <row r="69" spans="1:13" x14ac:dyDescent="0.2">
      <c r="A69" s="1">
        <v>43987</v>
      </c>
      <c r="B69">
        <v>147.69000199999999</v>
      </c>
      <c r="C69">
        <v>149.63999899999999</v>
      </c>
      <c r="D69">
        <v>146.60000600000001</v>
      </c>
      <c r="E69">
        <v>147.300003</v>
      </c>
      <c r="F69">
        <v>144.41578699999999</v>
      </c>
      <c r="G69">
        <v>9725400</v>
      </c>
      <c r="I69">
        <f t="shared" ref="I69:I132" si="5">(F69-F68)/F68</f>
        <v>3.8846785218558241E-3</v>
      </c>
      <c r="J69">
        <v>0</v>
      </c>
      <c r="K69">
        <f t="shared" si="3"/>
        <v>3.8846785218558241E-3</v>
      </c>
      <c r="L69">
        <f t="shared" si="4"/>
        <v>0.38846785218558239</v>
      </c>
      <c r="M69">
        <v>2.5</v>
      </c>
    </row>
    <row r="70" spans="1:13" x14ac:dyDescent="0.2">
      <c r="A70" s="1">
        <v>43990</v>
      </c>
      <c r="B70">
        <v>145.88000500000001</v>
      </c>
      <c r="C70">
        <v>147.61000100000001</v>
      </c>
      <c r="D70">
        <v>145.740005</v>
      </c>
      <c r="E70">
        <v>146.770004</v>
      </c>
      <c r="F70">
        <v>143.89617899999999</v>
      </c>
      <c r="G70">
        <v>7555600</v>
      </c>
      <c r="I70">
        <f t="shared" si="5"/>
        <v>-3.5979999887408793E-3</v>
      </c>
      <c r="J70">
        <v>0</v>
      </c>
      <c r="K70">
        <f t="shared" si="3"/>
        <v>-3.5979999887408793E-3</v>
      </c>
      <c r="L70">
        <f t="shared" si="4"/>
        <v>-0.35979999887408792</v>
      </c>
      <c r="M70">
        <v>1.39</v>
      </c>
    </row>
    <row r="71" spans="1:13" x14ac:dyDescent="0.2">
      <c r="A71" s="1">
        <v>43991</v>
      </c>
      <c r="B71">
        <v>148.25</v>
      </c>
      <c r="C71">
        <v>149.33000200000001</v>
      </c>
      <c r="D71">
        <v>145.64999399999999</v>
      </c>
      <c r="E71">
        <v>145.96000699999999</v>
      </c>
      <c r="F71">
        <v>143.102036</v>
      </c>
      <c r="G71">
        <v>8247200</v>
      </c>
      <c r="I71">
        <f t="shared" si="5"/>
        <v>-5.5188609281973441E-3</v>
      </c>
      <c r="J71">
        <v>0</v>
      </c>
      <c r="K71">
        <f t="shared" si="3"/>
        <v>-5.5188609281973441E-3</v>
      </c>
      <c r="L71">
        <f t="shared" si="4"/>
        <v>-0.55188609281973444</v>
      </c>
      <c r="M71">
        <v>-0.85</v>
      </c>
    </row>
    <row r="72" spans="1:13" x14ac:dyDescent="0.2">
      <c r="A72" s="1">
        <v>43992</v>
      </c>
      <c r="B72">
        <v>146.60000600000001</v>
      </c>
      <c r="C72">
        <v>150.029999</v>
      </c>
      <c r="D72">
        <v>146.60000600000001</v>
      </c>
      <c r="E72">
        <v>147.800003</v>
      </c>
      <c r="F72">
        <v>144.90600599999999</v>
      </c>
      <c r="G72">
        <v>10137100</v>
      </c>
      <c r="I72">
        <f t="shared" si="5"/>
        <v>1.2606179831012275E-2</v>
      </c>
      <c r="J72">
        <v>0</v>
      </c>
      <c r="K72">
        <f t="shared" si="3"/>
        <v>1.2606179831012275E-2</v>
      </c>
      <c r="L72">
        <f t="shared" si="4"/>
        <v>1.2606179831012274</v>
      </c>
      <c r="M72">
        <v>-0.56000000000000005</v>
      </c>
    </row>
    <row r="73" spans="1:13" x14ac:dyDescent="0.2">
      <c r="A73" s="1">
        <v>43993</v>
      </c>
      <c r="B73">
        <v>148.58000200000001</v>
      </c>
      <c r="C73">
        <v>149.16999799999999</v>
      </c>
      <c r="D73">
        <v>140.75</v>
      </c>
      <c r="E73">
        <v>140.86999499999999</v>
      </c>
      <c r="F73">
        <v>138.111694</v>
      </c>
      <c r="G73">
        <v>11913300</v>
      </c>
      <c r="I73">
        <f t="shared" si="5"/>
        <v>-4.6887718373798744E-2</v>
      </c>
      <c r="J73">
        <v>0</v>
      </c>
      <c r="K73">
        <f t="shared" si="3"/>
        <v>-4.6887718373798744E-2</v>
      </c>
      <c r="L73">
        <f t="shared" si="4"/>
        <v>-4.6887718373798748</v>
      </c>
      <c r="M73">
        <v>-5.91</v>
      </c>
    </row>
    <row r="74" spans="1:13" x14ac:dyDescent="0.2">
      <c r="A74" s="1">
        <v>43994</v>
      </c>
      <c r="B74">
        <v>142.83999600000001</v>
      </c>
      <c r="C74">
        <v>143.71000699999999</v>
      </c>
      <c r="D74">
        <v>140.279999</v>
      </c>
      <c r="E74">
        <v>142.14999399999999</v>
      </c>
      <c r="F74">
        <v>139.36663799999999</v>
      </c>
      <c r="G74">
        <v>8687400</v>
      </c>
      <c r="I74">
        <f t="shared" si="5"/>
        <v>9.0864427453912384E-3</v>
      </c>
      <c r="J74">
        <v>0</v>
      </c>
      <c r="K74">
        <f t="shared" si="3"/>
        <v>9.0864427453912384E-3</v>
      </c>
      <c r="L74">
        <f t="shared" si="4"/>
        <v>0.90864427453912389</v>
      </c>
      <c r="M74">
        <v>1.29</v>
      </c>
    </row>
    <row r="75" spans="1:13" x14ac:dyDescent="0.2">
      <c r="A75" s="1">
        <v>43997</v>
      </c>
      <c r="B75">
        <v>141</v>
      </c>
      <c r="C75">
        <v>142.39999399999999</v>
      </c>
      <c r="D75">
        <v>139.38999899999999</v>
      </c>
      <c r="E75">
        <v>141.25</v>
      </c>
      <c r="F75">
        <v>138.484253</v>
      </c>
      <c r="G75">
        <v>8649600</v>
      </c>
      <c r="I75">
        <f t="shared" si="5"/>
        <v>-6.3313933138001025E-3</v>
      </c>
      <c r="J75">
        <v>0</v>
      </c>
      <c r="K75">
        <f t="shared" si="3"/>
        <v>-6.3313933138001025E-3</v>
      </c>
      <c r="L75">
        <f t="shared" si="4"/>
        <v>-0.63313933138001022</v>
      </c>
      <c r="M75">
        <v>1.0900000000000001</v>
      </c>
    </row>
    <row r="76" spans="1:13" x14ac:dyDescent="0.2">
      <c r="A76" s="1">
        <v>43998</v>
      </c>
      <c r="B76">
        <v>144.08999600000001</v>
      </c>
      <c r="C76">
        <v>145.41999799999999</v>
      </c>
      <c r="D76">
        <v>142.770004</v>
      </c>
      <c r="E76">
        <v>144.46000699999999</v>
      </c>
      <c r="F76">
        <v>141.63140899999999</v>
      </c>
      <c r="G76">
        <v>7579100</v>
      </c>
      <c r="I76">
        <f t="shared" si="5"/>
        <v>2.2725731856314345E-2</v>
      </c>
      <c r="J76">
        <v>0</v>
      </c>
      <c r="K76">
        <f t="shared" si="3"/>
        <v>2.2725731856314345E-2</v>
      </c>
      <c r="L76">
        <f t="shared" si="4"/>
        <v>2.2725731856314346</v>
      </c>
      <c r="M76">
        <v>1.86</v>
      </c>
    </row>
    <row r="77" spans="1:13" x14ac:dyDescent="0.2">
      <c r="A77" s="1">
        <v>43999</v>
      </c>
      <c r="B77">
        <v>144.89999399999999</v>
      </c>
      <c r="C77">
        <v>145.41999799999999</v>
      </c>
      <c r="D77">
        <v>143.470001</v>
      </c>
      <c r="E77">
        <v>144.020004</v>
      </c>
      <c r="F77">
        <v>141.20001199999999</v>
      </c>
      <c r="G77">
        <v>5100100</v>
      </c>
      <c r="I77">
        <f t="shared" si="5"/>
        <v>-3.0459133538663311E-3</v>
      </c>
      <c r="J77">
        <v>0</v>
      </c>
      <c r="K77">
        <f t="shared" si="3"/>
        <v>-3.0459133538663311E-3</v>
      </c>
      <c r="L77">
        <f t="shared" si="4"/>
        <v>-0.30459133538663313</v>
      </c>
      <c r="M77">
        <v>-0.4</v>
      </c>
    </row>
    <row r="78" spans="1:13" x14ac:dyDescent="0.2">
      <c r="A78" s="1">
        <v>44000</v>
      </c>
      <c r="B78">
        <v>142.520004</v>
      </c>
      <c r="C78">
        <v>144.11999499999999</v>
      </c>
      <c r="D78">
        <v>141.86999499999999</v>
      </c>
      <c r="E78">
        <v>143.41000399999999</v>
      </c>
      <c r="F78">
        <v>140.60197400000001</v>
      </c>
      <c r="G78">
        <v>4797400</v>
      </c>
      <c r="I78">
        <f t="shared" si="5"/>
        <v>-4.2353962406177E-3</v>
      </c>
      <c r="J78">
        <v>0</v>
      </c>
      <c r="K78">
        <f t="shared" si="3"/>
        <v>-4.2353962406177E-3</v>
      </c>
      <c r="L78">
        <f t="shared" si="4"/>
        <v>-0.42353962406176998</v>
      </c>
      <c r="M78">
        <v>0.19</v>
      </c>
    </row>
    <row r="79" spans="1:13" x14ac:dyDescent="0.2">
      <c r="A79" s="1">
        <v>44001</v>
      </c>
      <c r="B79">
        <v>145.78999300000001</v>
      </c>
      <c r="C79">
        <v>145.88000500000001</v>
      </c>
      <c r="D79">
        <v>143.25</v>
      </c>
      <c r="E79">
        <v>143.83000200000001</v>
      </c>
      <c r="F79">
        <v>141.01374799999999</v>
      </c>
      <c r="G79">
        <v>12206900</v>
      </c>
      <c r="I79">
        <f t="shared" si="5"/>
        <v>2.9286502051527373E-3</v>
      </c>
      <c r="J79">
        <v>0</v>
      </c>
      <c r="K79">
        <f t="shared" si="3"/>
        <v>2.9286502051527373E-3</v>
      </c>
      <c r="L79">
        <f t="shared" si="4"/>
        <v>0.29286502051527374</v>
      </c>
      <c r="M79">
        <v>-0.45</v>
      </c>
    </row>
    <row r="80" spans="1:13" x14ac:dyDescent="0.2">
      <c r="A80" s="1">
        <v>44004</v>
      </c>
      <c r="B80">
        <v>143.470001</v>
      </c>
      <c r="C80">
        <v>143.66000399999999</v>
      </c>
      <c r="D80">
        <v>142.029999</v>
      </c>
      <c r="E80">
        <v>143.38999899999999</v>
      </c>
      <c r="F80">
        <v>140.58235199999999</v>
      </c>
      <c r="G80">
        <v>5285600</v>
      </c>
      <c r="I80">
        <f t="shared" si="5"/>
        <v>-3.0592478117807817E-3</v>
      </c>
      <c r="J80">
        <v>0</v>
      </c>
      <c r="K80">
        <f t="shared" si="3"/>
        <v>-3.0592478117807817E-3</v>
      </c>
      <c r="L80">
        <f t="shared" si="4"/>
        <v>-0.30592478117807814</v>
      </c>
      <c r="M80">
        <v>0.71</v>
      </c>
    </row>
    <row r="81" spans="1:13" x14ac:dyDescent="0.2">
      <c r="A81" s="1">
        <v>44005</v>
      </c>
      <c r="B81">
        <v>143.740005</v>
      </c>
      <c r="C81">
        <v>144.08000200000001</v>
      </c>
      <c r="D81">
        <v>142.679993</v>
      </c>
      <c r="E81">
        <v>142.86000100000001</v>
      </c>
      <c r="F81">
        <v>140.06272899999999</v>
      </c>
      <c r="G81">
        <v>5921600</v>
      </c>
      <c r="I81">
        <f t="shared" si="5"/>
        <v>-3.6962178581277099E-3</v>
      </c>
      <c r="J81">
        <v>0</v>
      </c>
      <c r="K81">
        <f t="shared" si="3"/>
        <v>-3.6962178581277099E-3</v>
      </c>
      <c r="L81">
        <f t="shared" si="4"/>
        <v>-0.369621785812771</v>
      </c>
      <c r="M81">
        <v>0.42</v>
      </c>
    </row>
    <row r="82" spans="1:13" x14ac:dyDescent="0.2">
      <c r="A82" s="1">
        <v>44006</v>
      </c>
      <c r="B82">
        <v>141.490005</v>
      </c>
      <c r="C82">
        <v>142.19000199999999</v>
      </c>
      <c r="D82">
        <v>138.720001</v>
      </c>
      <c r="E82">
        <v>139.820007</v>
      </c>
      <c r="F82">
        <v>137.082245</v>
      </c>
      <c r="G82">
        <v>8211200</v>
      </c>
      <c r="I82">
        <f t="shared" si="5"/>
        <v>-2.1279636783315781E-2</v>
      </c>
      <c r="J82">
        <v>0</v>
      </c>
      <c r="K82">
        <f t="shared" si="3"/>
        <v>-2.1279636783315781E-2</v>
      </c>
      <c r="L82">
        <f t="shared" si="4"/>
        <v>-2.1279636783315783</v>
      </c>
      <c r="M82">
        <v>-2.61</v>
      </c>
    </row>
    <row r="83" spans="1:13" x14ac:dyDescent="0.2">
      <c r="A83" s="1">
        <v>44007</v>
      </c>
      <c r="B83">
        <v>140.570007</v>
      </c>
      <c r="C83">
        <v>140.570007</v>
      </c>
      <c r="D83">
        <v>137.53999300000001</v>
      </c>
      <c r="E83">
        <v>139.66999799999999</v>
      </c>
      <c r="F83">
        <v>136.935181</v>
      </c>
      <c r="G83">
        <v>7421200</v>
      </c>
      <c r="I83">
        <f t="shared" si="5"/>
        <v>-1.0728158121425593E-3</v>
      </c>
      <c r="J83">
        <v>0</v>
      </c>
      <c r="K83">
        <f t="shared" si="3"/>
        <v>-1.0728158121425593E-3</v>
      </c>
      <c r="L83">
        <f t="shared" si="4"/>
        <v>-0.10728158121425593</v>
      </c>
      <c r="M83">
        <v>1.1200000000000001</v>
      </c>
    </row>
    <row r="84" spans="1:13" x14ac:dyDescent="0.2">
      <c r="A84" s="1">
        <v>44008</v>
      </c>
      <c r="B84">
        <v>139.529999</v>
      </c>
      <c r="C84">
        <v>139.60000600000001</v>
      </c>
      <c r="D84">
        <v>137.020004</v>
      </c>
      <c r="E84">
        <v>137.80999800000001</v>
      </c>
      <c r="F84">
        <v>135.11161799999999</v>
      </c>
      <c r="G84">
        <v>12849700</v>
      </c>
      <c r="I84">
        <f t="shared" si="5"/>
        <v>-1.3316979513102678E-2</v>
      </c>
      <c r="J84">
        <v>0</v>
      </c>
      <c r="K84">
        <f t="shared" si="3"/>
        <v>-1.3316979513102678E-2</v>
      </c>
      <c r="L84">
        <f t="shared" si="4"/>
        <v>-1.3316979513102678</v>
      </c>
      <c r="M84">
        <v>-2.44</v>
      </c>
    </row>
    <row r="85" spans="1:13" x14ac:dyDescent="0.2">
      <c r="A85" s="1">
        <v>44011</v>
      </c>
      <c r="B85">
        <v>138.740005</v>
      </c>
      <c r="C85">
        <v>139.699997</v>
      </c>
      <c r="D85">
        <v>137.979996</v>
      </c>
      <c r="E85">
        <v>139.03999300000001</v>
      </c>
      <c r="F85">
        <v>136.31752</v>
      </c>
      <c r="G85">
        <v>5309800</v>
      </c>
      <c r="I85">
        <f t="shared" si="5"/>
        <v>8.925228028873201E-3</v>
      </c>
      <c r="J85">
        <v>0</v>
      </c>
      <c r="K85">
        <f t="shared" si="3"/>
        <v>8.925228028873201E-3</v>
      </c>
      <c r="L85">
        <f t="shared" si="4"/>
        <v>0.89252280288732011</v>
      </c>
      <c r="M85">
        <v>1.51</v>
      </c>
    </row>
    <row r="86" spans="1:13" x14ac:dyDescent="0.2">
      <c r="A86" s="1">
        <v>44012</v>
      </c>
      <c r="B86">
        <v>139.39999399999999</v>
      </c>
      <c r="C86">
        <v>141.020004</v>
      </c>
      <c r="D86">
        <v>137.83999600000001</v>
      </c>
      <c r="E86">
        <v>140.63000500000001</v>
      </c>
      <c r="F86">
        <v>137.87640400000001</v>
      </c>
      <c r="G86">
        <v>7738300</v>
      </c>
      <c r="I86">
        <f t="shared" si="5"/>
        <v>1.1435683395648676E-2</v>
      </c>
      <c r="J86">
        <v>0</v>
      </c>
      <c r="K86">
        <f t="shared" si="3"/>
        <v>1.1435683395648676E-2</v>
      </c>
      <c r="L86">
        <f t="shared" si="4"/>
        <v>1.1435683395648675</v>
      </c>
      <c r="M86">
        <v>1.58</v>
      </c>
    </row>
    <row r="87" spans="1:13" x14ac:dyDescent="0.2">
      <c r="A87" s="1">
        <v>44013</v>
      </c>
      <c r="B87">
        <v>140.69000199999999</v>
      </c>
      <c r="C87">
        <v>141.38999899999999</v>
      </c>
      <c r="D87">
        <v>140.05999800000001</v>
      </c>
      <c r="E87">
        <v>140.38000500000001</v>
      </c>
      <c r="F87">
        <v>137.63130200000001</v>
      </c>
      <c r="G87">
        <v>6174800</v>
      </c>
      <c r="I87">
        <f t="shared" si="5"/>
        <v>-1.7776935928790454E-3</v>
      </c>
      <c r="J87">
        <v>0</v>
      </c>
      <c r="K87">
        <f t="shared" si="3"/>
        <v>-1.7776935928790454E-3</v>
      </c>
      <c r="L87">
        <f t="shared" si="4"/>
        <v>-0.17776935928790455</v>
      </c>
      <c r="M87">
        <v>0.41</v>
      </c>
    </row>
    <row r="88" spans="1:13" x14ac:dyDescent="0.2">
      <c r="A88" s="1">
        <v>44014</v>
      </c>
      <c r="B88">
        <v>141.25</v>
      </c>
      <c r="C88">
        <v>141.83999600000001</v>
      </c>
      <c r="D88">
        <v>140.33000200000001</v>
      </c>
      <c r="E88">
        <v>140.970001</v>
      </c>
      <c r="F88">
        <v>138.209732</v>
      </c>
      <c r="G88">
        <v>5152200</v>
      </c>
      <c r="I88">
        <f t="shared" si="5"/>
        <v>4.2027503307350625E-3</v>
      </c>
      <c r="J88">
        <v>0</v>
      </c>
      <c r="K88">
        <f t="shared" si="3"/>
        <v>4.2027503307350625E-3</v>
      </c>
      <c r="L88">
        <f t="shared" si="4"/>
        <v>0.42027503307350622</v>
      </c>
      <c r="M88">
        <v>0.5</v>
      </c>
    </row>
    <row r="89" spans="1:13" x14ac:dyDescent="0.2">
      <c r="A89" s="1">
        <v>44018</v>
      </c>
      <c r="B89">
        <v>142.16999799999999</v>
      </c>
      <c r="C89">
        <v>143.770004</v>
      </c>
      <c r="D89">
        <v>141.88000500000001</v>
      </c>
      <c r="E89">
        <v>142.979996</v>
      </c>
      <c r="F89">
        <v>140.180374</v>
      </c>
      <c r="G89">
        <v>6156400</v>
      </c>
      <c r="I89">
        <f t="shared" si="5"/>
        <v>1.4258344701804341E-2</v>
      </c>
      <c r="J89">
        <v>0</v>
      </c>
      <c r="K89">
        <f t="shared" si="3"/>
        <v>1.4258344701804341E-2</v>
      </c>
      <c r="L89">
        <f t="shared" si="4"/>
        <v>1.4258344701804342</v>
      </c>
      <c r="M89">
        <v>1.65</v>
      </c>
    </row>
    <row r="90" spans="1:13" x14ac:dyDescent="0.2">
      <c r="A90" s="1">
        <v>44019</v>
      </c>
      <c r="B90">
        <v>141.38999899999999</v>
      </c>
      <c r="C90">
        <v>143.970001</v>
      </c>
      <c r="D90">
        <v>141.229996</v>
      </c>
      <c r="E90">
        <v>142.85000600000001</v>
      </c>
      <c r="F90">
        <v>140.05291700000001</v>
      </c>
      <c r="G90">
        <v>5622600</v>
      </c>
      <c r="I90">
        <f t="shared" si="5"/>
        <v>-9.0923569657470459E-4</v>
      </c>
      <c r="J90">
        <v>0</v>
      </c>
      <c r="K90">
        <f t="shared" si="3"/>
        <v>-9.0923569657470459E-4</v>
      </c>
      <c r="L90">
        <f t="shared" si="4"/>
        <v>-9.0923569657470463E-2</v>
      </c>
      <c r="M90">
        <v>-1.03</v>
      </c>
    </row>
    <row r="91" spans="1:13" x14ac:dyDescent="0.2">
      <c r="A91" s="1">
        <v>44020</v>
      </c>
      <c r="B91">
        <v>142.86999499999999</v>
      </c>
      <c r="C91">
        <v>143.38999899999999</v>
      </c>
      <c r="D91">
        <v>141.699997</v>
      </c>
      <c r="E91">
        <v>143.270004</v>
      </c>
      <c r="F91">
        <v>140.46470600000001</v>
      </c>
      <c r="G91">
        <v>6257400</v>
      </c>
      <c r="I91">
        <f t="shared" si="5"/>
        <v>2.9402386527943494E-3</v>
      </c>
      <c r="J91">
        <v>0</v>
      </c>
      <c r="K91">
        <f t="shared" si="3"/>
        <v>2.9402386527943494E-3</v>
      </c>
      <c r="L91">
        <f t="shared" si="4"/>
        <v>0.29402386527943492</v>
      </c>
      <c r="M91">
        <v>0.91</v>
      </c>
    </row>
    <row r="92" spans="1:13" x14ac:dyDescent="0.2">
      <c r="A92" s="1">
        <v>44021</v>
      </c>
      <c r="B92">
        <v>142.759995</v>
      </c>
      <c r="C92">
        <v>144.429993</v>
      </c>
      <c r="D92">
        <v>140.58000200000001</v>
      </c>
      <c r="E92">
        <v>142.490005</v>
      </c>
      <c r="F92">
        <v>139.69996599999999</v>
      </c>
      <c r="G92">
        <v>5738600</v>
      </c>
      <c r="I92">
        <f t="shared" si="5"/>
        <v>-5.4443569618122965E-3</v>
      </c>
      <c r="J92">
        <v>0</v>
      </c>
      <c r="K92">
        <f t="shared" si="3"/>
        <v>-5.4443569618122965E-3</v>
      </c>
      <c r="L92">
        <f t="shared" si="4"/>
        <v>-0.54443569618122967</v>
      </c>
      <c r="M92">
        <v>-0.53</v>
      </c>
    </row>
    <row r="93" spans="1:13" x14ac:dyDescent="0.2">
      <c r="A93" s="1">
        <v>44022</v>
      </c>
      <c r="B93">
        <v>142.75</v>
      </c>
      <c r="C93">
        <v>142.86999499999999</v>
      </c>
      <c r="D93">
        <v>141.429993</v>
      </c>
      <c r="E93">
        <v>142.36999499999999</v>
      </c>
      <c r="F93">
        <v>139.58232100000001</v>
      </c>
      <c r="G93">
        <v>4282400</v>
      </c>
      <c r="I93">
        <f t="shared" si="5"/>
        <v>-8.4212618920738891E-4</v>
      </c>
      <c r="J93">
        <v>0</v>
      </c>
      <c r="K93">
        <f t="shared" si="3"/>
        <v>-8.4212618920738891E-4</v>
      </c>
      <c r="L93">
        <f t="shared" si="4"/>
        <v>-8.4212618920738891E-2</v>
      </c>
      <c r="M93">
        <v>1.1100000000000001</v>
      </c>
    </row>
    <row r="94" spans="1:13" x14ac:dyDescent="0.2">
      <c r="A94" s="1">
        <v>44025</v>
      </c>
      <c r="B94">
        <v>143.61000100000001</v>
      </c>
      <c r="C94">
        <v>146.63999899999999</v>
      </c>
      <c r="D94">
        <v>143.279999</v>
      </c>
      <c r="E94">
        <v>145.21000699999999</v>
      </c>
      <c r="F94">
        <v>142.36672999999999</v>
      </c>
      <c r="G94">
        <v>6951900</v>
      </c>
      <c r="I94">
        <f t="shared" si="5"/>
        <v>1.9948149450817503E-2</v>
      </c>
      <c r="J94">
        <v>0</v>
      </c>
      <c r="K94">
        <f t="shared" si="3"/>
        <v>1.9948149450817503E-2</v>
      </c>
      <c r="L94">
        <f t="shared" si="4"/>
        <v>1.9948149450817503</v>
      </c>
      <c r="M94">
        <v>-1.2</v>
      </c>
    </row>
    <row r="95" spans="1:13" x14ac:dyDescent="0.2">
      <c r="A95" s="1">
        <v>44026</v>
      </c>
      <c r="B95">
        <v>145.320007</v>
      </c>
      <c r="C95">
        <v>148.38999899999999</v>
      </c>
      <c r="D95">
        <v>145.259995</v>
      </c>
      <c r="E95">
        <v>147.91999799999999</v>
      </c>
      <c r="F95">
        <v>145.023651</v>
      </c>
      <c r="G95">
        <v>7447100</v>
      </c>
      <c r="I95">
        <f t="shared" si="5"/>
        <v>1.8662513355472948E-2</v>
      </c>
      <c r="J95">
        <v>0</v>
      </c>
      <c r="K95">
        <f t="shared" si="3"/>
        <v>1.8662513355472948E-2</v>
      </c>
      <c r="L95">
        <f t="shared" si="4"/>
        <v>1.8662513355472949</v>
      </c>
      <c r="M95">
        <v>1.35</v>
      </c>
    </row>
    <row r="96" spans="1:13" x14ac:dyDescent="0.2">
      <c r="A96" s="1">
        <v>44027</v>
      </c>
      <c r="B96">
        <v>149.729996</v>
      </c>
      <c r="C96">
        <v>150.21000699999999</v>
      </c>
      <c r="D96">
        <v>148.229996</v>
      </c>
      <c r="E96">
        <v>148.259995</v>
      </c>
      <c r="F96">
        <v>145.35699500000001</v>
      </c>
      <c r="G96">
        <v>8512800</v>
      </c>
      <c r="I96">
        <f t="shared" si="5"/>
        <v>2.2985492207751061E-3</v>
      </c>
      <c r="J96">
        <v>0</v>
      </c>
      <c r="K96">
        <f t="shared" si="3"/>
        <v>2.2985492207751061E-3</v>
      </c>
      <c r="L96">
        <f t="shared" si="4"/>
        <v>0.2298549220775106</v>
      </c>
      <c r="M96">
        <v>1.1399999999999999</v>
      </c>
    </row>
    <row r="97" spans="1:13" x14ac:dyDescent="0.2">
      <c r="A97" s="1">
        <v>44028</v>
      </c>
      <c r="B97">
        <v>148.679993</v>
      </c>
      <c r="C97">
        <v>149.33999600000001</v>
      </c>
      <c r="D97">
        <v>146.679993</v>
      </c>
      <c r="E97">
        <v>149.25</v>
      </c>
      <c r="F97">
        <v>146.327606</v>
      </c>
      <c r="G97">
        <v>9304700</v>
      </c>
      <c r="I97">
        <f t="shared" si="5"/>
        <v>6.6774289052961705E-3</v>
      </c>
      <c r="J97">
        <v>0</v>
      </c>
      <c r="K97">
        <f t="shared" si="3"/>
        <v>6.6774289052961705E-3</v>
      </c>
      <c r="L97">
        <f t="shared" si="4"/>
        <v>0.66774289052961699</v>
      </c>
      <c r="M97">
        <v>-0.37</v>
      </c>
    </row>
    <row r="98" spans="1:13" x14ac:dyDescent="0.2">
      <c r="A98" s="1">
        <v>44029</v>
      </c>
      <c r="B98">
        <v>150</v>
      </c>
      <c r="C98">
        <v>150.58000200000001</v>
      </c>
      <c r="D98">
        <v>148.69000199999999</v>
      </c>
      <c r="E98">
        <v>149.35000600000001</v>
      </c>
      <c r="F98">
        <v>146.425659</v>
      </c>
      <c r="G98">
        <v>7441100</v>
      </c>
      <c r="I98">
        <f t="shared" si="5"/>
        <v>6.7009228593538979E-4</v>
      </c>
      <c r="J98">
        <v>0</v>
      </c>
      <c r="K98">
        <f t="shared" si="3"/>
        <v>6.7009228593538979E-4</v>
      </c>
      <c r="L98">
        <f t="shared" si="4"/>
        <v>6.7009228593538986E-2</v>
      </c>
      <c r="M98">
        <v>0.3</v>
      </c>
    </row>
    <row r="99" spans="1:13" x14ac:dyDescent="0.2">
      <c r="A99" s="1">
        <v>44032</v>
      </c>
      <c r="B99">
        <v>150.229996</v>
      </c>
      <c r="C99">
        <v>150.320007</v>
      </c>
      <c r="D99">
        <v>148.429993</v>
      </c>
      <c r="E99">
        <v>149.60000600000001</v>
      </c>
      <c r="F99">
        <v>146.67077599999999</v>
      </c>
      <c r="G99">
        <v>6191500</v>
      </c>
      <c r="I99">
        <f t="shared" si="5"/>
        <v>1.6740030516099189E-3</v>
      </c>
      <c r="J99">
        <v>0</v>
      </c>
      <c r="K99">
        <f t="shared" si="3"/>
        <v>1.6740030516099189E-3</v>
      </c>
      <c r="L99">
        <f t="shared" si="4"/>
        <v>0.16740030516099189</v>
      </c>
      <c r="M99">
        <v>1.01</v>
      </c>
    </row>
    <row r="100" spans="1:13" x14ac:dyDescent="0.2">
      <c r="A100" s="1">
        <v>44033</v>
      </c>
      <c r="B100">
        <v>149.60000600000001</v>
      </c>
      <c r="C100">
        <v>151.66999799999999</v>
      </c>
      <c r="D100">
        <v>149.5</v>
      </c>
      <c r="E100">
        <v>149.740005</v>
      </c>
      <c r="F100">
        <v>146.808029</v>
      </c>
      <c r="G100">
        <v>5579700</v>
      </c>
      <c r="I100">
        <f t="shared" si="5"/>
        <v>9.3578968996533706E-4</v>
      </c>
      <c r="J100">
        <v>0</v>
      </c>
      <c r="K100">
        <f t="shared" si="3"/>
        <v>9.3578968996533706E-4</v>
      </c>
      <c r="L100">
        <f t="shared" si="4"/>
        <v>9.3578968996533701E-2</v>
      </c>
      <c r="M100">
        <v>0.16</v>
      </c>
    </row>
    <row r="101" spans="1:13" x14ac:dyDescent="0.2">
      <c r="A101" s="1">
        <v>44034</v>
      </c>
      <c r="B101">
        <v>149.929993</v>
      </c>
      <c r="C101">
        <v>150.41000399999999</v>
      </c>
      <c r="D101">
        <v>147.85000600000001</v>
      </c>
      <c r="E101">
        <v>150.009995</v>
      </c>
      <c r="F101">
        <v>147.072723</v>
      </c>
      <c r="G101">
        <v>5910200</v>
      </c>
      <c r="I101">
        <f t="shared" si="5"/>
        <v>1.8029940310689107E-3</v>
      </c>
      <c r="J101">
        <v>0</v>
      </c>
      <c r="K101">
        <f t="shared" si="3"/>
        <v>1.8029940310689107E-3</v>
      </c>
      <c r="L101">
        <f t="shared" si="4"/>
        <v>0.18029940310689108</v>
      </c>
      <c r="M101">
        <v>0.49</v>
      </c>
    </row>
    <row r="102" spans="1:13" x14ac:dyDescent="0.2">
      <c r="A102" s="1">
        <v>44035</v>
      </c>
      <c r="B102">
        <v>150.21000699999999</v>
      </c>
      <c r="C102">
        <v>150.85000600000001</v>
      </c>
      <c r="D102">
        <v>149.279999</v>
      </c>
      <c r="E102">
        <v>149.61000100000001</v>
      </c>
      <c r="F102">
        <v>146.68055699999999</v>
      </c>
      <c r="G102">
        <v>6566300</v>
      </c>
      <c r="I102">
        <f t="shared" si="5"/>
        <v>-2.6664767742146391E-3</v>
      </c>
      <c r="J102">
        <v>0</v>
      </c>
      <c r="K102">
        <f t="shared" si="3"/>
        <v>-2.6664767742146391E-3</v>
      </c>
      <c r="L102">
        <f t="shared" si="4"/>
        <v>-0.26664767742146389</v>
      </c>
      <c r="M102">
        <v>-1.2</v>
      </c>
    </row>
    <row r="103" spans="1:13" x14ac:dyDescent="0.2">
      <c r="A103" s="1">
        <v>44036</v>
      </c>
      <c r="B103">
        <v>150.5</v>
      </c>
      <c r="C103">
        <v>150.60000600000001</v>
      </c>
      <c r="D103">
        <v>147.029999</v>
      </c>
      <c r="E103">
        <v>148.11999499999999</v>
      </c>
      <c r="F103">
        <v>145.219742</v>
      </c>
      <c r="G103">
        <v>5405900</v>
      </c>
      <c r="I103">
        <f t="shared" si="5"/>
        <v>-9.9591590724597313E-3</v>
      </c>
      <c r="J103">
        <v>0</v>
      </c>
      <c r="K103">
        <f t="shared" si="3"/>
        <v>-9.9591590724597313E-3</v>
      </c>
      <c r="L103">
        <f t="shared" si="4"/>
        <v>-0.99591590724597312</v>
      </c>
      <c r="M103">
        <v>-0.75</v>
      </c>
    </row>
    <row r="104" spans="1:13" x14ac:dyDescent="0.2">
      <c r="A104" s="1">
        <v>44039</v>
      </c>
      <c r="B104">
        <v>147.36999499999999</v>
      </c>
      <c r="C104">
        <v>148.91999799999999</v>
      </c>
      <c r="D104">
        <v>146.86000100000001</v>
      </c>
      <c r="E104">
        <v>147.179993</v>
      </c>
      <c r="F104">
        <v>144.298126</v>
      </c>
      <c r="G104">
        <v>5675200</v>
      </c>
      <c r="I104">
        <f t="shared" si="5"/>
        <v>-6.3463547538873894E-3</v>
      </c>
      <c r="J104">
        <v>0</v>
      </c>
      <c r="K104">
        <f t="shared" si="3"/>
        <v>-6.3463547538873894E-3</v>
      </c>
      <c r="L104">
        <f t="shared" si="4"/>
        <v>-0.63463547538873899</v>
      </c>
      <c r="M104">
        <v>0.88</v>
      </c>
    </row>
    <row r="105" spans="1:13" x14ac:dyDescent="0.2">
      <c r="A105" s="1">
        <v>44040</v>
      </c>
      <c r="B105">
        <v>147.39999399999999</v>
      </c>
      <c r="C105">
        <v>147.990005</v>
      </c>
      <c r="D105">
        <v>146.75</v>
      </c>
      <c r="E105">
        <v>146.83000200000001</v>
      </c>
      <c r="F105">
        <v>143.95500200000001</v>
      </c>
      <c r="G105">
        <v>4842200</v>
      </c>
      <c r="I105">
        <f t="shared" si="5"/>
        <v>-2.3778825790155369E-3</v>
      </c>
      <c r="J105">
        <v>0</v>
      </c>
      <c r="K105">
        <f t="shared" si="3"/>
        <v>-2.3778825790155369E-3</v>
      </c>
      <c r="L105">
        <f t="shared" si="4"/>
        <v>-0.2377882579015537</v>
      </c>
      <c r="M105">
        <v>-0.81</v>
      </c>
    </row>
    <row r="106" spans="1:13" x14ac:dyDescent="0.2">
      <c r="A106" s="1">
        <v>44041</v>
      </c>
      <c r="B106">
        <v>146.38999899999999</v>
      </c>
      <c r="C106">
        <v>147.470001</v>
      </c>
      <c r="D106">
        <v>146.070007</v>
      </c>
      <c r="E106">
        <v>146.53999300000001</v>
      </c>
      <c r="F106">
        <v>143.67067</v>
      </c>
      <c r="G106">
        <v>4489100</v>
      </c>
      <c r="I106">
        <f t="shared" si="5"/>
        <v>-1.9751449831524868E-3</v>
      </c>
      <c r="J106">
        <v>0</v>
      </c>
      <c r="K106">
        <f t="shared" si="3"/>
        <v>-1.9751449831524868E-3</v>
      </c>
      <c r="L106">
        <f t="shared" si="4"/>
        <v>-0.19751449831524867</v>
      </c>
      <c r="M106">
        <v>1.35</v>
      </c>
    </row>
    <row r="107" spans="1:13" x14ac:dyDescent="0.2">
      <c r="A107" s="1">
        <v>44042</v>
      </c>
      <c r="B107">
        <v>147.44000199999999</v>
      </c>
      <c r="C107">
        <v>147.5</v>
      </c>
      <c r="D107">
        <v>146.13999899999999</v>
      </c>
      <c r="E107">
        <v>146.83999600000001</v>
      </c>
      <c r="F107">
        <v>143.96481299999999</v>
      </c>
      <c r="G107">
        <v>5922500</v>
      </c>
      <c r="I107">
        <f t="shared" si="5"/>
        <v>2.0473420218614638E-3</v>
      </c>
      <c r="J107">
        <v>0</v>
      </c>
      <c r="K107">
        <f t="shared" si="3"/>
        <v>2.0473420218614638E-3</v>
      </c>
      <c r="L107">
        <f t="shared" si="4"/>
        <v>0.20473420218614638</v>
      </c>
      <c r="M107">
        <v>-0.28999999999999998</v>
      </c>
    </row>
    <row r="108" spans="1:13" x14ac:dyDescent="0.2">
      <c r="A108" s="1">
        <v>44043</v>
      </c>
      <c r="B108">
        <v>146.66000399999999</v>
      </c>
      <c r="C108">
        <v>147.449997</v>
      </c>
      <c r="D108">
        <v>143.96000699999999</v>
      </c>
      <c r="E108">
        <v>145.759995</v>
      </c>
      <c r="F108">
        <v>142.905945</v>
      </c>
      <c r="G108">
        <v>8259600</v>
      </c>
      <c r="I108">
        <f t="shared" si="5"/>
        <v>-7.3550472364381824E-3</v>
      </c>
      <c r="J108">
        <v>0</v>
      </c>
      <c r="K108">
        <f t="shared" si="3"/>
        <v>-7.3550472364381824E-3</v>
      </c>
      <c r="L108">
        <f t="shared" si="4"/>
        <v>-0.73550472364381825</v>
      </c>
      <c r="M108">
        <v>0.61</v>
      </c>
    </row>
    <row r="109" spans="1:13" x14ac:dyDescent="0.2">
      <c r="A109" s="1">
        <v>44046</v>
      </c>
      <c r="B109">
        <v>146.38999899999999</v>
      </c>
      <c r="C109">
        <v>147.78999300000001</v>
      </c>
      <c r="D109">
        <v>146.14999399999999</v>
      </c>
      <c r="E109">
        <v>147.35000600000001</v>
      </c>
      <c r="F109">
        <v>144.46482800000001</v>
      </c>
      <c r="G109">
        <v>4078700</v>
      </c>
      <c r="I109">
        <f t="shared" si="5"/>
        <v>1.0908454508313204E-2</v>
      </c>
      <c r="J109">
        <v>0</v>
      </c>
      <c r="K109">
        <f t="shared" si="3"/>
        <v>1.0908454508313204E-2</v>
      </c>
      <c r="L109">
        <f t="shared" si="4"/>
        <v>1.0908454508313203</v>
      </c>
      <c r="M109">
        <v>0.98</v>
      </c>
    </row>
    <row r="110" spans="1:13" x14ac:dyDescent="0.2">
      <c r="A110" s="1">
        <v>44047</v>
      </c>
      <c r="B110">
        <v>146.990005</v>
      </c>
      <c r="C110">
        <v>147.220001</v>
      </c>
      <c r="D110">
        <v>145.820007</v>
      </c>
      <c r="E110">
        <v>147.220001</v>
      </c>
      <c r="F110">
        <v>144.337357</v>
      </c>
      <c r="G110">
        <v>4162200</v>
      </c>
      <c r="I110">
        <f t="shared" si="5"/>
        <v>-8.8236702154253143E-4</v>
      </c>
      <c r="J110">
        <v>0</v>
      </c>
      <c r="K110">
        <f t="shared" si="3"/>
        <v>-8.8236702154253143E-4</v>
      </c>
      <c r="L110">
        <f t="shared" si="4"/>
        <v>-8.8236702154253138E-2</v>
      </c>
      <c r="M110">
        <v>0.37</v>
      </c>
    </row>
    <row r="111" spans="1:13" x14ac:dyDescent="0.2">
      <c r="A111" s="1">
        <v>44048</v>
      </c>
      <c r="B111">
        <v>149.10000600000001</v>
      </c>
      <c r="C111">
        <v>149.30999800000001</v>
      </c>
      <c r="D111">
        <v>147.800003</v>
      </c>
      <c r="E111">
        <v>148.39999399999999</v>
      </c>
      <c r="F111">
        <v>145.49426299999999</v>
      </c>
      <c r="G111">
        <v>5493200</v>
      </c>
      <c r="I111">
        <f t="shared" si="5"/>
        <v>8.0152915644699819E-3</v>
      </c>
      <c r="J111">
        <v>0</v>
      </c>
      <c r="K111">
        <f t="shared" si="3"/>
        <v>8.0152915644699819E-3</v>
      </c>
      <c r="L111">
        <f t="shared" si="4"/>
        <v>0.80152915644699818</v>
      </c>
      <c r="M111">
        <v>0.78</v>
      </c>
    </row>
    <row r="112" spans="1:13" x14ac:dyDescent="0.2">
      <c r="A112" s="1">
        <v>44049</v>
      </c>
      <c r="B112">
        <v>148.39999399999999</v>
      </c>
      <c r="C112">
        <v>149.25</v>
      </c>
      <c r="D112">
        <v>146.5</v>
      </c>
      <c r="E112">
        <v>147.550003</v>
      </c>
      <c r="F112">
        <v>144.66090399999999</v>
      </c>
      <c r="G112">
        <v>4837900</v>
      </c>
      <c r="I112">
        <f t="shared" si="5"/>
        <v>-5.7277791083762634E-3</v>
      </c>
      <c r="J112">
        <v>0</v>
      </c>
      <c r="K112">
        <f t="shared" si="3"/>
        <v>-5.7277791083762634E-3</v>
      </c>
      <c r="L112">
        <f t="shared" si="4"/>
        <v>-0.5727779108376263</v>
      </c>
      <c r="M112">
        <v>0.53</v>
      </c>
    </row>
    <row r="113" spans="1:13" x14ac:dyDescent="0.2">
      <c r="A113" s="1">
        <v>44050</v>
      </c>
      <c r="B113">
        <v>147.509995</v>
      </c>
      <c r="C113">
        <v>148.64999399999999</v>
      </c>
      <c r="D113">
        <v>147.14999399999999</v>
      </c>
      <c r="E113">
        <v>148.60000600000001</v>
      </c>
      <c r="F113">
        <v>145.690338</v>
      </c>
      <c r="G113">
        <v>3635100</v>
      </c>
      <c r="I113">
        <f t="shared" si="5"/>
        <v>7.1161866927086891E-3</v>
      </c>
      <c r="J113">
        <v>0</v>
      </c>
      <c r="K113">
        <f t="shared" si="3"/>
        <v>7.1161866927086891E-3</v>
      </c>
      <c r="L113">
        <f t="shared" si="4"/>
        <v>0.71161866927086892</v>
      </c>
      <c r="M113">
        <v>0.02</v>
      </c>
    </row>
    <row r="114" spans="1:13" x14ac:dyDescent="0.2">
      <c r="A114" s="1">
        <v>44053</v>
      </c>
      <c r="B114">
        <v>148.86000100000001</v>
      </c>
      <c r="C114">
        <v>149.009995</v>
      </c>
      <c r="D114">
        <v>147.720001</v>
      </c>
      <c r="E114">
        <v>148.029999</v>
      </c>
      <c r="F114">
        <v>145.13149999999999</v>
      </c>
      <c r="G114">
        <v>4096600</v>
      </c>
      <c r="I114">
        <f t="shared" si="5"/>
        <v>-3.8357931464199678E-3</v>
      </c>
      <c r="J114">
        <v>0</v>
      </c>
      <c r="K114">
        <f t="shared" si="3"/>
        <v>-3.8357931464199678E-3</v>
      </c>
      <c r="L114">
        <f t="shared" si="4"/>
        <v>-0.38357931464199679</v>
      </c>
      <c r="M114">
        <v>0.24</v>
      </c>
    </row>
    <row r="115" spans="1:13" x14ac:dyDescent="0.2">
      <c r="A115" s="1">
        <v>44054</v>
      </c>
      <c r="B115">
        <v>149.13999899999999</v>
      </c>
      <c r="C115">
        <v>149.229996</v>
      </c>
      <c r="D115">
        <v>146.36999499999999</v>
      </c>
      <c r="E115">
        <v>146.970001</v>
      </c>
      <c r="F115">
        <v>144.09223900000001</v>
      </c>
      <c r="G115">
        <v>6388400</v>
      </c>
      <c r="I115">
        <f t="shared" si="5"/>
        <v>-7.1608231155881538E-3</v>
      </c>
      <c r="J115">
        <v>0</v>
      </c>
      <c r="K115">
        <f t="shared" si="3"/>
        <v>-7.1608231155881538E-3</v>
      </c>
      <c r="L115">
        <f t="shared" si="4"/>
        <v>-0.71608231155881541</v>
      </c>
      <c r="M115">
        <v>-0.83</v>
      </c>
    </row>
    <row r="116" spans="1:13" x14ac:dyDescent="0.2">
      <c r="A116" s="1">
        <v>44055</v>
      </c>
      <c r="B116">
        <v>147.53999300000001</v>
      </c>
      <c r="C116">
        <v>150.240005</v>
      </c>
      <c r="D116">
        <v>147.490005</v>
      </c>
      <c r="E116">
        <v>149.66000399999999</v>
      </c>
      <c r="F116">
        <v>146.72959900000001</v>
      </c>
      <c r="G116">
        <v>5258100</v>
      </c>
      <c r="I116">
        <f t="shared" si="5"/>
        <v>1.8303275862067776E-2</v>
      </c>
      <c r="J116">
        <v>0</v>
      </c>
      <c r="K116">
        <f t="shared" si="3"/>
        <v>1.8303275862067776E-2</v>
      </c>
      <c r="L116">
        <f t="shared" si="4"/>
        <v>1.8303275862067776</v>
      </c>
      <c r="M116">
        <v>1.4</v>
      </c>
    </row>
    <row r="117" spans="1:13" x14ac:dyDescent="0.2">
      <c r="A117" s="1">
        <v>44056</v>
      </c>
      <c r="B117">
        <v>148.53999300000001</v>
      </c>
      <c r="C117">
        <v>149.19000199999999</v>
      </c>
      <c r="D117">
        <v>147.529999</v>
      </c>
      <c r="E117">
        <v>148</v>
      </c>
      <c r="F117">
        <v>145.10209699999999</v>
      </c>
      <c r="G117">
        <v>5155500</v>
      </c>
      <c r="I117">
        <f t="shared" si="5"/>
        <v>-1.1091845211135765E-2</v>
      </c>
      <c r="J117">
        <v>0</v>
      </c>
      <c r="K117">
        <f t="shared" si="3"/>
        <v>-1.1091845211135765E-2</v>
      </c>
      <c r="L117">
        <f t="shared" si="4"/>
        <v>-1.1091845211135765</v>
      </c>
      <c r="M117">
        <v>-0.01</v>
      </c>
    </row>
    <row r="118" spans="1:13" x14ac:dyDescent="0.2">
      <c r="A118" s="1">
        <v>44057</v>
      </c>
      <c r="B118">
        <v>147.61000100000001</v>
      </c>
      <c r="C118">
        <v>149.33999600000001</v>
      </c>
      <c r="D118">
        <v>147.58000200000001</v>
      </c>
      <c r="E118">
        <v>148.240005</v>
      </c>
      <c r="F118">
        <v>145.337402</v>
      </c>
      <c r="G118">
        <v>4240200</v>
      </c>
      <c r="I118">
        <f t="shared" si="5"/>
        <v>1.6216512708290562E-3</v>
      </c>
      <c r="J118">
        <v>0</v>
      </c>
      <c r="K118">
        <f t="shared" si="3"/>
        <v>1.6216512708290562E-3</v>
      </c>
      <c r="L118">
        <f t="shared" si="4"/>
        <v>0.16216512708290562</v>
      </c>
      <c r="M118">
        <v>-0.04</v>
      </c>
    </row>
    <row r="119" spans="1:13" x14ac:dyDescent="0.2">
      <c r="A119" s="1">
        <v>44060</v>
      </c>
      <c r="B119">
        <v>148.320007</v>
      </c>
      <c r="C119">
        <v>150.229996</v>
      </c>
      <c r="D119">
        <v>148.229996</v>
      </c>
      <c r="E119">
        <v>148.990005</v>
      </c>
      <c r="F119">
        <v>146.07270800000001</v>
      </c>
      <c r="G119">
        <v>4306900</v>
      </c>
      <c r="I119">
        <f t="shared" si="5"/>
        <v>5.0593033168434406E-3</v>
      </c>
      <c r="J119">
        <v>0</v>
      </c>
      <c r="K119">
        <f t="shared" si="3"/>
        <v>5.0593033168434406E-3</v>
      </c>
      <c r="L119">
        <f t="shared" si="4"/>
        <v>0.50593033168434409</v>
      </c>
      <c r="M119">
        <v>0.45</v>
      </c>
    </row>
    <row r="120" spans="1:13" x14ac:dyDescent="0.2">
      <c r="A120" s="1">
        <v>44061</v>
      </c>
      <c r="B120">
        <v>149.259995</v>
      </c>
      <c r="C120">
        <v>150.10000600000001</v>
      </c>
      <c r="D120">
        <v>148.570007</v>
      </c>
      <c r="E120">
        <v>150.08999600000001</v>
      </c>
      <c r="F120">
        <v>147.15115399999999</v>
      </c>
      <c r="G120">
        <v>4322600</v>
      </c>
      <c r="I120">
        <f t="shared" si="5"/>
        <v>7.3829397343683481E-3</v>
      </c>
      <c r="J120">
        <v>0</v>
      </c>
      <c r="K120">
        <f t="shared" si="3"/>
        <v>7.3829397343683481E-3</v>
      </c>
      <c r="L120">
        <f t="shared" si="4"/>
        <v>0.73829397343683478</v>
      </c>
      <c r="M120">
        <v>0.22</v>
      </c>
    </row>
    <row r="121" spans="1:13" x14ac:dyDescent="0.2">
      <c r="A121" s="1">
        <v>44062</v>
      </c>
      <c r="B121">
        <v>149.58000200000001</v>
      </c>
      <c r="C121">
        <v>151.58000200000001</v>
      </c>
      <c r="D121">
        <v>149.320007</v>
      </c>
      <c r="E121">
        <v>150.38999899999999</v>
      </c>
      <c r="F121">
        <v>147.44528199999999</v>
      </c>
      <c r="G121">
        <v>7816300</v>
      </c>
      <c r="I121">
        <f t="shared" si="5"/>
        <v>1.9988154493168339E-3</v>
      </c>
      <c r="J121">
        <v>0</v>
      </c>
      <c r="K121">
        <f t="shared" si="3"/>
        <v>1.9988154493168339E-3</v>
      </c>
      <c r="L121">
        <f t="shared" si="4"/>
        <v>0.19988154493168339</v>
      </c>
      <c r="M121">
        <v>-0.38</v>
      </c>
    </row>
    <row r="122" spans="1:13" x14ac:dyDescent="0.2">
      <c r="A122" s="1">
        <v>44063</v>
      </c>
      <c r="B122">
        <v>149.75</v>
      </c>
      <c r="C122">
        <v>151.58000200000001</v>
      </c>
      <c r="D122">
        <v>149.550003</v>
      </c>
      <c r="E122">
        <v>151.41999799999999</v>
      </c>
      <c r="F122">
        <v>148.45512400000001</v>
      </c>
      <c r="G122">
        <v>4874700</v>
      </c>
      <c r="I122">
        <f t="shared" si="5"/>
        <v>6.848927183712941E-3</v>
      </c>
      <c r="J122">
        <v>0</v>
      </c>
      <c r="K122">
        <f t="shared" si="3"/>
        <v>6.848927183712941E-3</v>
      </c>
      <c r="L122">
        <f t="shared" si="4"/>
        <v>0.68489271837129406</v>
      </c>
      <c r="M122">
        <v>0.31</v>
      </c>
    </row>
    <row r="123" spans="1:13" x14ac:dyDescent="0.2">
      <c r="A123" s="1">
        <v>44064</v>
      </c>
      <c r="B123">
        <v>151.779999</v>
      </c>
      <c r="C123">
        <v>153.64999399999999</v>
      </c>
      <c r="D123">
        <v>150.58999600000001</v>
      </c>
      <c r="E123">
        <v>152.759995</v>
      </c>
      <c r="F123">
        <v>149.76887500000001</v>
      </c>
      <c r="G123">
        <v>6722800</v>
      </c>
      <c r="I123">
        <f t="shared" si="5"/>
        <v>8.8494823526602973E-3</v>
      </c>
      <c r="J123">
        <v>0</v>
      </c>
      <c r="K123">
        <f t="shared" si="3"/>
        <v>8.8494823526602973E-3</v>
      </c>
      <c r="L123">
        <f t="shared" si="4"/>
        <v>0.88494823526602973</v>
      </c>
      <c r="M123">
        <v>0.25</v>
      </c>
    </row>
    <row r="124" spans="1:13" x14ac:dyDescent="0.2">
      <c r="A124" s="1">
        <v>44067</v>
      </c>
      <c r="B124">
        <v>152.740005</v>
      </c>
      <c r="C124">
        <v>152.89999399999999</v>
      </c>
      <c r="D124">
        <v>150.35000600000001</v>
      </c>
      <c r="E124">
        <v>152.14999399999999</v>
      </c>
      <c r="F124">
        <v>150.16365099999999</v>
      </c>
      <c r="G124">
        <v>5387900</v>
      </c>
      <c r="I124">
        <f t="shared" si="5"/>
        <v>2.6359014848711315E-3</v>
      </c>
      <c r="J124">
        <v>0</v>
      </c>
      <c r="K124">
        <f t="shared" si="3"/>
        <v>2.6359014848711315E-3</v>
      </c>
      <c r="L124">
        <f t="shared" si="4"/>
        <v>0.26359014848711315</v>
      </c>
      <c r="M124">
        <v>0.92</v>
      </c>
    </row>
    <row r="125" spans="1:13" x14ac:dyDescent="0.2">
      <c r="A125" s="1">
        <v>44068</v>
      </c>
      <c r="B125">
        <v>152.779999</v>
      </c>
      <c r="C125">
        <v>153.070007</v>
      </c>
      <c r="D125">
        <v>151.53999300000001</v>
      </c>
      <c r="E125">
        <v>152.05999800000001</v>
      </c>
      <c r="F125">
        <v>150.07484400000001</v>
      </c>
      <c r="G125">
        <v>3863500</v>
      </c>
      <c r="I125">
        <f t="shared" si="5"/>
        <v>-5.9140144374868946E-4</v>
      </c>
      <c r="J125">
        <v>0</v>
      </c>
      <c r="K125">
        <f t="shared" si="3"/>
        <v>-5.9140144374868946E-4</v>
      </c>
      <c r="L125">
        <f t="shared" si="4"/>
        <v>-5.9140144374868947E-2</v>
      </c>
      <c r="M125">
        <v>0.36</v>
      </c>
    </row>
    <row r="126" spans="1:13" x14ac:dyDescent="0.2">
      <c r="A126" s="1">
        <v>44069</v>
      </c>
      <c r="B126">
        <v>151.86000100000001</v>
      </c>
      <c r="C126">
        <v>152.64999399999999</v>
      </c>
      <c r="D126">
        <v>150.63999899999999</v>
      </c>
      <c r="E126">
        <v>152.300003</v>
      </c>
      <c r="F126">
        <v>150.31170700000001</v>
      </c>
      <c r="G126">
        <v>8008300</v>
      </c>
      <c r="I126">
        <f t="shared" si="5"/>
        <v>1.5782991585185295E-3</v>
      </c>
      <c r="J126">
        <v>0</v>
      </c>
      <c r="K126">
        <f t="shared" si="3"/>
        <v>1.5782991585185295E-3</v>
      </c>
      <c r="L126">
        <f t="shared" si="4"/>
        <v>0.15782991585185294</v>
      </c>
      <c r="M126">
        <v>1</v>
      </c>
    </row>
    <row r="127" spans="1:13" x14ac:dyDescent="0.2">
      <c r="A127" s="1">
        <v>44070</v>
      </c>
      <c r="B127">
        <v>152.41999799999999</v>
      </c>
      <c r="C127">
        <v>153.259995</v>
      </c>
      <c r="D127">
        <v>151.88999899999999</v>
      </c>
      <c r="E127">
        <v>152.979996</v>
      </c>
      <c r="F127">
        <v>150.982834</v>
      </c>
      <c r="G127">
        <v>5575400</v>
      </c>
      <c r="I127">
        <f t="shared" si="5"/>
        <v>4.4649017258514946E-3</v>
      </c>
      <c r="J127">
        <v>0</v>
      </c>
      <c r="K127">
        <f t="shared" si="3"/>
        <v>4.4649017258514946E-3</v>
      </c>
      <c r="L127">
        <f t="shared" si="4"/>
        <v>0.44649017258514945</v>
      </c>
      <c r="M127">
        <v>0.18</v>
      </c>
    </row>
    <row r="128" spans="1:13" x14ac:dyDescent="0.2">
      <c r="A128" s="1">
        <v>44071</v>
      </c>
      <c r="B128">
        <v>152.740005</v>
      </c>
      <c r="C128">
        <v>153.699997</v>
      </c>
      <c r="D128">
        <v>151.89999399999999</v>
      </c>
      <c r="E128">
        <v>153.63999899999999</v>
      </c>
      <c r="F128">
        <v>151.63420099999999</v>
      </c>
      <c r="G128">
        <v>5395700</v>
      </c>
      <c r="I128">
        <f t="shared" si="5"/>
        <v>4.3141791867543919E-3</v>
      </c>
      <c r="J128">
        <v>0</v>
      </c>
      <c r="K128">
        <f t="shared" si="3"/>
        <v>4.3141791867543919E-3</v>
      </c>
      <c r="L128">
        <f t="shared" si="4"/>
        <v>0.43141791867543922</v>
      </c>
      <c r="M128">
        <v>0.7</v>
      </c>
    </row>
    <row r="129" spans="1:13" x14ac:dyDescent="0.2">
      <c r="A129" s="1">
        <v>44074</v>
      </c>
      <c r="B129">
        <v>153</v>
      </c>
      <c r="C129">
        <v>154.39999399999999</v>
      </c>
      <c r="D129">
        <v>152.259995</v>
      </c>
      <c r="E129">
        <v>153.41000399999999</v>
      </c>
      <c r="F129">
        <v>151.40721099999999</v>
      </c>
      <c r="G129">
        <v>6362700</v>
      </c>
      <c r="I129">
        <f t="shared" si="5"/>
        <v>-1.4969578004371236E-3</v>
      </c>
      <c r="J129">
        <v>0</v>
      </c>
      <c r="K129">
        <f t="shared" si="3"/>
        <v>-1.4969578004371236E-3</v>
      </c>
      <c r="L129">
        <f t="shared" si="4"/>
        <v>-0.14969578004371237</v>
      </c>
      <c r="M129">
        <v>-0.04</v>
      </c>
    </row>
    <row r="130" spans="1:13" x14ac:dyDescent="0.2">
      <c r="A130" s="1">
        <v>44075</v>
      </c>
      <c r="B130">
        <v>153.86999499999999</v>
      </c>
      <c r="C130">
        <v>154.08000200000001</v>
      </c>
      <c r="D130">
        <v>150.070007</v>
      </c>
      <c r="E130">
        <v>151.520004</v>
      </c>
      <c r="F130">
        <v>149.54188500000001</v>
      </c>
      <c r="G130">
        <v>6309200</v>
      </c>
      <c r="I130">
        <f t="shared" si="5"/>
        <v>-1.2319928408165329E-2</v>
      </c>
      <c r="J130">
        <v>0</v>
      </c>
      <c r="K130">
        <f t="shared" si="3"/>
        <v>-1.2319928408165329E-2</v>
      </c>
      <c r="L130">
        <f t="shared" si="4"/>
        <v>-1.2319928408165328</v>
      </c>
      <c r="M130">
        <v>0.92</v>
      </c>
    </row>
    <row r="131" spans="1:13" x14ac:dyDescent="0.2">
      <c r="A131" s="1">
        <v>44076</v>
      </c>
      <c r="B131">
        <v>150.78999300000001</v>
      </c>
      <c r="C131">
        <v>154.33000200000001</v>
      </c>
      <c r="D131">
        <v>149.25</v>
      </c>
      <c r="E131">
        <v>153.83000200000001</v>
      </c>
      <c r="F131">
        <v>151.821732</v>
      </c>
      <c r="G131">
        <v>6881900</v>
      </c>
      <c r="I131">
        <f t="shared" si="5"/>
        <v>1.5245541408014145E-2</v>
      </c>
      <c r="J131">
        <v>0</v>
      </c>
      <c r="K131">
        <f t="shared" si="3"/>
        <v>1.5245541408014145E-2</v>
      </c>
      <c r="L131">
        <f t="shared" si="4"/>
        <v>1.5245541408014145</v>
      </c>
      <c r="M131">
        <v>1.27</v>
      </c>
    </row>
    <row r="132" spans="1:13" x14ac:dyDescent="0.2">
      <c r="A132" s="1">
        <v>44077</v>
      </c>
      <c r="B132">
        <v>154.83000200000001</v>
      </c>
      <c r="C132">
        <v>155.470001</v>
      </c>
      <c r="D132">
        <v>148.300003</v>
      </c>
      <c r="E132">
        <v>149.550003</v>
      </c>
      <c r="F132">
        <v>147.59761</v>
      </c>
      <c r="G132">
        <v>8672800</v>
      </c>
      <c r="I132">
        <f t="shared" si="5"/>
        <v>-2.7822907460968726E-2</v>
      </c>
      <c r="J132">
        <v>0</v>
      </c>
      <c r="K132">
        <f t="shared" ref="K132:K195" si="6">I132-J132</f>
        <v>-2.7822907460968726E-2</v>
      </c>
      <c r="L132">
        <f t="shared" ref="L132:L195" si="7">100*K132</f>
        <v>-2.7822907460968724</v>
      </c>
      <c r="M132">
        <v>-3.7</v>
      </c>
    </row>
    <row r="133" spans="1:13" x14ac:dyDescent="0.2">
      <c r="A133" s="1">
        <v>44078</v>
      </c>
      <c r="B133">
        <v>150.16999799999999</v>
      </c>
      <c r="C133">
        <v>150.949997</v>
      </c>
      <c r="D133">
        <v>147.13000500000001</v>
      </c>
      <c r="E133">
        <v>148.58999600000001</v>
      </c>
      <c r="F133">
        <v>146.65013099999999</v>
      </c>
      <c r="G133">
        <v>7200100</v>
      </c>
      <c r="I133">
        <f t="shared" ref="I133:I196" si="8">(F133-F132)/F132</f>
        <v>-6.4193383619153147E-3</v>
      </c>
      <c r="J133">
        <v>0</v>
      </c>
      <c r="K133">
        <f t="shared" si="6"/>
        <v>-6.4193383619153147E-3</v>
      </c>
      <c r="L133">
        <f t="shared" si="7"/>
        <v>-0.64193383619153144</v>
      </c>
      <c r="M133">
        <v>-0.87</v>
      </c>
    </row>
    <row r="134" spans="1:13" x14ac:dyDescent="0.2">
      <c r="A134" s="1">
        <v>44082</v>
      </c>
      <c r="B134">
        <v>150.25</v>
      </c>
      <c r="C134">
        <v>150.88999899999999</v>
      </c>
      <c r="D134">
        <v>146.89999399999999</v>
      </c>
      <c r="E134">
        <v>147.259995</v>
      </c>
      <c r="F134">
        <v>145.33750900000001</v>
      </c>
      <c r="G134">
        <v>8756800</v>
      </c>
      <c r="I134">
        <f t="shared" si="8"/>
        <v>-8.950704585459773E-3</v>
      </c>
      <c r="J134">
        <v>0</v>
      </c>
      <c r="K134">
        <f t="shared" si="6"/>
        <v>-8.950704585459773E-3</v>
      </c>
      <c r="L134">
        <f t="shared" si="7"/>
        <v>-0.89507045854597733</v>
      </c>
      <c r="M134">
        <v>-2.91</v>
      </c>
    </row>
    <row r="135" spans="1:13" x14ac:dyDescent="0.2">
      <c r="A135" s="1">
        <v>44083</v>
      </c>
      <c r="B135">
        <v>148.14999399999999</v>
      </c>
      <c r="C135">
        <v>151.10000600000001</v>
      </c>
      <c r="D135">
        <v>148.11999499999999</v>
      </c>
      <c r="E135">
        <v>149.699997</v>
      </c>
      <c r="F135">
        <v>147.74563599999999</v>
      </c>
      <c r="G135">
        <v>6960700</v>
      </c>
      <c r="I135">
        <f t="shared" si="8"/>
        <v>1.656920513203497E-2</v>
      </c>
      <c r="J135">
        <v>0</v>
      </c>
      <c r="K135">
        <f t="shared" si="6"/>
        <v>1.656920513203497E-2</v>
      </c>
      <c r="L135">
        <f t="shared" si="7"/>
        <v>1.656920513203497</v>
      </c>
      <c r="M135">
        <v>2.0699999999999998</v>
      </c>
    </row>
    <row r="136" spans="1:13" x14ac:dyDescent="0.2">
      <c r="A136" s="1">
        <v>44084</v>
      </c>
      <c r="B136">
        <v>149.25</v>
      </c>
      <c r="C136">
        <v>149.779999</v>
      </c>
      <c r="D136">
        <v>146.520004</v>
      </c>
      <c r="E136">
        <v>146.91000399999999</v>
      </c>
      <c r="F136">
        <v>144.99208100000001</v>
      </c>
      <c r="G136">
        <v>6191800</v>
      </c>
      <c r="I136">
        <f t="shared" si="8"/>
        <v>-1.8637132537708101E-2</v>
      </c>
      <c r="J136">
        <v>0</v>
      </c>
      <c r="K136">
        <f t="shared" si="6"/>
        <v>-1.8637132537708101E-2</v>
      </c>
      <c r="L136">
        <f t="shared" si="7"/>
        <v>-1.8637132537708101</v>
      </c>
      <c r="M136">
        <v>-1.64</v>
      </c>
    </row>
    <row r="137" spans="1:13" x14ac:dyDescent="0.2">
      <c r="A137" s="1">
        <v>44085</v>
      </c>
      <c r="B137">
        <v>147.050003</v>
      </c>
      <c r="C137">
        <v>148.529999</v>
      </c>
      <c r="D137">
        <v>146.63000500000001</v>
      </c>
      <c r="E137">
        <v>147.779999</v>
      </c>
      <c r="F137">
        <v>145.850708</v>
      </c>
      <c r="G137">
        <v>3934700</v>
      </c>
      <c r="I137">
        <f t="shared" si="8"/>
        <v>5.9218889340582961E-3</v>
      </c>
      <c r="J137">
        <v>0</v>
      </c>
      <c r="K137">
        <f t="shared" si="6"/>
        <v>5.9218889340582961E-3</v>
      </c>
      <c r="L137">
        <f t="shared" si="7"/>
        <v>0.59218889340582959</v>
      </c>
      <c r="M137">
        <v>-0.06</v>
      </c>
    </row>
    <row r="138" spans="1:13" x14ac:dyDescent="0.2">
      <c r="A138" s="1">
        <v>44088</v>
      </c>
      <c r="B138">
        <v>148.11999499999999</v>
      </c>
      <c r="C138">
        <v>149.470001</v>
      </c>
      <c r="D138">
        <v>148.009995</v>
      </c>
      <c r="E138">
        <v>148.35000600000001</v>
      </c>
      <c r="F138">
        <v>146.413284</v>
      </c>
      <c r="G138">
        <v>4375800</v>
      </c>
      <c r="I138">
        <f t="shared" si="8"/>
        <v>3.8572044504577041E-3</v>
      </c>
      <c r="J138">
        <v>0</v>
      </c>
      <c r="K138">
        <f t="shared" si="6"/>
        <v>3.8572044504577041E-3</v>
      </c>
      <c r="L138">
        <f t="shared" si="7"/>
        <v>0.38572044504577041</v>
      </c>
      <c r="M138">
        <v>1.59</v>
      </c>
    </row>
    <row r="139" spans="1:13" x14ac:dyDescent="0.2">
      <c r="A139" s="1">
        <v>44089</v>
      </c>
      <c r="B139">
        <v>149.449997</v>
      </c>
      <c r="C139">
        <v>150.58999600000001</v>
      </c>
      <c r="D139">
        <v>148.520004</v>
      </c>
      <c r="E139">
        <v>148.88999899999999</v>
      </c>
      <c r="F139">
        <v>146.946213</v>
      </c>
      <c r="G139">
        <v>3658800</v>
      </c>
      <c r="I139">
        <f t="shared" si="8"/>
        <v>3.6398951341054253E-3</v>
      </c>
      <c r="J139">
        <v>0</v>
      </c>
      <c r="K139">
        <f t="shared" si="6"/>
        <v>3.6398951341054253E-3</v>
      </c>
      <c r="L139">
        <f t="shared" si="7"/>
        <v>0.36398951341054253</v>
      </c>
      <c r="M139">
        <v>0.56999999999999995</v>
      </c>
    </row>
    <row r="140" spans="1:13" x14ac:dyDescent="0.2">
      <c r="A140" s="1">
        <v>44090</v>
      </c>
      <c r="B140">
        <v>149.38999899999999</v>
      </c>
      <c r="C140">
        <v>150.05999800000001</v>
      </c>
      <c r="D140">
        <v>148.35000600000001</v>
      </c>
      <c r="E140">
        <v>148.39999399999999</v>
      </c>
      <c r="F140">
        <v>146.462616</v>
      </c>
      <c r="G140">
        <v>4323000</v>
      </c>
      <c r="I140">
        <f t="shared" si="8"/>
        <v>-3.2909796729501508E-3</v>
      </c>
      <c r="J140">
        <v>0</v>
      </c>
      <c r="K140">
        <f t="shared" si="6"/>
        <v>-3.2909796729501508E-3</v>
      </c>
      <c r="L140">
        <f t="shared" si="7"/>
        <v>-0.32909796729501506</v>
      </c>
      <c r="M140">
        <v>-0.39</v>
      </c>
    </row>
    <row r="141" spans="1:13" x14ac:dyDescent="0.2">
      <c r="A141" s="1">
        <v>44091</v>
      </c>
      <c r="B141">
        <v>148.03999300000001</v>
      </c>
      <c r="C141">
        <v>148.63000500000001</v>
      </c>
      <c r="D141">
        <v>146.050003</v>
      </c>
      <c r="E141">
        <v>147.16999799999999</v>
      </c>
      <c r="F141">
        <v>145.248672</v>
      </c>
      <c r="G141">
        <v>5461400</v>
      </c>
      <c r="I141">
        <f t="shared" si="8"/>
        <v>-8.2884222141710075E-3</v>
      </c>
      <c r="J141">
        <v>0</v>
      </c>
      <c r="K141">
        <f t="shared" si="6"/>
        <v>-8.2884222141710075E-3</v>
      </c>
      <c r="L141">
        <f t="shared" si="7"/>
        <v>-0.82884222141710073</v>
      </c>
      <c r="M141">
        <v>-0.85</v>
      </c>
    </row>
    <row r="142" spans="1:13" x14ac:dyDescent="0.2">
      <c r="A142" s="1">
        <v>44092</v>
      </c>
      <c r="B142">
        <v>146.509995</v>
      </c>
      <c r="C142">
        <v>149.64999399999999</v>
      </c>
      <c r="D142">
        <v>146.199997</v>
      </c>
      <c r="E142">
        <v>149.179993</v>
      </c>
      <c r="F142">
        <v>147.23242200000001</v>
      </c>
      <c r="G142">
        <v>12174000</v>
      </c>
      <c r="I142">
        <f t="shared" si="8"/>
        <v>1.3657611960817204E-2</v>
      </c>
      <c r="J142">
        <v>0</v>
      </c>
      <c r="K142">
        <f t="shared" si="6"/>
        <v>1.3657611960817204E-2</v>
      </c>
      <c r="L142">
        <f t="shared" si="7"/>
        <v>1.3657611960817204</v>
      </c>
      <c r="M142">
        <v>-0.88</v>
      </c>
    </row>
    <row r="143" spans="1:13" x14ac:dyDescent="0.2">
      <c r="A143" s="1">
        <v>44095</v>
      </c>
      <c r="B143">
        <v>147.58000200000001</v>
      </c>
      <c r="C143">
        <v>147.929993</v>
      </c>
      <c r="D143">
        <v>142.96000699999999</v>
      </c>
      <c r="E143">
        <v>145.10000600000001</v>
      </c>
      <c r="F143">
        <v>143.20571899999999</v>
      </c>
      <c r="G143">
        <v>7574500</v>
      </c>
      <c r="I143">
        <f t="shared" si="8"/>
        <v>-2.7349295388212968E-2</v>
      </c>
      <c r="J143">
        <v>0</v>
      </c>
      <c r="K143">
        <f t="shared" si="6"/>
        <v>-2.7349295388212968E-2</v>
      </c>
      <c r="L143">
        <f t="shared" si="7"/>
        <v>-2.7349295388212966</v>
      </c>
      <c r="M143">
        <v>-1.08</v>
      </c>
    </row>
    <row r="144" spans="1:13" x14ac:dyDescent="0.2">
      <c r="A144" s="1">
        <v>44096</v>
      </c>
      <c r="B144">
        <v>144.69000199999999</v>
      </c>
      <c r="C144">
        <v>145.35000600000001</v>
      </c>
      <c r="D144">
        <v>143.720001</v>
      </c>
      <c r="E144">
        <v>144.21000699999999</v>
      </c>
      <c r="F144">
        <v>142.32733200000001</v>
      </c>
      <c r="G144">
        <v>5295900</v>
      </c>
      <c r="I144">
        <f t="shared" si="8"/>
        <v>-6.1337424659693596E-3</v>
      </c>
      <c r="J144">
        <v>0</v>
      </c>
      <c r="K144">
        <f t="shared" si="6"/>
        <v>-6.1337424659693596E-3</v>
      </c>
      <c r="L144">
        <f t="shared" si="7"/>
        <v>-0.61337424659693596</v>
      </c>
      <c r="M144">
        <v>1.02</v>
      </c>
    </row>
    <row r="145" spans="1:13" x14ac:dyDescent="0.2">
      <c r="A145" s="1">
        <v>44097</v>
      </c>
      <c r="B145">
        <v>147.479996</v>
      </c>
      <c r="C145">
        <v>147.550003</v>
      </c>
      <c r="D145">
        <v>144.38000500000001</v>
      </c>
      <c r="E145">
        <v>144.44000199999999</v>
      </c>
      <c r="F145">
        <v>142.55432099999999</v>
      </c>
      <c r="G145">
        <v>8784400</v>
      </c>
      <c r="I145">
        <f t="shared" si="8"/>
        <v>1.594837736436841E-3</v>
      </c>
      <c r="J145">
        <v>0</v>
      </c>
      <c r="K145">
        <f t="shared" si="6"/>
        <v>1.594837736436841E-3</v>
      </c>
      <c r="L145">
        <f t="shared" si="7"/>
        <v>0.1594837736436841</v>
      </c>
      <c r="M145">
        <v>-2.48</v>
      </c>
    </row>
    <row r="146" spans="1:13" x14ac:dyDescent="0.2">
      <c r="A146" s="1">
        <v>44098</v>
      </c>
      <c r="B146">
        <v>144.55999800000001</v>
      </c>
      <c r="C146">
        <v>145.25</v>
      </c>
      <c r="D146">
        <v>143.33999600000001</v>
      </c>
      <c r="E146">
        <v>144.66999799999999</v>
      </c>
      <c r="F146">
        <v>142.78131099999999</v>
      </c>
      <c r="G146">
        <v>5614800</v>
      </c>
      <c r="I146">
        <f t="shared" si="8"/>
        <v>1.5923052939237157E-3</v>
      </c>
      <c r="J146">
        <v>0</v>
      </c>
      <c r="K146">
        <f t="shared" si="6"/>
        <v>1.5923052939237157E-3</v>
      </c>
      <c r="L146">
        <f t="shared" si="7"/>
        <v>0.15923052939237156</v>
      </c>
      <c r="M146">
        <v>0.25</v>
      </c>
    </row>
    <row r="147" spans="1:13" x14ac:dyDescent="0.2">
      <c r="A147" s="1">
        <v>44099</v>
      </c>
      <c r="B147">
        <v>144</v>
      </c>
      <c r="C147">
        <v>146.25</v>
      </c>
      <c r="D147">
        <v>143.88999899999999</v>
      </c>
      <c r="E147">
        <v>145.66000399999999</v>
      </c>
      <c r="F147">
        <v>143.75839199999999</v>
      </c>
      <c r="G147">
        <v>5531200</v>
      </c>
      <c r="I147">
        <f t="shared" si="8"/>
        <v>6.8431995277028826E-3</v>
      </c>
      <c r="J147">
        <v>0</v>
      </c>
      <c r="K147">
        <f t="shared" si="6"/>
        <v>6.8431995277028826E-3</v>
      </c>
      <c r="L147">
        <f t="shared" si="7"/>
        <v>0.68431995277028823</v>
      </c>
      <c r="M147">
        <v>1.72</v>
      </c>
    </row>
    <row r="148" spans="1:13" x14ac:dyDescent="0.2">
      <c r="A148" s="1">
        <v>44102</v>
      </c>
      <c r="B148">
        <v>146.729996</v>
      </c>
      <c r="C148">
        <v>148.28999300000001</v>
      </c>
      <c r="D148">
        <v>146.41999799999999</v>
      </c>
      <c r="E148">
        <v>147.11000100000001</v>
      </c>
      <c r="F148">
        <v>145.18946800000001</v>
      </c>
      <c r="G148">
        <v>5843200</v>
      </c>
      <c r="I148">
        <f t="shared" si="8"/>
        <v>9.9547301558577453E-3</v>
      </c>
      <c r="J148">
        <v>0</v>
      </c>
      <c r="K148">
        <f t="shared" si="6"/>
        <v>9.9547301558577453E-3</v>
      </c>
      <c r="L148">
        <f t="shared" si="7"/>
        <v>0.9954730155857745</v>
      </c>
      <c r="M148">
        <v>1.66</v>
      </c>
    </row>
    <row r="149" spans="1:13" x14ac:dyDescent="0.2">
      <c r="A149" s="1">
        <v>44103</v>
      </c>
      <c r="B149">
        <v>147.60000600000001</v>
      </c>
      <c r="C149">
        <v>147.91999799999999</v>
      </c>
      <c r="D149">
        <v>146.05999800000001</v>
      </c>
      <c r="E149">
        <v>147.05999800000001</v>
      </c>
      <c r="F149">
        <v>145.140106</v>
      </c>
      <c r="G149">
        <v>6768600</v>
      </c>
      <c r="I149">
        <f t="shared" si="8"/>
        <v>-3.3998333818539871E-4</v>
      </c>
      <c r="J149">
        <v>0</v>
      </c>
      <c r="K149">
        <f t="shared" si="6"/>
        <v>-3.3998333818539871E-4</v>
      </c>
      <c r="L149">
        <f t="shared" si="7"/>
        <v>-3.3998333818539873E-2</v>
      </c>
      <c r="M149">
        <v>-0.42</v>
      </c>
    </row>
    <row r="150" spans="1:13" x14ac:dyDescent="0.2">
      <c r="A150" s="1">
        <v>44104</v>
      </c>
      <c r="B150">
        <v>147.449997</v>
      </c>
      <c r="C150">
        <v>149.729996</v>
      </c>
      <c r="D150">
        <v>146.83999600000001</v>
      </c>
      <c r="E150">
        <v>148.88000500000001</v>
      </c>
      <c r="F150">
        <v>146.93635599999999</v>
      </c>
      <c r="G150">
        <v>8487700</v>
      </c>
      <c r="I150">
        <f t="shared" si="8"/>
        <v>1.2375972772129479E-2</v>
      </c>
      <c r="J150">
        <v>0</v>
      </c>
      <c r="K150">
        <f t="shared" si="6"/>
        <v>1.2375972772129479E-2</v>
      </c>
      <c r="L150">
        <f t="shared" si="7"/>
        <v>1.237597277212948</v>
      </c>
      <c r="M150">
        <v>0.79</v>
      </c>
    </row>
    <row r="151" spans="1:13" x14ac:dyDescent="0.2">
      <c r="A151" s="1">
        <v>44105</v>
      </c>
      <c r="B151">
        <v>149.30999800000001</v>
      </c>
      <c r="C151">
        <v>149.64999399999999</v>
      </c>
      <c r="D151">
        <v>146.46000699999999</v>
      </c>
      <c r="E151">
        <v>147.320007</v>
      </c>
      <c r="F151">
        <v>145.39672899999999</v>
      </c>
      <c r="G151">
        <v>6457800</v>
      </c>
      <c r="I151">
        <f t="shared" si="8"/>
        <v>-1.0478189618367805E-2</v>
      </c>
      <c r="J151">
        <v>0</v>
      </c>
      <c r="K151">
        <f t="shared" si="6"/>
        <v>-1.0478189618367805E-2</v>
      </c>
      <c r="L151">
        <f t="shared" si="7"/>
        <v>-1.0478189618367806</v>
      </c>
      <c r="M151">
        <v>0.79</v>
      </c>
    </row>
    <row r="152" spans="1:13" x14ac:dyDescent="0.2">
      <c r="A152" s="1">
        <v>44106</v>
      </c>
      <c r="B152">
        <v>146.21000699999999</v>
      </c>
      <c r="C152">
        <v>148.41000399999999</v>
      </c>
      <c r="D152">
        <v>145.83000200000001</v>
      </c>
      <c r="E152">
        <v>146.240005</v>
      </c>
      <c r="F152">
        <v>144.330826</v>
      </c>
      <c r="G152">
        <v>5485600</v>
      </c>
      <c r="I152">
        <f t="shared" si="8"/>
        <v>-7.3309971092952965E-3</v>
      </c>
      <c r="J152">
        <v>0</v>
      </c>
      <c r="K152">
        <f t="shared" si="6"/>
        <v>-7.3309971092952965E-3</v>
      </c>
      <c r="L152">
        <f t="shared" si="7"/>
        <v>-0.73309971092952964</v>
      </c>
      <c r="M152">
        <v>-0.96</v>
      </c>
    </row>
    <row r="153" spans="1:13" x14ac:dyDescent="0.2">
      <c r="A153" s="1">
        <v>44109</v>
      </c>
      <c r="B153">
        <v>147</v>
      </c>
      <c r="C153">
        <v>148.38000500000001</v>
      </c>
      <c r="D153">
        <v>146.41999799999999</v>
      </c>
      <c r="E153">
        <v>148.229996</v>
      </c>
      <c r="F153">
        <v>146.29482999999999</v>
      </c>
      <c r="G153">
        <v>4992800</v>
      </c>
      <c r="I153">
        <f t="shared" si="8"/>
        <v>1.3607654403640623E-2</v>
      </c>
      <c r="J153">
        <v>0</v>
      </c>
      <c r="K153">
        <f t="shared" si="6"/>
        <v>1.3607654403640623E-2</v>
      </c>
      <c r="L153">
        <f t="shared" si="7"/>
        <v>1.3607654403640623</v>
      </c>
      <c r="M153">
        <v>1.93</v>
      </c>
    </row>
    <row r="154" spans="1:13" x14ac:dyDescent="0.2">
      <c r="A154" s="1">
        <v>44110</v>
      </c>
      <c r="B154">
        <v>148.279999</v>
      </c>
      <c r="C154">
        <v>148.61000100000001</v>
      </c>
      <c r="D154">
        <v>145.86999499999999</v>
      </c>
      <c r="E154">
        <v>146.259995</v>
      </c>
      <c r="F154">
        <v>144.35055500000001</v>
      </c>
      <c r="G154">
        <v>5118200</v>
      </c>
      <c r="I154">
        <f t="shared" si="8"/>
        <v>-1.3290114216612961E-2</v>
      </c>
      <c r="J154">
        <v>0</v>
      </c>
      <c r="K154">
        <f t="shared" si="6"/>
        <v>-1.3290114216612961E-2</v>
      </c>
      <c r="L154">
        <f t="shared" si="7"/>
        <v>-1.329011421661296</v>
      </c>
      <c r="M154">
        <v>-1.28</v>
      </c>
    </row>
    <row r="155" spans="1:13" x14ac:dyDescent="0.2">
      <c r="A155" s="1">
        <v>44111</v>
      </c>
      <c r="B155">
        <v>146.490005</v>
      </c>
      <c r="C155">
        <v>148.229996</v>
      </c>
      <c r="D155">
        <v>145.80999800000001</v>
      </c>
      <c r="E155">
        <v>147.88000500000001</v>
      </c>
      <c r="F155">
        <v>145.94941700000001</v>
      </c>
      <c r="G155">
        <v>5603100</v>
      </c>
      <c r="I155">
        <f t="shared" si="8"/>
        <v>1.1076244216726405E-2</v>
      </c>
      <c r="J155">
        <v>0</v>
      </c>
      <c r="K155">
        <f t="shared" si="6"/>
        <v>1.1076244216726405E-2</v>
      </c>
      <c r="L155">
        <f t="shared" si="7"/>
        <v>1.1076244216726405</v>
      </c>
      <c r="M155">
        <v>1.84</v>
      </c>
    </row>
    <row r="156" spans="1:13" x14ac:dyDescent="0.2">
      <c r="A156" s="1">
        <v>44112</v>
      </c>
      <c r="B156">
        <v>148.5</v>
      </c>
      <c r="C156">
        <v>149.85000600000001</v>
      </c>
      <c r="D156">
        <v>148.03999300000001</v>
      </c>
      <c r="E156">
        <v>148.88999899999999</v>
      </c>
      <c r="F156">
        <v>146.946213</v>
      </c>
      <c r="G156">
        <v>4413500</v>
      </c>
      <c r="I156">
        <f t="shared" si="8"/>
        <v>6.8297360858932997E-3</v>
      </c>
      <c r="J156">
        <v>0</v>
      </c>
      <c r="K156">
        <f t="shared" si="6"/>
        <v>6.8297360858932997E-3</v>
      </c>
      <c r="L156">
        <f t="shared" si="7"/>
        <v>0.68297360858932998</v>
      </c>
      <c r="M156">
        <v>0.8</v>
      </c>
    </row>
    <row r="157" spans="1:13" x14ac:dyDescent="0.2">
      <c r="A157" s="1">
        <v>44113</v>
      </c>
      <c r="B157">
        <v>149.64999399999999</v>
      </c>
      <c r="C157">
        <v>151.479996</v>
      </c>
      <c r="D157">
        <v>149.449997</v>
      </c>
      <c r="E157">
        <v>150.970001</v>
      </c>
      <c r="F157">
        <v>148.99906899999999</v>
      </c>
      <c r="G157">
        <v>5054100</v>
      </c>
      <c r="I157">
        <f t="shared" si="8"/>
        <v>1.397011844054798E-2</v>
      </c>
      <c r="J157">
        <v>0</v>
      </c>
      <c r="K157">
        <f t="shared" si="6"/>
        <v>1.397011844054798E-2</v>
      </c>
      <c r="L157">
        <f t="shared" si="7"/>
        <v>1.3970118440547981</v>
      </c>
      <c r="M157">
        <v>0.93</v>
      </c>
    </row>
    <row r="158" spans="1:13" x14ac:dyDescent="0.2">
      <c r="A158" s="1">
        <v>44116</v>
      </c>
      <c r="B158">
        <v>151.60000600000001</v>
      </c>
      <c r="C158">
        <v>153.13999899999999</v>
      </c>
      <c r="D158">
        <v>151.020004</v>
      </c>
      <c r="E158">
        <v>151.83999600000001</v>
      </c>
      <c r="F158">
        <v>149.857697</v>
      </c>
      <c r="G158">
        <v>7273200</v>
      </c>
      <c r="I158">
        <f t="shared" si="8"/>
        <v>5.7626400336770571E-3</v>
      </c>
      <c r="J158">
        <v>0</v>
      </c>
      <c r="K158">
        <f t="shared" si="6"/>
        <v>5.7626400336770571E-3</v>
      </c>
      <c r="L158">
        <f t="shared" si="7"/>
        <v>0.57626400336770567</v>
      </c>
      <c r="M158">
        <v>1.53</v>
      </c>
    </row>
    <row r="159" spans="1:13" x14ac:dyDescent="0.2">
      <c r="A159" s="1">
        <v>44117</v>
      </c>
      <c r="B159">
        <v>149</v>
      </c>
      <c r="C159">
        <v>150.11999499999999</v>
      </c>
      <c r="D159">
        <v>147.770004</v>
      </c>
      <c r="E159">
        <v>148.36000100000001</v>
      </c>
      <c r="F159">
        <v>146.42314099999999</v>
      </c>
      <c r="G159">
        <v>11057600</v>
      </c>
      <c r="I159">
        <f t="shared" si="8"/>
        <v>-2.2918782743605186E-2</v>
      </c>
      <c r="J159">
        <v>0</v>
      </c>
      <c r="K159">
        <f t="shared" si="6"/>
        <v>-2.2918782743605186E-2</v>
      </c>
      <c r="L159">
        <f t="shared" si="7"/>
        <v>-2.2918782743605188</v>
      </c>
      <c r="M159">
        <v>-0.41</v>
      </c>
    </row>
    <row r="160" spans="1:13" x14ac:dyDescent="0.2">
      <c r="A160" s="1">
        <v>44118</v>
      </c>
      <c r="B160">
        <v>148.820007</v>
      </c>
      <c r="C160">
        <v>149.029999</v>
      </c>
      <c r="D160">
        <v>147.38999899999999</v>
      </c>
      <c r="E160">
        <v>148.10000600000001</v>
      </c>
      <c r="F160">
        <v>146.16655</v>
      </c>
      <c r="G160">
        <v>7707000</v>
      </c>
      <c r="I160">
        <f t="shared" si="8"/>
        <v>-1.7523937695065976E-3</v>
      </c>
      <c r="J160">
        <v>0</v>
      </c>
      <c r="K160">
        <f t="shared" si="6"/>
        <v>-1.7523937695065976E-3</v>
      </c>
      <c r="L160">
        <f t="shared" si="7"/>
        <v>-0.17523937695065978</v>
      </c>
      <c r="M160">
        <v>-0.65</v>
      </c>
    </row>
    <row r="161" spans="1:13" x14ac:dyDescent="0.2">
      <c r="A161" s="1">
        <v>44119</v>
      </c>
      <c r="B161">
        <v>147.479996</v>
      </c>
      <c r="C161">
        <v>147.89999399999999</v>
      </c>
      <c r="D161">
        <v>146.33000200000001</v>
      </c>
      <c r="E161">
        <v>147.19000199999999</v>
      </c>
      <c r="F161">
        <v>145.268417</v>
      </c>
      <c r="G161">
        <v>5978600</v>
      </c>
      <c r="I161">
        <f t="shared" si="8"/>
        <v>-6.1445864323951098E-3</v>
      </c>
      <c r="J161">
        <v>0</v>
      </c>
      <c r="K161">
        <f t="shared" si="6"/>
        <v>-6.1445864323951098E-3</v>
      </c>
      <c r="L161">
        <f t="shared" si="7"/>
        <v>-0.61445864323951094</v>
      </c>
      <c r="M161">
        <v>-0.08</v>
      </c>
    </row>
    <row r="162" spans="1:13" x14ac:dyDescent="0.2">
      <c r="A162" s="1">
        <v>44120</v>
      </c>
      <c r="B162">
        <v>147.60000600000001</v>
      </c>
      <c r="C162">
        <v>148.759995</v>
      </c>
      <c r="D162">
        <v>147.009995</v>
      </c>
      <c r="E162">
        <v>148.10000600000001</v>
      </c>
      <c r="F162">
        <v>146.16655</v>
      </c>
      <c r="G162">
        <v>6097000</v>
      </c>
      <c r="I162">
        <f t="shared" si="8"/>
        <v>6.1825758037963707E-3</v>
      </c>
      <c r="J162">
        <v>0</v>
      </c>
      <c r="K162">
        <f t="shared" si="6"/>
        <v>6.1825758037963707E-3</v>
      </c>
      <c r="L162">
        <f t="shared" si="7"/>
        <v>0.61825758037963707</v>
      </c>
      <c r="M162">
        <v>-0.06</v>
      </c>
    </row>
    <row r="163" spans="1:13" x14ac:dyDescent="0.2">
      <c r="A163" s="1">
        <v>44123</v>
      </c>
      <c r="B163">
        <v>148.529999</v>
      </c>
      <c r="C163">
        <v>148.89999399999999</v>
      </c>
      <c r="D163">
        <v>144.13000500000001</v>
      </c>
      <c r="E163">
        <v>144.320007</v>
      </c>
      <c r="F163">
        <v>142.43588299999999</v>
      </c>
      <c r="G163">
        <v>7250800</v>
      </c>
      <c r="I163">
        <f t="shared" si="8"/>
        <v>-2.5523397795186458E-2</v>
      </c>
      <c r="J163">
        <v>0</v>
      </c>
      <c r="K163">
        <f t="shared" si="6"/>
        <v>-2.5523397795186458E-2</v>
      </c>
      <c r="L163">
        <f t="shared" si="7"/>
        <v>-2.552339779518646</v>
      </c>
      <c r="M163">
        <v>-1.53</v>
      </c>
    </row>
    <row r="164" spans="1:13" x14ac:dyDescent="0.2">
      <c r="A164" s="1">
        <v>44124</v>
      </c>
      <c r="B164">
        <v>144.66000399999999</v>
      </c>
      <c r="C164">
        <v>145.75</v>
      </c>
      <c r="D164">
        <v>144.11999499999999</v>
      </c>
      <c r="E164">
        <v>144.550003</v>
      </c>
      <c r="F164">
        <v>142.66288800000001</v>
      </c>
      <c r="G164">
        <v>5325400</v>
      </c>
      <c r="I164">
        <f t="shared" si="8"/>
        <v>1.5937346349727034E-3</v>
      </c>
      <c r="J164">
        <v>0</v>
      </c>
      <c r="K164">
        <f t="shared" si="6"/>
        <v>1.5937346349727034E-3</v>
      </c>
      <c r="L164">
        <f t="shared" si="7"/>
        <v>0.15937346349727033</v>
      </c>
      <c r="M164">
        <v>0.34</v>
      </c>
    </row>
    <row r="165" spans="1:13" x14ac:dyDescent="0.2">
      <c r="A165" s="1">
        <v>44125</v>
      </c>
      <c r="B165">
        <v>144.11999499999999</v>
      </c>
      <c r="C165">
        <v>145.33999600000001</v>
      </c>
      <c r="D165">
        <v>143.91000399999999</v>
      </c>
      <c r="E165">
        <v>143.929993</v>
      </c>
      <c r="F165">
        <v>142.05098000000001</v>
      </c>
      <c r="G165">
        <v>5221300</v>
      </c>
      <c r="I165">
        <f t="shared" si="8"/>
        <v>-4.2891883697181261E-3</v>
      </c>
      <c r="J165">
        <v>0</v>
      </c>
      <c r="K165">
        <f t="shared" si="6"/>
        <v>-4.2891883697181261E-3</v>
      </c>
      <c r="L165">
        <f t="shared" si="7"/>
        <v>-0.4289188369718126</v>
      </c>
      <c r="M165">
        <v>-0.36</v>
      </c>
    </row>
    <row r="166" spans="1:13" x14ac:dyDescent="0.2">
      <c r="A166" s="1">
        <v>44126</v>
      </c>
      <c r="B166">
        <v>144.16000399999999</v>
      </c>
      <c r="C166">
        <v>145.69000199999999</v>
      </c>
      <c r="D166">
        <v>143.83999600000001</v>
      </c>
      <c r="E166">
        <v>145.08000200000001</v>
      </c>
      <c r="F166">
        <v>143.18597399999999</v>
      </c>
      <c r="G166">
        <v>5279700</v>
      </c>
      <c r="I166">
        <f t="shared" si="8"/>
        <v>7.9900469535653853E-3</v>
      </c>
      <c r="J166">
        <v>0</v>
      </c>
      <c r="K166">
        <f t="shared" si="6"/>
        <v>7.9900469535653853E-3</v>
      </c>
      <c r="L166">
        <f t="shared" si="7"/>
        <v>0.79900469535653851</v>
      </c>
      <c r="M166">
        <v>0.67</v>
      </c>
    </row>
    <row r="167" spans="1:13" x14ac:dyDescent="0.2">
      <c r="A167" s="1">
        <v>44127</v>
      </c>
      <c r="B167">
        <v>145.88000500000001</v>
      </c>
      <c r="C167">
        <v>147.470001</v>
      </c>
      <c r="D167">
        <v>144.35000600000001</v>
      </c>
      <c r="E167">
        <v>145.240005</v>
      </c>
      <c r="F167">
        <v>143.343872</v>
      </c>
      <c r="G167">
        <v>4154400</v>
      </c>
      <c r="I167">
        <f t="shared" si="8"/>
        <v>1.1027476755510789E-3</v>
      </c>
      <c r="J167">
        <v>0</v>
      </c>
      <c r="K167">
        <f t="shared" si="6"/>
        <v>1.1027476755510789E-3</v>
      </c>
      <c r="L167">
        <f t="shared" si="7"/>
        <v>0.11027476755510789</v>
      </c>
      <c r="M167">
        <v>0.38</v>
      </c>
    </row>
    <row r="168" spans="1:13" x14ac:dyDescent="0.2">
      <c r="A168" s="1">
        <v>44130</v>
      </c>
      <c r="B168">
        <v>144.429993</v>
      </c>
      <c r="C168">
        <v>144.770004</v>
      </c>
      <c r="D168">
        <v>142.75</v>
      </c>
      <c r="E168">
        <v>143.970001</v>
      </c>
      <c r="F168">
        <v>142.09046900000001</v>
      </c>
      <c r="G168">
        <v>6929500</v>
      </c>
      <c r="I168">
        <f t="shared" si="8"/>
        <v>-8.7440291831937644E-3</v>
      </c>
      <c r="J168">
        <v>0</v>
      </c>
      <c r="K168">
        <f t="shared" si="6"/>
        <v>-8.7440291831937644E-3</v>
      </c>
      <c r="L168">
        <f t="shared" si="7"/>
        <v>-0.87440291831937644</v>
      </c>
      <c r="M168">
        <v>-1.85</v>
      </c>
    </row>
    <row r="169" spans="1:13" x14ac:dyDescent="0.2">
      <c r="A169" s="1">
        <v>44131</v>
      </c>
      <c r="B169">
        <v>143.740005</v>
      </c>
      <c r="C169">
        <v>144.28999300000001</v>
      </c>
      <c r="D169">
        <v>142.91999799999999</v>
      </c>
      <c r="E169">
        <v>143.14999399999999</v>
      </c>
      <c r="F169">
        <v>141.28114299999999</v>
      </c>
      <c r="G169">
        <v>4890100</v>
      </c>
      <c r="I169">
        <f t="shared" si="8"/>
        <v>-5.6958500151057072E-3</v>
      </c>
      <c r="J169">
        <v>0</v>
      </c>
      <c r="K169">
        <f t="shared" si="6"/>
        <v>-5.6958500151057072E-3</v>
      </c>
      <c r="L169">
        <f t="shared" si="7"/>
        <v>-0.56958500151057068</v>
      </c>
      <c r="M169">
        <v>-0.23</v>
      </c>
    </row>
    <row r="170" spans="1:13" x14ac:dyDescent="0.2">
      <c r="A170" s="1">
        <v>44132</v>
      </c>
      <c r="B170">
        <v>141.429993</v>
      </c>
      <c r="C170">
        <v>141.979996</v>
      </c>
      <c r="D170">
        <v>138.179993</v>
      </c>
      <c r="E170">
        <v>138.36000100000001</v>
      </c>
      <c r="F170">
        <v>136.553696</v>
      </c>
      <c r="G170">
        <v>8426100</v>
      </c>
      <c r="I170">
        <f t="shared" si="8"/>
        <v>-3.3461273738420873E-2</v>
      </c>
      <c r="J170">
        <v>0</v>
      </c>
      <c r="K170">
        <f t="shared" si="6"/>
        <v>-3.3461273738420873E-2</v>
      </c>
      <c r="L170">
        <f t="shared" si="7"/>
        <v>-3.3461273738420871</v>
      </c>
      <c r="M170">
        <v>-3.41</v>
      </c>
    </row>
    <row r="171" spans="1:13" x14ac:dyDescent="0.2">
      <c r="A171" s="1">
        <v>44133</v>
      </c>
      <c r="B171">
        <v>138</v>
      </c>
      <c r="C171">
        <v>138.699997</v>
      </c>
      <c r="D171">
        <v>136.050003</v>
      </c>
      <c r="E171">
        <v>137.19000199999999</v>
      </c>
      <c r="F171">
        <v>135.39897199999999</v>
      </c>
      <c r="G171">
        <v>7205400</v>
      </c>
      <c r="I171">
        <f t="shared" si="8"/>
        <v>-8.4561900104118438E-3</v>
      </c>
      <c r="J171">
        <v>0</v>
      </c>
      <c r="K171">
        <f t="shared" si="6"/>
        <v>-8.4561900104118438E-3</v>
      </c>
      <c r="L171">
        <f t="shared" si="7"/>
        <v>-0.84561900104118437</v>
      </c>
      <c r="M171">
        <v>1.1299999999999999</v>
      </c>
    </row>
    <row r="172" spans="1:13" x14ac:dyDescent="0.2">
      <c r="A172" s="1">
        <v>44134</v>
      </c>
      <c r="B172">
        <v>136.679993</v>
      </c>
      <c r="C172">
        <v>137.53999300000001</v>
      </c>
      <c r="D172">
        <v>133.64999399999999</v>
      </c>
      <c r="E172">
        <v>137.11000100000001</v>
      </c>
      <c r="F172">
        <v>135.320007</v>
      </c>
      <c r="G172">
        <v>7364100</v>
      </c>
      <c r="I172">
        <f t="shared" si="8"/>
        <v>-5.8320235991143584E-4</v>
      </c>
      <c r="J172">
        <v>0</v>
      </c>
      <c r="K172">
        <f t="shared" si="6"/>
        <v>-5.8320235991143584E-4</v>
      </c>
      <c r="L172">
        <f t="shared" si="7"/>
        <v>-5.8320235991143582E-2</v>
      </c>
      <c r="M172">
        <v>-1.45</v>
      </c>
    </row>
    <row r="173" spans="1:13" x14ac:dyDescent="0.2">
      <c r="A173" s="1">
        <v>44137</v>
      </c>
      <c r="B173">
        <v>138.979996</v>
      </c>
      <c r="C173">
        <v>139.009995</v>
      </c>
      <c r="D173">
        <v>137.490005</v>
      </c>
      <c r="E173">
        <v>138.69000199999999</v>
      </c>
      <c r="F173">
        <v>136.879379</v>
      </c>
      <c r="G173">
        <v>7088000</v>
      </c>
      <c r="I173">
        <f t="shared" si="8"/>
        <v>1.1523587934783332E-2</v>
      </c>
      <c r="J173">
        <v>0</v>
      </c>
      <c r="K173">
        <f t="shared" si="6"/>
        <v>1.1523587934783332E-2</v>
      </c>
      <c r="L173">
        <f t="shared" si="7"/>
        <v>1.1523587934783333</v>
      </c>
      <c r="M173">
        <v>1.17</v>
      </c>
    </row>
    <row r="174" spans="1:13" x14ac:dyDescent="0.2">
      <c r="A174" s="1">
        <v>44138</v>
      </c>
      <c r="B174">
        <v>140.020004</v>
      </c>
      <c r="C174">
        <v>140.96000699999999</v>
      </c>
      <c r="D174">
        <v>137.779999</v>
      </c>
      <c r="E174">
        <v>138.5</v>
      </c>
      <c r="F174">
        <v>136.69186400000001</v>
      </c>
      <c r="G174">
        <v>6363000</v>
      </c>
      <c r="I174">
        <f t="shared" si="8"/>
        <v>-1.3699287750274681E-3</v>
      </c>
      <c r="J174">
        <v>0</v>
      </c>
      <c r="K174">
        <f t="shared" si="6"/>
        <v>-1.3699287750274681E-3</v>
      </c>
      <c r="L174">
        <f t="shared" si="7"/>
        <v>-0.1369928775027468</v>
      </c>
      <c r="M174">
        <v>1.93</v>
      </c>
    </row>
    <row r="175" spans="1:13" x14ac:dyDescent="0.2">
      <c r="A175" s="1">
        <v>44139</v>
      </c>
      <c r="B175">
        <v>139.490005</v>
      </c>
      <c r="C175">
        <v>142.53999300000001</v>
      </c>
      <c r="D175">
        <v>138.699997</v>
      </c>
      <c r="E175">
        <v>139.39999399999999</v>
      </c>
      <c r="F175">
        <v>137.58010899999999</v>
      </c>
      <c r="G175">
        <v>10263500</v>
      </c>
      <c r="I175">
        <f t="shared" si="8"/>
        <v>6.4981555888358024E-3</v>
      </c>
      <c r="J175">
        <v>0</v>
      </c>
      <c r="K175">
        <f t="shared" si="6"/>
        <v>6.4981555888358024E-3</v>
      </c>
      <c r="L175">
        <f t="shared" si="7"/>
        <v>0.64981555888358022</v>
      </c>
      <c r="M175">
        <v>2.25</v>
      </c>
    </row>
    <row r="176" spans="1:13" x14ac:dyDescent="0.2">
      <c r="A176" s="1">
        <v>44140</v>
      </c>
      <c r="B176">
        <v>140.550003</v>
      </c>
      <c r="C176">
        <v>141.83000200000001</v>
      </c>
      <c r="D176">
        <v>139.259995</v>
      </c>
      <c r="E176">
        <v>139.759995</v>
      </c>
      <c r="F176">
        <v>137.93542500000001</v>
      </c>
      <c r="G176">
        <v>8016200</v>
      </c>
      <c r="I176">
        <f t="shared" si="8"/>
        <v>2.5826117058826881E-3</v>
      </c>
      <c r="J176">
        <v>0</v>
      </c>
      <c r="K176">
        <f t="shared" si="6"/>
        <v>2.5826117058826881E-3</v>
      </c>
      <c r="L176">
        <f t="shared" si="7"/>
        <v>0.25826117058826881</v>
      </c>
      <c r="M176">
        <v>2.13</v>
      </c>
    </row>
    <row r="177" spans="1:13" x14ac:dyDescent="0.2">
      <c r="A177" s="1">
        <v>44141</v>
      </c>
      <c r="B177">
        <v>140.39999399999999</v>
      </c>
      <c r="C177">
        <v>143.19000199999999</v>
      </c>
      <c r="D177">
        <v>139.64999399999999</v>
      </c>
      <c r="E177">
        <v>142.25</v>
      </c>
      <c r="F177">
        <v>140.392899</v>
      </c>
      <c r="G177">
        <v>5942500</v>
      </c>
      <c r="I177">
        <f t="shared" si="8"/>
        <v>1.7816119390649577E-2</v>
      </c>
      <c r="J177">
        <v>0</v>
      </c>
      <c r="K177">
        <f t="shared" si="6"/>
        <v>1.7816119390649577E-2</v>
      </c>
      <c r="L177">
        <f t="shared" si="7"/>
        <v>1.7816119390649576</v>
      </c>
      <c r="M177">
        <v>0.01</v>
      </c>
    </row>
    <row r="178" spans="1:13" x14ac:dyDescent="0.2">
      <c r="A178" s="1">
        <v>44144</v>
      </c>
      <c r="B178">
        <v>148.429993</v>
      </c>
      <c r="C178">
        <v>148.990005</v>
      </c>
      <c r="D178">
        <v>144.91999799999999</v>
      </c>
      <c r="E178">
        <v>146.08000200000001</v>
      </c>
      <c r="F178">
        <v>144.17291299999999</v>
      </c>
      <c r="G178">
        <v>12351600</v>
      </c>
      <c r="I178">
        <f t="shared" si="8"/>
        <v>2.692453839848406E-2</v>
      </c>
      <c r="J178">
        <v>0</v>
      </c>
      <c r="K178">
        <f t="shared" si="6"/>
        <v>2.692453839848406E-2</v>
      </c>
      <c r="L178">
        <f t="shared" si="7"/>
        <v>2.6924538398484059</v>
      </c>
      <c r="M178">
        <v>0.82</v>
      </c>
    </row>
    <row r="179" spans="1:13" x14ac:dyDescent="0.2">
      <c r="A179" s="1">
        <v>44145</v>
      </c>
      <c r="B179">
        <v>147.25</v>
      </c>
      <c r="C179">
        <v>148.75</v>
      </c>
      <c r="D179">
        <v>146.259995</v>
      </c>
      <c r="E179">
        <v>148.279999</v>
      </c>
      <c r="F179">
        <v>146.344177</v>
      </c>
      <c r="G179">
        <v>7386500</v>
      </c>
      <c r="I179">
        <f t="shared" si="8"/>
        <v>1.5060138238311158E-2</v>
      </c>
      <c r="J179">
        <v>0</v>
      </c>
      <c r="K179">
        <f t="shared" si="6"/>
        <v>1.5060138238311158E-2</v>
      </c>
      <c r="L179">
        <f t="shared" si="7"/>
        <v>1.5060138238311158</v>
      </c>
      <c r="M179">
        <v>-0.17</v>
      </c>
    </row>
    <row r="180" spans="1:13" x14ac:dyDescent="0.2">
      <c r="A180" s="1">
        <v>44146</v>
      </c>
      <c r="B180">
        <v>149.16999799999999</v>
      </c>
      <c r="C180">
        <v>149.199997</v>
      </c>
      <c r="D180">
        <v>146.86000100000001</v>
      </c>
      <c r="E180">
        <v>147.800003</v>
      </c>
      <c r="F180">
        <v>145.870453</v>
      </c>
      <c r="G180">
        <v>6382400</v>
      </c>
      <c r="I180">
        <f t="shared" si="8"/>
        <v>-3.2370539758476637E-3</v>
      </c>
      <c r="J180">
        <v>0</v>
      </c>
      <c r="K180">
        <f t="shared" si="6"/>
        <v>-3.2370539758476637E-3</v>
      </c>
      <c r="L180">
        <f t="shared" si="7"/>
        <v>-0.32370539758476635</v>
      </c>
      <c r="M180">
        <v>0.88</v>
      </c>
    </row>
    <row r="181" spans="1:13" x14ac:dyDescent="0.2">
      <c r="A181" s="1">
        <v>44147</v>
      </c>
      <c r="B181">
        <v>147.61000100000001</v>
      </c>
      <c r="C181">
        <v>148.64999399999999</v>
      </c>
      <c r="D181">
        <v>146.75</v>
      </c>
      <c r="E181">
        <v>148.300003</v>
      </c>
      <c r="F181">
        <v>146.363922</v>
      </c>
      <c r="G181">
        <v>4710300</v>
      </c>
      <c r="I181">
        <f t="shared" si="8"/>
        <v>3.3829263558947378E-3</v>
      </c>
      <c r="J181">
        <v>0</v>
      </c>
      <c r="K181">
        <f t="shared" si="6"/>
        <v>3.3829263558947378E-3</v>
      </c>
      <c r="L181">
        <f t="shared" si="7"/>
        <v>0.33829263558947376</v>
      </c>
      <c r="M181">
        <v>-0.94</v>
      </c>
    </row>
    <row r="182" spans="1:13" x14ac:dyDescent="0.2">
      <c r="A182" s="1">
        <v>44148</v>
      </c>
      <c r="B182">
        <v>149.08999600000001</v>
      </c>
      <c r="C182">
        <v>150.41000399999999</v>
      </c>
      <c r="D182">
        <v>148.41000399999999</v>
      </c>
      <c r="E182">
        <v>149.89999399999999</v>
      </c>
      <c r="F182">
        <v>147.943039</v>
      </c>
      <c r="G182">
        <v>5893500</v>
      </c>
      <c r="I182">
        <f t="shared" si="8"/>
        <v>1.078897708138756E-2</v>
      </c>
      <c r="J182">
        <v>0</v>
      </c>
      <c r="K182">
        <f t="shared" si="6"/>
        <v>1.078897708138756E-2</v>
      </c>
      <c r="L182">
        <f t="shared" si="7"/>
        <v>1.0788977081387561</v>
      </c>
      <c r="M182">
        <v>1.31</v>
      </c>
    </row>
    <row r="183" spans="1:13" x14ac:dyDescent="0.2">
      <c r="A183" s="1">
        <v>44151</v>
      </c>
      <c r="B183">
        <v>150.91999799999999</v>
      </c>
      <c r="C183">
        <v>151.300003</v>
      </c>
      <c r="D183">
        <v>149.800003</v>
      </c>
      <c r="E183">
        <v>150.85000600000001</v>
      </c>
      <c r="F183">
        <v>148.88064600000001</v>
      </c>
      <c r="G183">
        <v>6266400</v>
      </c>
      <c r="I183">
        <f t="shared" si="8"/>
        <v>6.3376216031361511E-3</v>
      </c>
      <c r="J183">
        <v>0</v>
      </c>
      <c r="K183">
        <f t="shared" si="6"/>
        <v>6.3376216031361511E-3</v>
      </c>
      <c r="L183">
        <f t="shared" si="7"/>
        <v>0.6337621603136151</v>
      </c>
      <c r="M183">
        <v>1.22</v>
      </c>
    </row>
    <row r="184" spans="1:13" x14ac:dyDescent="0.2">
      <c r="A184" s="1">
        <v>44152</v>
      </c>
      <c r="B184">
        <v>150</v>
      </c>
      <c r="C184">
        <v>150.63000500000001</v>
      </c>
      <c r="D184">
        <v>149.11999499999999</v>
      </c>
      <c r="E184">
        <v>149.35000600000001</v>
      </c>
      <c r="F184">
        <v>147.40022300000001</v>
      </c>
      <c r="G184">
        <v>7297700</v>
      </c>
      <c r="I184">
        <f t="shared" si="8"/>
        <v>-9.9436900616350198E-3</v>
      </c>
      <c r="J184">
        <v>0</v>
      </c>
      <c r="K184">
        <f t="shared" si="6"/>
        <v>-9.9436900616350198E-3</v>
      </c>
      <c r="L184">
        <f t="shared" si="7"/>
        <v>-0.99436900616350199</v>
      </c>
      <c r="M184">
        <v>-0.19</v>
      </c>
    </row>
    <row r="185" spans="1:13" x14ac:dyDescent="0.2">
      <c r="A185" s="1">
        <v>44153</v>
      </c>
      <c r="B185">
        <v>148.86999499999999</v>
      </c>
      <c r="C185">
        <v>149.759995</v>
      </c>
      <c r="D185">
        <v>147.36999499999999</v>
      </c>
      <c r="E185">
        <v>147.36999499999999</v>
      </c>
      <c r="F185">
        <v>145.44605999999999</v>
      </c>
      <c r="G185">
        <v>6661000</v>
      </c>
      <c r="I185">
        <f t="shared" si="8"/>
        <v>-1.3257530824766951E-2</v>
      </c>
      <c r="J185">
        <v>0</v>
      </c>
      <c r="K185">
        <f t="shared" si="6"/>
        <v>-1.3257530824766951E-2</v>
      </c>
      <c r="L185">
        <f t="shared" si="7"/>
        <v>-1.325753082476695</v>
      </c>
      <c r="M185">
        <v>-0.93</v>
      </c>
    </row>
    <row r="186" spans="1:13" x14ac:dyDescent="0.2">
      <c r="A186" s="1">
        <v>44154</v>
      </c>
      <c r="B186">
        <v>147.300003</v>
      </c>
      <c r="C186">
        <v>147.46000699999999</v>
      </c>
      <c r="D186">
        <v>145.58999600000001</v>
      </c>
      <c r="E186">
        <v>147.13999899999999</v>
      </c>
      <c r="F186">
        <v>145.21906999999999</v>
      </c>
      <c r="G186">
        <v>7987700</v>
      </c>
      <c r="I186">
        <f t="shared" si="8"/>
        <v>-1.5606472942615338E-3</v>
      </c>
      <c r="J186">
        <v>0</v>
      </c>
      <c r="K186">
        <f t="shared" si="6"/>
        <v>-1.5606472942615338E-3</v>
      </c>
      <c r="L186">
        <f t="shared" si="7"/>
        <v>-0.15606472942615338</v>
      </c>
      <c r="M186">
        <v>0.59</v>
      </c>
    </row>
    <row r="187" spans="1:13" x14ac:dyDescent="0.2">
      <c r="A187" s="1">
        <v>44155</v>
      </c>
      <c r="B187">
        <v>147.050003</v>
      </c>
      <c r="C187">
        <v>147.94000199999999</v>
      </c>
      <c r="D187">
        <v>146.13000500000001</v>
      </c>
      <c r="E187">
        <v>146.36000100000001</v>
      </c>
      <c r="F187">
        <v>144.449265</v>
      </c>
      <c r="G187">
        <v>6354900</v>
      </c>
      <c r="I187">
        <f t="shared" si="8"/>
        <v>-5.3009911163870629E-3</v>
      </c>
      <c r="J187">
        <v>0</v>
      </c>
      <c r="K187">
        <f t="shared" si="6"/>
        <v>-5.3009911163870629E-3</v>
      </c>
      <c r="L187">
        <f t="shared" si="7"/>
        <v>-0.53009911163870627</v>
      </c>
      <c r="M187">
        <v>-0.51</v>
      </c>
    </row>
    <row r="188" spans="1:13" x14ac:dyDescent="0.2">
      <c r="A188" s="1">
        <v>44158</v>
      </c>
      <c r="B188">
        <v>146.009995</v>
      </c>
      <c r="C188">
        <v>146.009995</v>
      </c>
      <c r="D188">
        <v>143.03999300000001</v>
      </c>
      <c r="E188">
        <v>143.86999499999999</v>
      </c>
      <c r="F188">
        <v>142.97842399999999</v>
      </c>
      <c r="G188">
        <v>7318300</v>
      </c>
      <c r="I188">
        <f t="shared" si="8"/>
        <v>-1.0182405566411205E-2</v>
      </c>
      <c r="J188">
        <v>0</v>
      </c>
      <c r="K188">
        <f t="shared" si="6"/>
        <v>-1.0182405566411205E-2</v>
      </c>
      <c r="L188">
        <f t="shared" si="7"/>
        <v>-1.0182405566411206</v>
      </c>
      <c r="M188">
        <v>0.83</v>
      </c>
    </row>
    <row r="189" spans="1:13" x14ac:dyDescent="0.2">
      <c r="A189" s="1">
        <v>44159</v>
      </c>
      <c r="B189">
        <v>144</v>
      </c>
      <c r="C189">
        <v>144.759995</v>
      </c>
      <c r="D189">
        <v>143.61000100000001</v>
      </c>
      <c r="E189">
        <v>143.86999499999999</v>
      </c>
      <c r="F189">
        <v>142.97842399999999</v>
      </c>
      <c r="G189">
        <v>11034800</v>
      </c>
      <c r="I189">
        <f t="shared" si="8"/>
        <v>0</v>
      </c>
      <c r="J189">
        <v>0</v>
      </c>
      <c r="K189">
        <f t="shared" si="6"/>
        <v>0</v>
      </c>
      <c r="L189">
        <f t="shared" si="7"/>
        <v>0</v>
      </c>
      <c r="M189">
        <v>1.56</v>
      </c>
    </row>
    <row r="190" spans="1:13" x14ac:dyDescent="0.2">
      <c r="A190" s="1">
        <v>44160</v>
      </c>
      <c r="B190">
        <v>144.05999800000001</v>
      </c>
      <c r="C190">
        <v>144.16999799999999</v>
      </c>
      <c r="D190">
        <v>142.86000100000001</v>
      </c>
      <c r="E190">
        <v>143.679993</v>
      </c>
      <c r="F190">
        <v>142.78959699999999</v>
      </c>
      <c r="G190">
        <v>7594600</v>
      </c>
      <c r="I190">
        <f t="shared" si="8"/>
        <v>-1.3206677953031809E-3</v>
      </c>
      <c r="J190">
        <v>0</v>
      </c>
      <c r="K190">
        <f t="shared" si="6"/>
        <v>-1.3206677953031809E-3</v>
      </c>
      <c r="L190">
        <f t="shared" si="7"/>
        <v>-0.13206677953031809</v>
      </c>
      <c r="M190">
        <v>0.03</v>
      </c>
    </row>
    <row r="191" spans="1:13" x14ac:dyDescent="0.2">
      <c r="A191" s="1">
        <v>44162</v>
      </c>
      <c r="B191">
        <v>144.5</v>
      </c>
      <c r="C191">
        <v>144.66000399999999</v>
      </c>
      <c r="D191">
        <v>143.220001</v>
      </c>
      <c r="E191">
        <v>144</v>
      </c>
      <c r="F191">
        <v>143.10762</v>
      </c>
      <c r="G191">
        <v>3059000</v>
      </c>
      <c r="I191">
        <f t="shared" si="8"/>
        <v>2.2272140735855629E-3</v>
      </c>
      <c r="J191">
        <v>0</v>
      </c>
      <c r="K191">
        <f t="shared" si="6"/>
        <v>2.2272140735855629E-3</v>
      </c>
      <c r="L191">
        <f t="shared" si="7"/>
        <v>0.22272140735855628</v>
      </c>
      <c r="M191">
        <v>0.43</v>
      </c>
    </row>
    <row r="192" spans="1:13" x14ac:dyDescent="0.2">
      <c r="A192" s="1">
        <v>44165</v>
      </c>
      <c r="B192">
        <v>144.229996</v>
      </c>
      <c r="C192">
        <v>144.86000100000001</v>
      </c>
      <c r="D192">
        <v>143.05999800000001</v>
      </c>
      <c r="E192">
        <v>144.679993</v>
      </c>
      <c r="F192">
        <v>143.783401</v>
      </c>
      <c r="G192">
        <v>15663200</v>
      </c>
      <c r="I192">
        <f t="shared" si="8"/>
        <v>4.7221873999441864E-3</v>
      </c>
      <c r="J192">
        <v>0</v>
      </c>
      <c r="K192">
        <f t="shared" si="6"/>
        <v>4.7221873999441864E-3</v>
      </c>
      <c r="L192">
        <f t="shared" si="7"/>
        <v>0.47221873999441866</v>
      </c>
      <c r="M192">
        <v>-0.53</v>
      </c>
    </row>
    <row r="193" spans="1:13" x14ac:dyDescent="0.2">
      <c r="A193" s="1">
        <v>44166</v>
      </c>
      <c r="B193">
        <v>146.28999300000001</v>
      </c>
      <c r="C193">
        <v>149.13000500000001</v>
      </c>
      <c r="D193">
        <v>145.86000100000001</v>
      </c>
      <c r="E193">
        <v>147.449997</v>
      </c>
      <c r="F193">
        <v>146.53623999999999</v>
      </c>
      <c r="G193">
        <v>9741300</v>
      </c>
      <c r="I193">
        <f t="shared" si="8"/>
        <v>1.9145735744559238E-2</v>
      </c>
      <c r="J193">
        <v>0</v>
      </c>
      <c r="K193">
        <f t="shared" si="6"/>
        <v>1.9145735744559238E-2</v>
      </c>
      <c r="L193">
        <f t="shared" si="7"/>
        <v>1.9145735744559238</v>
      </c>
      <c r="M193">
        <v>0.98</v>
      </c>
    </row>
    <row r="194" spans="1:13" x14ac:dyDescent="0.2">
      <c r="A194" s="1">
        <v>44167</v>
      </c>
      <c r="B194">
        <v>147.85000600000001</v>
      </c>
      <c r="C194">
        <v>149.71000699999999</v>
      </c>
      <c r="D194">
        <v>147.699997</v>
      </c>
      <c r="E194">
        <v>148.13999899999999</v>
      </c>
      <c r="F194">
        <v>147.22195400000001</v>
      </c>
      <c r="G194">
        <v>7745500</v>
      </c>
      <c r="I194">
        <f t="shared" si="8"/>
        <v>4.6794840648294147E-3</v>
      </c>
      <c r="J194">
        <v>0</v>
      </c>
      <c r="K194">
        <f t="shared" si="6"/>
        <v>4.6794840648294147E-3</v>
      </c>
      <c r="L194">
        <f t="shared" si="7"/>
        <v>0.46794840648294145</v>
      </c>
      <c r="M194">
        <v>0.11</v>
      </c>
    </row>
    <row r="195" spans="1:13" x14ac:dyDescent="0.2">
      <c r="A195" s="1">
        <v>44168</v>
      </c>
      <c r="B195">
        <v>148.03999300000001</v>
      </c>
      <c r="C195">
        <v>149.58000200000001</v>
      </c>
      <c r="D195">
        <v>147.69000199999999</v>
      </c>
      <c r="E195">
        <v>149</v>
      </c>
      <c r="F195">
        <v>148.07662999999999</v>
      </c>
      <c r="G195">
        <v>7310500</v>
      </c>
      <c r="I195">
        <f t="shared" si="8"/>
        <v>5.805356991797456E-3</v>
      </c>
      <c r="J195">
        <v>0</v>
      </c>
      <c r="K195">
        <f t="shared" si="6"/>
        <v>5.805356991797456E-3</v>
      </c>
      <c r="L195">
        <f t="shared" si="7"/>
        <v>0.58053569917974557</v>
      </c>
      <c r="M195">
        <v>0.18</v>
      </c>
    </row>
    <row r="196" spans="1:13" x14ac:dyDescent="0.2">
      <c r="A196" s="1">
        <v>44169</v>
      </c>
      <c r="B196">
        <v>149.78999300000001</v>
      </c>
      <c r="C196">
        <v>150.30999800000001</v>
      </c>
      <c r="D196">
        <v>149.270004</v>
      </c>
      <c r="E196">
        <v>150.270004</v>
      </c>
      <c r="F196">
        <v>149.33876000000001</v>
      </c>
      <c r="G196">
        <v>6747100</v>
      </c>
      <c r="I196">
        <f t="shared" si="8"/>
        <v>8.5234921945482774E-3</v>
      </c>
      <c r="J196">
        <v>0</v>
      </c>
      <c r="K196">
        <f t="shared" ref="K196:K252" si="9">I196-J196</f>
        <v>8.5234921945482774E-3</v>
      </c>
      <c r="L196">
        <f t="shared" ref="L196:L252" si="10">100*K196</f>
        <v>0.85234921945482778</v>
      </c>
      <c r="M196">
        <v>1.02</v>
      </c>
    </row>
    <row r="197" spans="1:13" x14ac:dyDescent="0.2">
      <c r="A197" s="1">
        <v>44172</v>
      </c>
      <c r="B197">
        <v>149.35000600000001</v>
      </c>
      <c r="C197">
        <v>149.91000399999999</v>
      </c>
      <c r="D197">
        <v>148.509995</v>
      </c>
      <c r="E197">
        <v>148.970001</v>
      </c>
      <c r="F197">
        <v>148.04681400000001</v>
      </c>
      <c r="G197">
        <v>6634700</v>
      </c>
      <c r="I197">
        <f t="shared" ref="I197:I252" si="11">(F197-F196)/F196</f>
        <v>-8.6511097319945315E-3</v>
      </c>
      <c r="J197">
        <v>0</v>
      </c>
      <c r="K197">
        <f t="shared" si="9"/>
        <v>-8.6511097319945315E-3</v>
      </c>
      <c r="L197">
        <f t="shared" si="10"/>
        <v>-0.86511097319945318</v>
      </c>
      <c r="M197">
        <v>0.03</v>
      </c>
    </row>
    <row r="198" spans="1:13" x14ac:dyDescent="0.2">
      <c r="A198" s="1">
        <v>44173</v>
      </c>
      <c r="B198">
        <v>150</v>
      </c>
      <c r="C198">
        <v>152.13999899999999</v>
      </c>
      <c r="D198">
        <v>149.550003</v>
      </c>
      <c r="E198">
        <v>151.550003</v>
      </c>
      <c r="F198">
        <v>150.61084</v>
      </c>
      <c r="G198">
        <v>8339800</v>
      </c>
      <c r="I198">
        <f t="shared" si="11"/>
        <v>1.7319021806169933E-2</v>
      </c>
      <c r="J198">
        <v>0</v>
      </c>
      <c r="K198">
        <f t="shared" si="9"/>
        <v>1.7319021806169933E-2</v>
      </c>
      <c r="L198">
        <f t="shared" si="10"/>
        <v>1.7319021806169934</v>
      </c>
      <c r="M198">
        <v>0.47</v>
      </c>
    </row>
    <row r="199" spans="1:13" x14ac:dyDescent="0.2">
      <c r="A199" s="1">
        <v>44174</v>
      </c>
      <c r="B199">
        <v>152.83000200000001</v>
      </c>
      <c r="C199">
        <v>153.5</v>
      </c>
      <c r="D199">
        <v>151.759995</v>
      </c>
      <c r="E199">
        <v>153.10000600000001</v>
      </c>
      <c r="F199">
        <v>152.15123</v>
      </c>
      <c r="G199">
        <v>8440100</v>
      </c>
      <c r="I199">
        <f t="shared" si="11"/>
        <v>1.0227617082542015E-2</v>
      </c>
      <c r="J199">
        <v>0</v>
      </c>
      <c r="K199">
        <f t="shared" si="9"/>
        <v>1.0227617082542015E-2</v>
      </c>
      <c r="L199">
        <f t="shared" si="10"/>
        <v>1.0227617082542015</v>
      </c>
      <c r="M199">
        <v>-1.03</v>
      </c>
    </row>
    <row r="200" spans="1:13" x14ac:dyDescent="0.2">
      <c r="A200" s="1">
        <v>44175</v>
      </c>
      <c r="B200">
        <v>152.820007</v>
      </c>
      <c r="C200">
        <v>152.979996</v>
      </c>
      <c r="D200">
        <v>151.679993</v>
      </c>
      <c r="E200">
        <v>152.25</v>
      </c>
      <c r="F200">
        <v>151.306488</v>
      </c>
      <c r="G200">
        <v>7392900</v>
      </c>
      <c r="I200">
        <f t="shared" si="11"/>
        <v>-5.5519892938098274E-3</v>
      </c>
      <c r="J200">
        <v>0</v>
      </c>
      <c r="K200">
        <f t="shared" si="9"/>
        <v>-5.5519892938098274E-3</v>
      </c>
      <c r="L200">
        <f t="shared" si="10"/>
        <v>-0.5551989293809827</v>
      </c>
      <c r="M200">
        <v>0.24</v>
      </c>
    </row>
    <row r="201" spans="1:13" x14ac:dyDescent="0.2">
      <c r="A201" s="1">
        <v>44176</v>
      </c>
      <c r="B201">
        <v>151.529999</v>
      </c>
      <c r="C201">
        <v>153.41000399999999</v>
      </c>
      <c r="D201">
        <v>151.229996</v>
      </c>
      <c r="E201">
        <v>152.949997</v>
      </c>
      <c r="F201">
        <v>152.002151</v>
      </c>
      <c r="G201">
        <v>5977400</v>
      </c>
      <c r="I201">
        <f t="shared" si="11"/>
        <v>4.5977076673671532E-3</v>
      </c>
      <c r="J201">
        <v>0</v>
      </c>
      <c r="K201">
        <f t="shared" si="9"/>
        <v>4.5977076673671532E-3</v>
      </c>
      <c r="L201">
        <f t="shared" si="10"/>
        <v>0.4597707667367153</v>
      </c>
      <c r="M201">
        <v>-0.2</v>
      </c>
    </row>
    <row r="202" spans="1:13" x14ac:dyDescent="0.2">
      <c r="A202" s="1">
        <v>44179</v>
      </c>
      <c r="B202">
        <v>153.25</v>
      </c>
      <c r="C202">
        <v>153.479996</v>
      </c>
      <c r="D202">
        <v>148.990005</v>
      </c>
      <c r="E202">
        <v>149.070007</v>
      </c>
      <c r="F202">
        <v>148.14621</v>
      </c>
      <c r="G202">
        <v>8547300</v>
      </c>
      <c r="I202">
        <f t="shared" si="11"/>
        <v>-2.5367673908772523E-2</v>
      </c>
      <c r="J202">
        <v>0</v>
      </c>
      <c r="K202">
        <f t="shared" si="9"/>
        <v>-2.5367673908772523E-2</v>
      </c>
      <c r="L202">
        <f t="shared" si="10"/>
        <v>-2.5367673908772521</v>
      </c>
      <c r="M202">
        <v>-0.28000000000000003</v>
      </c>
    </row>
    <row r="203" spans="1:13" x14ac:dyDescent="0.2">
      <c r="A203" s="1">
        <v>44180</v>
      </c>
      <c r="B203">
        <v>150</v>
      </c>
      <c r="C203">
        <v>150.75</v>
      </c>
      <c r="D203">
        <v>149.529999</v>
      </c>
      <c r="E203">
        <v>150.570007</v>
      </c>
      <c r="F203">
        <v>149.63691700000001</v>
      </c>
      <c r="G203">
        <v>7614700</v>
      </c>
      <c r="I203">
        <f t="shared" si="11"/>
        <v>1.0062403891399008E-2</v>
      </c>
      <c r="J203">
        <v>0</v>
      </c>
      <c r="K203">
        <f t="shared" si="9"/>
        <v>1.0062403891399008E-2</v>
      </c>
      <c r="L203">
        <f t="shared" si="10"/>
        <v>1.0062403891399008</v>
      </c>
      <c r="M203">
        <v>1.28</v>
      </c>
    </row>
    <row r="204" spans="1:13" x14ac:dyDescent="0.2">
      <c r="A204" s="1">
        <v>44181</v>
      </c>
      <c r="B204">
        <v>150.199997</v>
      </c>
      <c r="C204">
        <v>150.91999799999999</v>
      </c>
      <c r="D204">
        <v>149.550003</v>
      </c>
      <c r="E204">
        <v>149.66999799999999</v>
      </c>
      <c r="F204">
        <v>148.74247700000001</v>
      </c>
      <c r="G204">
        <v>8486100</v>
      </c>
      <c r="I204">
        <f t="shared" si="11"/>
        <v>-5.9774019535567078E-3</v>
      </c>
      <c r="J204">
        <v>0</v>
      </c>
      <c r="K204">
        <f t="shared" si="9"/>
        <v>-5.9774019535567078E-3</v>
      </c>
      <c r="L204">
        <f t="shared" si="10"/>
        <v>-0.5977401953556708</v>
      </c>
      <c r="M204">
        <v>0.17</v>
      </c>
    </row>
    <row r="205" spans="1:13" x14ac:dyDescent="0.2">
      <c r="A205" s="1">
        <v>44182</v>
      </c>
      <c r="B205">
        <v>150.08999600000001</v>
      </c>
      <c r="C205">
        <v>153.88999899999999</v>
      </c>
      <c r="D205">
        <v>149.96000699999999</v>
      </c>
      <c r="E205">
        <v>153.61999499999999</v>
      </c>
      <c r="F205">
        <v>152.66799900000001</v>
      </c>
      <c r="G205">
        <v>9920300</v>
      </c>
      <c r="I205">
        <f t="shared" si="11"/>
        <v>2.6391398604986259E-2</v>
      </c>
      <c r="J205">
        <v>0</v>
      </c>
      <c r="K205">
        <f t="shared" si="9"/>
        <v>2.6391398604986259E-2</v>
      </c>
      <c r="L205">
        <f t="shared" si="10"/>
        <v>2.6391398604986258</v>
      </c>
      <c r="M205">
        <v>0.79</v>
      </c>
    </row>
    <row r="206" spans="1:13" x14ac:dyDescent="0.2">
      <c r="A206" s="1">
        <v>44183</v>
      </c>
      <c r="B206">
        <v>153.64999399999999</v>
      </c>
      <c r="C206">
        <v>155.10000600000001</v>
      </c>
      <c r="D206">
        <v>151.66999799999999</v>
      </c>
      <c r="E206">
        <v>154.509995</v>
      </c>
      <c r="F206">
        <v>153.55247499999999</v>
      </c>
      <c r="G206">
        <v>17137200</v>
      </c>
      <c r="I206">
        <f t="shared" si="11"/>
        <v>5.7934603570718056E-3</v>
      </c>
      <c r="J206">
        <v>0</v>
      </c>
      <c r="K206">
        <f t="shared" si="9"/>
        <v>5.7934603570718056E-3</v>
      </c>
      <c r="L206">
        <f t="shared" si="10"/>
        <v>0.57934603570718057</v>
      </c>
      <c r="M206">
        <v>-0.12</v>
      </c>
    </row>
    <row r="207" spans="1:13" x14ac:dyDescent="0.2">
      <c r="A207" s="1">
        <v>44186</v>
      </c>
      <c r="B207">
        <v>152.009995</v>
      </c>
      <c r="C207">
        <v>153.41000399999999</v>
      </c>
      <c r="D207">
        <v>150.050003</v>
      </c>
      <c r="E207">
        <v>153.020004</v>
      </c>
      <c r="F207">
        <v>152.071732</v>
      </c>
      <c r="G207">
        <v>7893400</v>
      </c>
      <c r="I207">
        <f t="shared" si="11"/>
        <v>-9.6432375967889141E-3</v>
      </c>
      <c r="J207">
        <v>0</v>
      </c>
      <c r="K207">
        <f t="shared" si="9"/>
        <v>-9.6432375967889141E-3</v>
      </c>
      <c r="L207">
        <f t="shared" si="10"/>
        <v>-0.96432375967889139</v>
      </c>
      <c r="M207">
        <v>-0.23</v>
      </c>
    </row>
    <row r="208" spans="1:13" x14ac:dyDescent="0.2">
      <c r="A208" s="1">
        <v>44187</v>
      </c>
      <c r="B208">
        <v>152.39999399999999</v>
      </c>
      <c r="C208">
        <v>153.89999399999999</v>
      </c>
      <c r="D208">
        <v>151.86000100000001</v>
      </c>
      <c r="E208">
        <v>152.720001</v>
      </c>
      <c r="F208">
        <v>151.77357499999999</v>
      </c>
      <c r="G208">
        <v>4699500</v>
      </c>
      <c r="I208">
        <f t="shared" si="11"/>
        <v>-1.9606339460906735E-3</v>
      </c>
      <c r="J208">
        <v>0</v>
      </c>
      <c r="K208">
        <f t="shared" si="9"/>
        <v>-1.9606339460906735E-3</v>
      </c>
      <c r="L208">
        <f t="shared" si="10"/>
        <v>-0.19606339460906735</v>
      </c>
      <c r="M208">
        <v>0.06</v>
      </c>
    </row>
    <row r="209" spans="1:13" x14ac:dyDescent="0.2">
      <c r="A209" s="1">
        <v>44188</v>
      </c>
      <c r="B209">
        <v>152.800003</v>
      </c>
      <c r="C209">
        <v>153.60000600000001</v>
      </c>
      <c r="D209">
        <v>151.89999399999999</v>
      </c>
      <c r="E209">
        <v>151.94000199999999</v>
      </c>
      <c r="F209">
        <v>150.998413</v>
      </c>
      <c r="G209">
        <v>4607300</v>
      </c>
      <c r="I209">
        <f t="shared" si="11"/>
        <v>-5.1073581155348987E-3</v>
      </c>
      <c r="J209">
        <v>0</v>
      </c>
      <c r="K209">
        <f t="shared" si="9"/>
        <v>-5.1073581155348987E-3</v>
      </c>
      <c r="L209">
        <f t="shared" si="10"/>
        <v>-0.5107358115534899</v>
      </c>
      <c r="M209">
        <v>0.1</v>
      </c>
    </row>
    <row r="210" spans="1:13" x14ac:dyDescent="0.2">
      <c r="A210" s="1">
        <v>44189</v>
      </c>
      <c r="B210">
        <v>151.85000600000001</v>
      </c>
      <c r="C210">
        <v>153.03999300000001</v>
      </c>
      <c r="D210">
        <v>151.820007</v>
      </c>
      <c r="E210">
        <v>152.470001</v>
      </c>
      <c r="F210">
        <v>151.52513099999999</v>
      </c>
      <c r="G210">
        <v>2114900</v>
      </c>
      <c r="I210">
        <f t="shared" si="11"/>
        <v>3.4882353366189897E-3</v>
      </c>
      <c r="J210">
        <v>0</v>
      </c>
      <c r="K210">
        <f t="shared" si="9"/>
        <v>3.4882353366189897E-3</v>
      </c>
      <c r="L210">
        <f t="shared" si="10"/>
        <v>0.348823533661899</v>
      </c>
      <c r="M210">
        <v>0.21</v>
      </c>
    </row>
    <row r="211" spans="1:13" x14ac:dyDescent="0.2">
      <c r="A211" s="1">
        <v>44193</v>
      </c>
      <c r="B211">
        <v>153.320007</v>
      </c>
      <c r="C211">
        <v>153.86999499999999</v>
      </c>
      <c r="D211">
        <v>152.300003</v>
      </c>
      <c r="E211">
        <v>153.19000199999999</v>
      </c>
      <c r="F211">
        <v>152.24067700000001</v>
      </c>
      <c r="G211">
        <v>3855500</v>
      </c>
      <c r="I211">
        <f t="shared" si="11"/>
        <v>4.7222925680890362E-3</v>
      </c>
      <c r="J211">
        <v>0</v>
      </c>
      <c r="K211">
        <f t="shared" si="9"/>
        <v>4.7222925680890362E-3</v>
      </c>
      <c r="L211">
        <f t="shared" si="10"/>
        <v>0.4722292568089036</v>
      </c>
      <c r="M211">
        <v>0.46</v>
      </c>
    </row>
    <row r="212" spans="1:13" x14ac:dyDescent="0.2">
      <c r="A212" s="1">
        <v>44194</v>
      </c>
      <c r="B212">
        <v>154.11000100000001</v>
      </c>
      <c r="C212">
        <v>154.929993</v>
      </c>
      <c r="D212">
        <v>153.800003</v>
      </c>
      <c r="E212">
        <v>154.13999899999999</v>
      </c>
      <c r="F212">
        <v>153.18478400000001</v>
      </c>
      <c r="G212">
        <v>5212000</v>
      </c>
      <c r="I212">
        <f t="shared" si="11"/>
        <v>6.2014109409143162E-3</v>
      </c>
      <c r="J212">
        <v>0</v>
      </c>
      <c r="K212">
        <f t="shared" si="9"/>
        <v>6.2014109409143162E-3</v>
      </c>
      <c r="L212">
        <f t="shared" si="10"/>
        <v>0.62014109409143159</v>
      </c>
      <c r="M212">
        <v>-0.4</v>
      </c>
    </row>
    <row r="213" spans="1:13" x14ac:dyDescent="0.2">
      <c r="A213" s="1">
        <v>44195</v>
      </c>
      <c r="B213">
        <v>154.740005</v>
      </c>
      <c r="C213">
        <v>156.38000500000001</v>
      </c>
      <c r="D213">
        <v>154.60000600000001</v>
      </c>
      <c r="E213">
        <v>156.050003</v>
      </c>
      <c r="F213">
        <v>155.08294699999999</v>
      </c>
      <c r="G213">
        <v>5412800</v>
      </c>
      <c r="I213">
        <f t="shared" si="11"/>
        <v>1.2391328632222261E-2</v>
      </c>
      <c r="J213">
        <v>0</v>
      </c>
      <c r="K213">
        <f t="shared" si="9"/>
        <v>1.2391328632222261E-2</v>
      </c>
      <c r="L213">
        <f t="shared" si="10"/>
        <v>1.239132863222226</v>
      </c>
      <c r="M213">
        <v>0.27</v>
      </c>
    </row>
    <row r="214" spans="1:13" x14ac:dyDescent="0.2">
      <c r="A214" s="1">
        <v>44196</v>
      </c>
      <c r="B214">
        <v>156.529999</v>
      </c>
      <c r="C214">
        <v>157.66000399999999</v>
      </c>
      <c r="D214">
        <v>155.11000100000001</v>
      </c>
      <c r="E214">
        <v>157.38000500000001</v>
      </c>
      <c r="F214">
        <v>156.404709</v>
      </c>
      <c r="G214">
        <v>5099900</v>
      </c>
      <c r="I214">
        <f t="shared" si="11"/>
        <v>8.5229357938368736E-3</v>
      </c>
      <c r="J214">
        <v>0</v>
      </c>
      <c r="K214">
        <f t="shared" si="9"/>
        <v>8.5229357938368736E-3</v>
      </c>
      <c r="L214">
        <f t="shared" si="10"/>
        <v>0.85229357938368733</v>
      </c>
      <c r="M214">
        <v>0.39</v>
      </c>
    </row>
    <row r="215" spans="1:13" x14ac:dyDescent="0.2">
      <c r="A215" s="1">
        <v>44200</v>
      </c>
      <c r="B215">
        <v>157.240005</v>
      </c>
      <c r="C215">
        <v>157.38000500000001</v>
      </c>
      <c r="D215">
        <v>154.13000500000001</v>
      </c>
      <c r="E215">
        <v>156.5</v>
      </c>
      <c r="F215">
        <v>155.53015099999999</v>
      </c>
      <c r="G215">
        <v>11765900</v>
      </c>
      <c r="I215">
        <f t="shared" si="11"/>
        <v>-5.591634712226008E-3</v>
      </c>
      <c r="J215">
        <v>0</v>
      </c>
      <c r="K215">
        <f t="shared" si="9"/>
        <v>-5.591634712226008E-3</v>
      </c>
      <c r="L215">
        <f t="shared" si="10"/>
        <v>-0.55916347122260079</v>
      </c>
      <c r="M215">
        <v>-1.41</v>
      </c>
    </row>
    <row r="216" spans="1:13" x14ac:dyDescent="0.2">
      <c r="A216" s="1">
        <v>44201</v>
      </c>
      <c r="B216">
        <v>156.25</v>
      </c>
      <c r="C216">
        <v>158.759995</v>
      </c>
      <c r="D216">
        <v>155.070007</v>
      </c>
      <c r="E216">
        <v>158.33999600000001</v>
      </c>
      <c r="F216">
        <v>157.35874899999999</v>
      </c>
      <c r="G216">
        <v>9602300</v>
      </c>
      <c r="I216">
        <f t="shared" si="11"/>
        <v>1.1757192983114893E-2</v>
      </c>
      <c r="J216">
        <v>0</v>
      </c>
      <c r="K216">
        <f t="shared" si="9"/>
        <v>1.1757192983114893E-2</v>
      </c>
      <c r="L216">
        <f t="shared" si="10"/>
        <v>1.1757192983114892</v>
      </c>
      <c r="M216">
        <v>0.86</v>
      </c>
    </row>
    <row r="217" spans="1:13" x14ac:dyDescent="0.2">
      <c r="A217" s="1">
        <v>44202</v>
      </c>
      <c r="B217">
        <v>157.240005</v>
      </c>
      <c r="C217">
        <v>160.229996</v>
      </c>
      <c r="D217">
        <v>156.720001</v>
      </c>
      <c r="E217">
        <v>159.83000200000001</v>
      </c>
      <c r="F217">
        <v>158.83952300000001</v>
      </c>
      <c r="G217">
        <v>8230100</v>
      </c>
      <c r="I217">
        <f t="shared" si="11"/>
        <v>9.4101790298296364E-3</v>
      </c>
      <c r="J217">
        <v>0</v>
      </c>
      <c r="K217">
        <f t="shared" si="9"/>
        <v>9.4101790298296364E-3</v>
      </c>
      <c r="L217">
        <f t="shared" si="10"/>
        <v>0.94101790298296362</v>
      </c>
      <c r="M217">
        <v>0.79</v>
      </c>
    </row>
    <row r="218" spans="1:13" x14ac:dyDescent="0.2">
      <c r="A218" s="1">
        <v>44203</v>
      </c>
      <c r="B218">
        <v>159</v>
      </c>
      <c r="C218">
        <v>161.029999</v>
      </c>
      <c r="D218">
        <v>158.35000600000001</v>
      </c>
      <c r="E218">
        <v>160.36999499999999</v>
      </c>
      <c r="F218">
        <v>159.37616</v>
      </c>
      <c r="G218">
        <v>7747200</v>
      </c>
      <c r="I218">
        <f t="shared" si="11"/>
        <v>3.3784853408303467E-3</v>
      </c>
      <c r="J218">
        <v>0</v>
      </c>
      <c r="K218">
        <f t="shared" si="9"/>
        <v>3.3784853408303467E-3</v>
      </c>
      <c r="L218">
        <f t="shared" si="10"/>
        <v>0.33784853408303467</v>
      </c>
      <c r="M218">
        <v>1.76</v>
      </c>
    </row>
    <row r="219" spans="1:13" x14ac:dyDescent="0.2">
      <c r="A219" s="1">
        <v>44204</v>
      </c>
      <c r="B219">
        <v>160.509995</v>
      </c>
      <c r="C219">
        <v>161.10000600000001</v>
      </c>
      <c r="D219">
        <v>159.88000500000001</v>
      </c>
      <c r="E219">
        <v>160.03999300000001</v>
      </c>
      <c r="F219">
        <v>159.04821799999999</v>
      </c>
      <c r="G219">
        <v>8228900</v>
      </c>
      <c r="I219">
        <f t="shared" si="11"/>
        <v>-2.0576603175782833E-3</v>
      </c>
      <c r="J219">
        <v>0</v>
      </c>
      <c r="K219">
        <f t="shared" si="9"/>
        <v>-2.0576603175782833E-3</v>
      </c>
      <c r="L219">
        <f t="shared" si="10"/>
        <v>-0.20576603175782834</v>
      </c>
      <c r="M219">
        <v>0.51</v>
      </c>
    </row>
    <row r="220" spans="1:13" x14ac:dyDescent="0.2">
      <c r="A220" s="1">
        <v>44207</v>
      </c>
      <c r="B220">
        <v>160.55999800000001</v>
      </c>
      <c r="C220">
        <v>161.320007</v>
      </c>
      <c r="D220">
        <v>158.770004</v>
      </c>
      <c r="E220">
        <v>159.36999499999999</v>
      </c>
      <c r="F220">
        <v>158.38237000000001</v>
      </c>
      <c r="G220">
        <v>7068200</v>
      </c>
      <c r="I220">
        <f t="shared" si="11"/>
        <v>-4.1864536954446278E-3</v>
      </c>
      <c r="J220">
        <v>0</v>
      </c>
      <c r="K220">
        <f t="shared" si="9"/>
        <v>-4.1864536954446278E-3</v>
      </c>
      <c r="L220">
        <f t="shared" si="10"/>
        <v>-0.4186453695444628</v>
      </c>
      <c r="M220">
        <v>-0.51</v>
      </c>
    </row>
    <row r="221" spans="1:13" x14ac:dyDescent="0.2">
      <c r="A221" s="1">
        <v>44208</v>
      </c>
      <c r="B221">
        <v>159.14999399999999</v>
      </c>
      <c r="C221">
        <v>159.66000399999999</v>
      </c>
      <c r="D221">
        <v>157.33000200000001</v>
      </c>
      <c r="E221">
        <v>158.13000500000001</v>
      </c>
      <c r="F221">
        <v>157.15005500000001</v>
      </c>
      <c r="G221">
        <v>6903200</v>
      </c>
      <c r="I221">
        <f t="shared" si="11"/>
        <v>-7.7806324024574181E-3</v>
      </c>
      <c r="J221">
        <v>0</v>
      </c>
      <c r="K221">
        <f t="shared" si="9"/>
        <v>-7.7806324024574181E-3</v>
      </c>
      <c r="L221">
        <f t="shared" si="10"/>
        <v>-0.77806324024574181</v>
      </c>
      <c r="M221">
        <v>0.38</v>
      </c>
    </row>
    <row r="222" spans="1:13" x14ac:dyDescent="0.2">
      <c r="A222" s="1">
        <v>44209</v>
      </c>
      <c r="B222">
        <v>158.229996</v>
      </c>
      <c r="C222">
        <v>158.46000699999999</v>
      </c>
      <c r="D222">
        <v>156.75</v>
      </c>
      <c r="E222">
        <v>157.88999899999999</v>
      </c>
      <c r="F222">
        <v>156.91154499999999</v>
      </c>
      <c r="G222">
        <v>6643100</v>
      </c>
      <c r="I222">
        <f t="shared" si="11"/>
        <v>-1.517721390552611E-3</v>
      </c>
      <c r="J222">
        <v>0</v>
      </c>
      <c r="K222">
        <f t="shared" si="9"/>
        <v>-1.517721390552611E-3</v>
      </c>
      <c r="L222">
        <f t="shared" si="10"/>
        <v>-0.1517721390552611</v>
      </c>
      <c r="M222">
        <v>7.0000000000000007E-2</v>
      </c>
    </row>
    <row r="223" spans="1:13" x14ac:dyDescent="0.2">
      <c r="A223" s="1">
        <v>44210</v>
      </c>
      <c r="B223">
        <v>160.449997</v>
      </c>
      <c r="C223">
        <v>161.949997</v>
      </c>
      <c r="D223">
        <v>159.61000100000001</v>
      </c>
      <c r="E223">
        <v>160.64999399999999</v>
      </c>
      <c r="F223">
        <v>159.65443400000001</v>
      </c>
      <c r="G223">
        <v>10030800</v>
      </c>
      <c r="I223">
        <f t="shared" si="11"/>
        <v>1.7480479208843554E-2</v>
      </c>
      <c r="J223">
        <v>0</v>
      </c>
      <c r="K223">
        <f t="shared" si="9"/>
        <v>1.7480479208843554E-2</v>
      </c>
      <c r="L223">
        <f t="shared" si="10"/>
        <v>1.7480479208843553</v>
      </c>
      <c r="M223">
        <v>-0.11</v>
      </c>
    </row>
    <row r="224" spans="1:13" x14ac:dyDescent="0.2">
      <c r="A224" s="1">
        <v>44211</v>
      </c>
      <c r="B224">
        <v>160.300003</v>
      </c>
      <c r="C224">
        <v>161.41000399999999</v>
      </c>
      <c r="D224">
        <v>159.11000100000001</v>
      </c>
      <c r="E224">
        <v>160.300003</v>
      </c>
      <c r="F224">
        <v>159.30661000000001</v>
      </c>
      <c r="G224">
        <v>7630800</v>
      </c>
      <c r="I224">
        <f t="shared" si="11"/>
        <v>-2.1786053245474082E-3</v>
      </c>
      <c r="J224">
        <v>0</v>
      </c>
      <c r="K224">
        <f t="shared" si="9"/>
        <v>-2.1786053245474082E-3</v>
      </c>
      <c r="L224">
        <f t="shared" si="10"/>
        <v>-0.21786053245474082</v>
      </c>
      <c r="M224">
        <v>-0.86</v>
      </c>
    </row>
    <row r="225" spans="1:13" x14ac:dyDescent="0.2">
      <c r="A225" s="1">
        <v>44215</v>
      </c>
      <c r="B225">
        <v>162</v>
      </c>
      <c r="C225">
        <v>163.03999300000001</v>
      </c>
      <c r="D225">
        <v>161.10000600000001</v>
      </c>
      <c r="E225">
        <v>162.779999</v>
      </c>
      <c r="F225">
        <v>161.77124000000001</v>
      </c>
      <c r="G225">
        <v>9057600</v>
      </c>
      <c r="I225">
        <f t="shared" si="11"/>
        <v>1.5470983909581652E-2</v>
      </c>
      <c r="J225">
        <v>0</v>
      </c>
      <c r="K225">
        <f t="shared" si="9"/>
        <v>1.5470983909581652E-2</v>
      </c>
      <c r="L225">
        <f t="shared" si="10"/>
        <v>1.5470983909581653</v>
      </c>
      <c r="M225">
        <v>0.91</v>
      </c>
    </row>
    <row r="226" spans="1:13" x14ac:dyDescent="0.2">
      <c r="A226" s="1">
        <v>44216</v>
      </c>
      <c r="B226">
        <v>163.199997</v>
      </c>
      <c r="C226">
        <v>164.13999899999999</v>
      </c>
      <c r="D226">
        <v>161.800003</v>
      </c>
      <c r="E226">
        <v>162.38000500000001</v>
      </c>
      <c r="F226">
        <v>161.373718</v>
      </c>
      <c r="G226">
        <v>6839900</v>
      </c>
      <c r="I226">
        <f t="shared" si="11"/>
        <v>-2.4573094698415445E-3</v>
      </c>
      <c r="J226">
        <v>0</v>
      </c>
      <c r="K226">
        <f t="shared" si="9"/>
        <v>-2.4573094698415445E-3</v>
      </c>
      <c r="L226">
        <f t="shared" si="10"/>
        <v>-0.24573094698415446</v>
      </c>
      <c r="M226">
        <v>1.26</v>
      </c>
    </row>
    <row r="227" spans="1:13" x14ac:dyDescent="0.2">
      <c r="A227" s="1">
        <v>44217</v>
      </c>
      <c r="B227">
        <v>161.320007</v>
      </c>
      <c r="C227">
        <v>162.479996</v>
      </c>
      <c r="D227">
        <v>160.05999800000001</v>
      </c>
      <c r="E227">
        <v>161.729996</v>
      </c>
      <c r="F227">
        <v>160.72773699999999</v>
      </c>
      <c r="G227">
        <v>6822800</v>
      </c>
      <c r="I227">
        <f t="shared" si="11"/>
        <v>-4.0030124360151765E-3</v>
      </c>
      <c r="J227">
        <v>0</v>
      </c>
      <c r="K227">
        <f t="shared" si="9"/>
        <v>-4.0030124360151765E-3</v>
      </c>
      <c r="L227">
        <f t="shared" si="10"/>
        <v>-0.40030124360151764</v>
      </c>
      <c r="M227">
        <v>-0.04</v>
      </c>
    </row>
    <row r="228" spans="1:13" x14ac:dyDescent="0.2">
      <c r="A228" s="1">
        <v>44218</v>
      </c>
      <c r="B228">
        <v>162.36000100000001</v>
      </c>
      <c r="C228">
        <v>165.16000399999999</v>
      </c>
      <c r="D228">
        <v>161.86999499999999</v>
      </c>
      <c r="E228">
        <v>163.550003</v>
      </c>
      <c r="F228">
        <v>162.53646900000001</v>
      </c>
      <c r="G228">
        <v>8137000</v>
      </c>
      <c r="I228">
        <f t="shared" si="11"/>
        <v>1.1253390570664356E-2</v>
      </c>
      <c r="J228">
        <v>0</v>
      </c>
      <c r="K228">
        <f t="shared" si="9"/>
        <v>1.1253390570664356E-2</v>
      </c>
      <c r="L228">
        <f t="shared" si="10"/>
        <v>1.1253390570664357</v>
      </c>
      <c r="M228">
        <v>-7.0000000000000007E-2</v>
      </c>
    </row>
    <row r="229" spans="1:13" x14ac:dyDescent="0.2">
      <c r="A229" s="1">
        <v>44221</v>
      </c>
      <c r="B229">
        <v>165.009995</v>
      </c>
      <c r="C229">
        <v>166.08999600000001</v>
      </c>
      <c r="D229">
        <v>163.66000399999999</v>
      </c>
      <c r="E229">
        <v>165.979996</v>
      </c>
      <c r="F229">
        <v>164.951401</v>
      </c>
      <c r="G229">
        <v>9924400</v>
      </c>
      <c r="I229">
        <f t="shared" si="11"/>
        <v>1.4857785547193062E-2</v>
      </c>
      <c r="J229">
        <v>0</v>
      </c>
      <c r="K229">
        <f t="shared" si="9"/>
        <v>1.4857785547193062E-2</v>
      </c>
      <c r="L229">
        <f t="shared" si="10"/>
        <v>1.4857785547193061</v>
      </c>
      <c r="M229">
        <v>0.28000000000000003</v>
      </c>
    </row>
    <row r="230" spans="1:13" x14ac:dyDescent="0.2">
      <c r="A230" s="1">
        <v>44222</v>
      </c>
      <c r="B230">
        <v>169.699997</v>
      </c>
      <c r="C230">
        <v>173.64999399999999</v>
      </c>
      <c r="D230">
        <v>169.38999899999999</v>
      </c>
      <c r="E230">
        <v>170.479996</v>
      </c>
      <c r="F230">
        <v>169.423508</v>
      </c>
      <c r="G230">
        <v>14205700</v>
      </c>
      <c r="I230">
        <f t="shared" si="11"/>
        <v>2.7111664241032993E-2</v>
      </c>
      <c r="J230">
        <v>0</v>
      </c>
      <c r="K230">
        <f t="shared" si="9"/>
        <v>2.7111664241032993E-2</v>
      </c>
      <c r="L230">
        <f t="shared" si="10"/>
        <v>2.7111664241032991</v>
      </c>
      <c r="M230">
        <v>-0.32</v>
      </c>
    </row>
    <row r="231" spans="1:13" x14ac:dyDescent="0.2">
      <c r="A231" s="1">
        <v>44223</v>
      </c>
      <c r="B231">
        <v>169.11999499999999</v>
      </c>
      <c r="C231">
        <v>170.91999799999999</v>
      </c>
      <c r="D231">
        <v>167.449997</v>
      </c>
      <c r="E231">
        <v>167.88000500000001</v>
      </c>
      <c r="F231">
        <v>166.83963</v>
      </c>
      <c r="G231">
        <v>14207300</v>
      </c>
      <c r="I231">
        <f t="shared" si="11"/>
        <v>-1.5251000469191079E-2</v>
      </c>
      <c r="J231">
        <v>0</v>
      </c>
      <c r="K231">
        <f t="shared" si="9"/>
        <v>-1.5251000469191079E-2</v>
      </c>
      <c r="L231">
        <f t="shared" si="10"/>
        <v>-1.5251000469191078</v>
      </c>
      <c r="M231">
        <v>-2.5299999999999998</v>
      </c>
    </row>
    <row r="232" spans="1:13" x14ac:dyDescent="0.2">
      <c r="A232" s="1">
        <v>44224</v>
      </c>
      <c r="B232">
        <v>168.199997</v>
      </c>
      <c r="C232">
        <v>170.86000100000001</v>
      </c>
      <c r="D232">
        <v>167.800003</v>
      </c>
      <c r="E232">
        <v>169.16000399999999</v>
      </c>
      <c r="F232">
        <v>168.11170999999999</v>
      </c>
      <c r="G232">
        <v>8944400</v>
      </c>
      <c r="I232">
        <f t="shared" si="11"/>
        <v>7.6245673764679788E-3</v>
      </c>
      <c r="J232">
        <v>0</v>
      </c>
      <c r="K232">
        <f t="shared" si="9"/>
        <v>7.6245673764679788E-3</v>
      </c>
      <c r="L232">
        <f t="shared" si="10"/>
        <v>0.76245673764679789</v>
      </c>
      <c r="M232">
        <v>0.92</v>
      </c>
    </row>
    <row r="233" spans="1:13" x14ac:dyDescent="0.2">
      <c r="A233" s="1">
        <v>44225</v>
      </c>
      <c r="B233">
        <v>164.259995</v>
      </c>
      <c r="C233">
        <v>166</v>
      </c>
      <c r="D233">
        <v>160.550003</v>
      </c>
      <c r="E233">
        <v>163.13000500000001</v>
      </c>
      <c r="F233">
        <v>162.11908</v>
      </c>
      <c r="G233">
        <v>22468800</v>
      </c>
      <c r="I233">
        <f t="shared" si="11"/>
        <v>-3.5646713723868441E-2</v>
      </c>
      <c r="J233">
        <v>0</v>
      </c>
      <c r="K233">
        <f t="shared" si="9"/>
        <v>-3.5646713723868441E-2</v>
      </c>
      <c r="L233">
        <f t="shared" si="10"/>
        <v>-3.5646713723868442</v>
      </c>
      <c r="M233">
        <v>-1.84</v>
      </c>
    </row>
    <row r="234" spans="1:13" x14ac:dyDescent="0.2">
      <c r="A234" s="1">
        <v>44228</v>
      </c>
      <c r="B234">
        <v>165.30999800000001</v>
      </c>
      <c r="C234">
        <v>165.30999800000001</v>
      </c>
      <c r="D234">
        <v>162.60000600000001</v>
      </c>
      <c r="E234">
        <v>162.71000699999999</v>
      </c>
      <c r="F234">
        <v>161.70167499999999</v>
      </c>
      <c r="G234">
        <v>9971400</v>
      </c>
      <c r="I234">
        <f t="shared" si="11"/>
        <v>-2.5746815242228258E-3</v>
      </c>
      <c r="J234">
        <v>0</v>
      </c>
      <c r="K234">
        <f t="shared" si="9"/>
        <v>-2.5746815242228258E-3</v>
      </c>
      <c r="L234">
        <f t="shared" si="10"/>
        <v>-0.2574681524222826</v>
      </c>
      <c r="M234">
        <v>1.73</v>
      </c>
    </row>
    <row r="235" spans="1:13" x14ac:dyDescent="0.2">
      <c r="A235" s="1">
        <v>44229</v>
      </c>
      <c r="B235">
        <v>163.38000500000001</v>
      </c>
      <c r="C235">
        <v>163.66000399999999</v>
      </c>
      <c r="D235">
        <v>161.179993</v>
      </c>
      <c r="E235">
        <v>161.25</v>
      </c>
      <c r="F235">
        <v>160.25071700000001</v>
      </c>
      <c r="G235">
        <v>11443300</v>
      </c>
      <c r="I235">
        <f t="shared" si="11"/>
        <v>-8.9730548554922875E-3</v>
      </c>
      <c r="J235">
        <v>0</v>
      </c>
      <c r="K235">
        <f t="shared" si="9"/>
        <v>-8.9730548554922875E-3</v>
      </c>
      <c r="L235">
        <f t="shared" si="10"/>
        <v>-0.89730548554922873</v>
      </c>
      <c r="M235">
        <v>1.48</v>
      </c>
    </row>
    <row r="236" spans="1:13" x14ac:dyDescent="0.2">
      <c r="A236" s="1">
        <v>44230</v>
      </c>
      <c r="B236">
        <v>160.94000199999999</v>
      </c>
      <c r="C236">
        <v>161.520004</v>
      </c>
      <c r="D236">
        <v>159.570007</v>
      </c>
      <c r="E236">
        <v>160.5</v>
      </c>
      <c r="F236">
        <v>159.505371</v>
      </c>
      <c r="G236">
        <v>8601900</v>
      </c>
      <c r="I236">
        <f t="shared" si="11"/>
        <v>-4.6511242754689952E-3</v>
      </c>
      <c r="J236">
        <v>0</v>
      </c>
      <c r="K236">
        <f t="shared" si="9"/>
        <v>-4.6511242754689952E-3</v>
      </c>
      <c r="L236">
        <f t="shared" si="10"/>
        <v>-0.46511242754689952</v>
      </c>
      <c r="M236">
        <v>0.16</v>
      </c>
    </row>
    <row r="237" spans="1:13" x14ac:dyDescent="0.2">
      <c r="A237" s="1">
        <v>44231</v>
      </c>
      <c r="B237">
        <v>161</v>
      </c>
      <c r="C237">
        <v>162.08999600000001</v>
      </c>
      <c r="D237">
        <v>159.759995</v>
      </c>
      <c r="E237">
        <v>161.990005</v>
      </c>
      <c r="F237">
        <v>160.98614499999999</v>
      </c>
      <c r="G237">
        <v>7758100</v>
      </c>
      <c r="I237">
        <f t="shared" si="11"/>
        <v>9.2835369161330412E-3</v>
      </c>
      <c r="J237">
        <v>0</v>
      </c>
      <c r="K237">
        <f t="shared" si="9"/>
        <v>9.2835369161330412E-3</v>
      </c>
      <c r="L237">
        <f t="shared" si="10"/>
        <v>0.92835369161330417</v>
      </c>
      <c r="M237">
        <v>1.23</v>
      </c>
    </row>
    <row r="238" spans="1:13" x14ac:dyDescent="0.2">
      <c r="A238" s="1">
        <v>44232</v>
      </c>
      <c r="B238">
        <v>164.86000100000001</v>
      </c>
      <c r="C238">
        <v>165.44000199999999</v>
      </c>
      <c r="D238">
        <v>163.86000100000001</v>
      </c>
      <c r="E238">
        <v>164.449997</v>
      </c>
      <c r="F238">
        <v>163.43087800000001</v>
      </c>
      <c r="G238">
        <v>9484600</v>
      </c>
      <c r="I238">
        <f t="shared" si="11"/>
        <v>1.5185983862151701E-2</v>
      </c>
      <c r="J238">
        <v>0</v>
      </c>
      <c r="K238">
        <f t="shared" si="9"/>
        <v>1.5185983862151701E-2</v>
      </c>
      <c r="L238">
        <f t="shared" si="10"/>
        <v>1.5185983862151702</v>
      </c>
      <c r="M238">
        <v>0.57999999999999996</v>
      </c>
    </row>
    <row r="239" spans="1:13" x14ac:dyDescent="0.2">
      <c r="A239" s="1">
        <v>44235</v>
      </c>
      <c r="B239">
        <v>165.029999</v>
      </c>
      <c r="C239">
        <v>165.91999799999999</v>
      </c>
      <c r="D239">
        <v>163.88000500000001</v>
      </c>
      <c r="E239">
        <v>164.91999799999999</v>
      </c>
      <c r="F239">
        <v>163.89797999999999</v>
      </c>
      <c r="G239">
        <v>6035300</v>
      </c>
      <c r="I239">
        <f t="shared" si="11"/>
        <v>2.858101270189485E-3</v>
      </c>
      <c r="J239">
        <v>0</v>
      </c>
      <c r="K239">
        <f t="shared" si="9"/>
        <v>2.858101270189485E-3</v>
      </c>
      <c r="L239">
        <f t="shared" si="10"/>
        <v>0.28581012701894848</v>
      </c>
      <c r="M239">
        <v>0.96</v>
      </c>
    </row>
    <row r="240" spans="1:13" x14ac:dyDescent="0.2">
      <c r="A240" s="1">
        <v>44236</v>
      </c>
      <c r="B240">
        <v>165.199997</v>
      </c>
      <c r="C240">
        <v>166.58999600000001</v>
      </c>
      <c r="D240">
        <v>164.970001</v>
      </c>
      <c r="E240">
        <v>166.270004</v>
      </c>
      <c r="F240">
        <v>165.239609</v>
      </c>
      <c r="G240">
        <v>5544200</v>
      </c>
      <c r="I240">
        <f t="shared" si="11"/>
        <v>8.1857567738175402E-3</v>
      </c>
      <c r="J240">
        <v>0</v>
      </c>
      <c r="K240">
        <f t="shared" si="9"/>
        <v>8.1857567738175402E-3</v>
      </c>
      <c r="L240">
        <f t="shared" si="10"/>
        <v>0.81857567738175407</v>
      </c>
      <c r="M240">
        <v>0.05</v>
      </c>
    </row>
    <row r="241" spans="1:13" x14ac:dyDescent="0.2">
      <c r="A241" s="1">
        <v>44237</v>
      </c>
      <c r="B241">
        <v>167.88999899999999</v>
      </c>
      <c r="C241">
        <v>167.94000199999999</v>
      </c>
      <c r="D241">
        <v>165.699997</v>
      </c>
      <c r="E241">
        <v>166.80999800000001</v>
      </c>
      <c r="F241">
        <v>165.77626000000001</v>
      </c>
      <c r="G241">
        <v>5921300</v>
      </c>
      <c r="I241">
        <f t="shared" si="11"/>
        <v>3.247714051417334E-3</v>
      </c>
      <c r="J241">
        <v>0</v>
      </c>
      <c r="K241">
        <f t="shared" si="9"/>
        <v>3.247714051417334E-3</v>
      </c>
      <c r="L241">
        <f t="shared" si="10"/>
        <v>0.32477140514173342</v>
      </c>
      <c r="M241">
        <v>-7.0000000000000007E-2</v>
      </c>
    </row>
    <row r="242" spans="1:13" x14ac:dyDescent="0.2">
      <c r="A242" s="1">
        <v>44238</v>
      </c>
      <c r="B242">
        <v>167</v>
      </c>
      <c r="C242">
        <v>167.38000500000001</v>
      </c>
      <c r="D242">
        <v>165.60000600000001</v>
      </c>
      <c r="E242">
        <v>166.05999800000001</v>
      </c>
      <c r="F242">
        <v>165.030914</v>
      </c>
      <c r="G242">
        <v>4868300</v>
      </c>
      <c r="I242">
        <f t="shared" si="11"/>
        <v>-4.4960961237755755E-3</v>
      </c>
      <c r="J242">
        <v>0</v>
      </c>
      <c r="K242">
        <f t="shared" si="9"/>
        <v>-4.4960961237755755E-3</v>
      </c>
      <c r="L242">
        <f t="shared" si="10"/>
        <v>-0.44960961237755753</v>
      </c>
      <c r="M242">
        <v>0.19</v>
      </c>
    </row>
    <row r="243" spans="1:13" x14ac:dyDescent="0.2">
      <c r="A243" s="1">
        <v>44239</v>
      </c>
      <c r="B243">
        <v>164.39999399999999</v>
      </c>
      <c r="C243">
        <v>166.85000600000001</v>
      </c>
      <c r="D243">
        <v>164</v>
      </c>
      <c r="E243">
        <v>166.58000200000001</v>
      </c>
      <c r="F243">
        <v>165.547684</v>
      </c>
      <c r="G243">
        <v>4411300</v>
      </c>
      <c r="I243">
        <f t="shared" si="11"/>
        <v>3.1313527112866151E-3</v>
      </c>
      <c r="J243">
        <v>0</v>
      </c>
      <c r="K243">
        <f t="shared" si="9"/>
        <v>3.1313527112866151E-3</v>
      </c>
      <c r="L243">
        <f t="shared" si="10"/>
        <v>0.31313527112866152</v>
      </c>
      <c r="M243">
        <v>0.49</v>
      </c>
    </row>
    <row r="244" spans="1:13" x14ac:dyDescent="0.2">
      <c r="A244" s="1">
        <v>44243</v>
      </c>
      <c r="B244">
        <v>166.58000200000001</v>
      </c>
      <c r="C244">
        <v>167.050003</v>
      </c>
      <c r="D244">
        <v>164.63999899999999</v>
      </c>
      <c r="E244">
        <v>165.070007</v>
      </c>
      <c r="F244">
        <v>164.04705799999999</v>
      </c>
      <c r="G244">
        <v>5656100</v>
      </c>
      <c r="I244">
        <f t="shared" si="11"/>
        <v>-9.0646148815951479E-3</v>
      </c>
      <c r="J244">
        <v>0</v>
      </c>
      <c r="K244">
        <f t="shared" si="9"/>
        <v>-9.0646148815951479E-3</v>
      </c>
      <c r="L244">
        <f t="shared" si="10"/>
        <v>-0.90646148815951477</v>
      </c>
      <c r="M244">
        <v>-0.14000000000000001</v>
      </c>
    </row>
    <row r="245" spans="1:13" x14ac:dyDescent="0.2">
      <c r="A245" s="1">
        <v>44244</v>
      </c>
      <c r="B245">
        <v>164.970001</v>
      </c>
      <c r="C245">
        <v>166.08999600000001</v>
      </c>
      <c r="D245">
        <v>164.36000100000001</v>
      </c>
      <c r="E245">
        <v>165.66000399999999</v>
      </c>
      <c r="F245">
        <v>164.63339199999999</v>
      </c>
      <c r="G245">
        <v>6676700</v>
      </c>
      <c r="I245">
        <f t="shared" si="11"/>
        <v>3.5741817448502718E-3</v>
      </c>
      <c r="J245">
        <v>0</v>
      </c>
      <c r="K245">
        <f t="shared" si="9"/>
        <v>3.5741817448502718E-3</v>
      </c>
      <c r="L245">
        <f t="shared" si="10"/>
        <v>0.35741817448502716</v>
      </c>
      <c r="M245">
        <v>-0.2</v>
      </c>
    </row>
    <row r="246" spans="1:13" x14ac:dyDescent="0.2">
      <c r="A246" s="1">
        <v>44245</v>
      </c>
      <c r="B246">
        <v>164.96000699999999</v>
      </c>
      <c r="C246">
        <v>166.16000399999999</v>
      </c>
      <c r="D246">
        <v>164.300003</v>
      </c>
      <c r="E246">
        <v>165.740005</v>
      </c>
      <c r="F246">
        <v>164.712906</v>
      </c>
      <c r="G246">
        <v>5189100</v>
      </c>
      <c r="I246">
        <f t="shared" si="11"/>
        <v>4.8297613888692408E-4</v>
      </c>
      <c r="J246">
        <v>0</v>
      </c>
      <c r="K246">
        <f t="shared" si="9"/>
        <v>4.8297613888692408E-4</v>
      </c>
      <c r="L246">
        <f t="shared" si="10"/>
        <v>4.8297613888692408E-2</v>
      </c>
      <c r="M246">
        <v>-0.63</v>
      </c>
    </row>
    <row r="247" spans="1:13" x14ac:dyDescent="0.2">
      <c r="A247" s="1">
        <v>44246</v>
      </c>
      <c r="B247">
        <v>165.60000600000001</v>
      </c>
      <c r="C247">
        <v>165.96000699999999</v>
      </c>
      <c r="D247">
        <v>162.91000399999999</v>
      </c>
      <c r="E247">
        <v>162.979996</v>
      </c>
      <c r="F247">
        <v>161.96998600000001</v>
      </c>
      <c r="G247">
        <v>8190900</v>
      </c>
      <c r="I247">
        <f t="shared" si="11"/>
        <v>-1.6652732725145399E-2</v>
      </c>
      <c r="J247">
        <v>0</v>
      </c>
      <c r="K247">
        <f t="shared" si="9"/>
        <v>-1.6652732725145399E-2</v>
      </c>
      <c r="L247">
        <f t="shared" si="10"/>
        <v>-1.6652732725145398</v>
      </c>
      <c r="M247">
        <v>0.16</v>
      </c>
    </row>
    <row r="248" spans="1:13" x14ac:dyDescent="0.2">
      <c r="A248" s="1">
        <v>44249</v>
      </c>
      <c r="B248">
        <v>161.86999499999999</v>
      </c>
      <c r="C248">
        <v>162.53999300000001</v>
      </c>
      <c r="D248">
        <v>160.28999300000001</v>
      </c>
      <c r="E248">
        <v>161.86999499999999</v>
      </c>
      <c r="F248">
        <v>161.86999499999999</v>
      </c>
      <c r="G248">
        <v>6447100</v>
      </c>
      <c r="I248">
        <f t="shared" si="11"/>
        <v>-6.1734277114784111E-4</v>
      </c>
      <c r="J248">
        <v>0</v>
      </c>
      <c r="K248">
        <f t="shared" si="9"/>
        <v>-6.1734277114784111E-4</v>
      </c>
      <c r="L248">
        <f t="shared" si="10"/>
        <v>-6.173427711478411E-2</v>
      </c>
      <c r="M248">
        <v>-1.1200000000000001</v>
      </c>
    </row>
    <row r="249" spans="1:13" x14ac:dyDescent="0.2">
      <c r="A249" s="1">
        <v>44250</v>
      </c>
      <c r="B249">
        <v>161.479996</v>
      </c>
      <c r="C249">
        <v>163.19000199999999</v>
      </c>
      <c r="D249">
        <v>160.39999399999999</v>
      </c>
      <c r="E249">
        <v>160.44000199999999</v>
      </c>
      <c r="F249">
        <v>160.44000199999999</v>
      </c>
      <c r="G249">
        <v>7042800</v>
      </c>
      <c r="I249">
        <f t="shared" si="11"/>
        <v>-8.8342067348553144E-3</v>
      </c>
      <c r="J249">
        <v>0</v>
      </c>
      <c r="K249">
        <f t="shared" si="9"/>
        <v>-8.8342067348553144E-3</v>
      </c>
      <c r="L249">
        <f t="shared" si="10"/>
        <v>-0.88342067348553144</v>
      </c>
      <c r="M249">
        <v>-0.15</v>
      </c>
    </row>
    <row r="250" spans="1:13" x14ac:dyDescent="0.2">
      <c r="A250" s="1">
        <v>44251</v>
      </c>
      <c r="B250">
        <v>162.39999399999999</v>
      </c>
      <c r="C250">
        <v>164.38999899999999</v>
      </c>
      <c r="D250">
        <v>160.91999799999999</v>
      </c>
      <c r="E250">
        <v>162.58999600000001</v>
      </c>
      <c r="F250">
        <v>162.58999600000001</v>
      </c>
      <c r="G250">
        <v>10286100</v>
      </c>
      <c r="I250">
        <f t="shared" si="11"/>
        <v>1.3400610653196207E-2</v>
      </c>
      <c r="J250">
        <v>0</v>
      </c>
      <c r="K250">
        <f t="shared" si="9"/>
        <v>1.3400610653196207E-2</v>
      </c>
      <c r="L250">
        <f t="shared" si="10"/>
        <v>1.3400610653196208</v>
      </c>
      <c r="M250">
        <v>1.1499999999999999</v>
      </c>
    </row>
    <row r="251" spans="1:13" x14ac:dyDescent="0.2">
      <c r="A251" s="1">
        <v>44252</v>
      </c>
      <c r="B251">
        <v>163.13000500000001</v>
      </c>
      <c r="C251">
        <v>163.699997</v>
      </c>
      <c r="D251">
        <v>161.990005</v>
      </c>
      <c r="E251">
        <v>162.759995</v>
      </c>
      <c r="F251">
        <v>162.759995</v>
      </c>
      <c r="G251">
        <v>9719700</v>
      </c>
      <c r="I251">
        <f t="shared" si="11"/>
        <v>1.0455686338782491E-3</v>
      </c>
      <c r="J251">
        <v>0</v>
      </c>
      <c r="K251">
        <f t="shared" si="9"/>
        <v>1.0455686338782491E-3</v>
      </c>
      <c r="L251">
        <f t="shared" si="10"/>
        <v>0.10455686338782491</v>
      </c>
      <c r="M251">
        <v>-2.73</v>
      </c>
    </row>
    <row r="252" spans="1:13" x14ac:dyDescent="0.2">
      <c r="A252" s="1">
        <v>44253</v>
      </c>
      <c r="B252">
        <v>162</v>
      </c>
      <c r="C252">
        <v>162.41000399999999</v>
      </c>
      <c r="D252">
        <v>157.970001</v>
      </c>
      <c r="E252">
        <v>158.46000699999999</v>
      </c>
      <c r="F252">
        <v>158.46000699999999</v>
      </c>
      <c r="G252">
        <v>14356800</v>
      </c>
      <c r="I252">
        <f t="shared" si="11"/>
        <v>-2.6419194716736219E-2</v>
      </c>
      <c r="J252">
        <v>0</v>
      </c>
      <c r="K252">
        <f t="shared" si="9"/>
        <v>-2.6419194716736219E-2</v>
      </c>
      <c r="L252">
        <f t="shared" si="10"/>
        <v>-2.6419194716736221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JNJ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2021-04-29T13:29:25Z</dcterms:created>
  <dcterms:modified xsi:type="dcterms:W3CDTF">2021-04-29T16:17:38Z</dcterms:modified>
</cp:coreProperties>
</file>