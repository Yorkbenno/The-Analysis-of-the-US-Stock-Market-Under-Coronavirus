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xiaohongyu/Desktop/CAPM OLS/"/>
    </mc:Choice>
  </mc:AlternateContent>
  <xr:revisionPtr revIDLastSave="0" documentId="13_ncr:1_{422A3452-19D5-904A-9F2E-16C55C61DDEC}" xr6:coauthVersionLast="46" xr6:coauthVersionMax="46" xr10:uidLastSave="{00000000-0000-0000-0000-000000000000}"/>
  <bookViews>
    <workbookView xWindow="1580" yWindow="1960" windowWidth="26840" windowHeight="14820" activeTab="2" xr2:uid="{00000000-000D-0000-FFFF-FFFF00000000}"/>
  </bookViews>
  <sheets>
    <sheet name="Sheet2" sheetId="2" r:id="rId1"/>
    <sheet name="Sheet1" sheetId="3" r:id="rId2"/>
    <sheet name="CMCSA" sheetId="1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52" i="1" l="1"/>
  <c r="K252" i="1" s="1"/>
  <c r="L252" i="1" s="1"/>
  <c r="I251" i="1"/>
  <c r="K251" i="1" s="1"/>
  <c r="L251" i="1" s="1"/>
  <c r="I250" i="1"/>
  <c r="K250" i="1" s="1"/>
  <c r="L250" i="1" s="1"/>
  <c r="I249" i="1"/>
  <c r="K249" i="1" s="1"/>
  <c r="L249" i="1" s="1"/>
  <c r="I248" i="1"/>
  <c r="K248" i="1" s="1"/>
  <c r="L248" i="1" s="1"/>
  <c r="I247" i="1"/>
  <c r="K247" i="1" s="1"/>
  <c r="L247" i="1" s="1"/>
  <c r="I246" i="1"/>
  <c r="K246" i="1" s="1"/>
  <c r="L246" i="1" s="1"/>
  <c r="I245" i="1"/>
  <c r="K245" i="1" s="1"/>
  <c r="L245" i="1" s="1"/>
  <c r="I244" i="1"/>
  <c r="K244" i="1" s="1"/>
  <c r="L244" i="1" s="1"/>
  <c r="I243" i="1"/>
  <c r="K243" i="1" s="1"/>
  <c r="L243" i="1" s="1"/>
  <c r="I242" i="1"/>
  <c r="K242" i="1" s="1"/>
  <c r="L242" i="1" s="1"/>
  <c r="I241" i="1"/>
  <c r="K241" i="1" s="1"/>
  <c r="L241" i="1" s="1"/>
  <c r="I240" i="1"/>
  <c r="K240" i="1" s="1"/>
  <c r="L240" i="1" s="1"/>
  <c r="I239" i="1"/>
  <c r="K239" i="1" s="1"/>
  <c r="L239" i="1" s="1"/>
  <c r="I238" i="1"/>
  <c r="K238" i="1" s="1"/>
  <c r="L238" i="1" s="1"/>
  <c r="I237" i="1"/>
  <c r="K237" i="1" s="1"/>
  <c r="L237" i="1" s="1"/>
  <c r="I236" i="1"/>
  <c r="K236" i="1" s="1"/>
  <c r="L236" i="1" s="1"/>
  <c r="I235" i="1"/>
  <c r="K235" i="1" s="1"/>
  <c r="L235" i="1" s="1"/>
  <c r="I234" i="1"/>
  <c r="K234" i="1" s="1"/>
  <c r="L234" i="1" s="1"/>
  <c r="I233" i="1"/>
  <c r="K233" i="1" s="1"/>
  <c r="L233" i="1" s="1"/>
  <c r="I232" i="1"/>
  <c r="K232" i="1" s="1"/>
  <c r="L232" i="1" s="1"/>
  <c r="I231" i="1"/>
  <c r="K231" i="1" s="1"/>
  <c r="L231" i="1" s="1"/>
  <c r="I230" i="1"/>
  <c r="K230" i="1" s="1"/>
  <c r="L230" i="1" s="1"/>
  <c r="I229" i="1"/>
  <c r="K229" i="1" s="1"/>
  <c r="L229" i="1" s="1"/>
  <c r="I228" i="1"/>
  <c r="K228" i="1" s="1"/>
  <c r="L228" i="1" s="1"/>
  <c r="I227" i="1"/>
  <c r="K227" i="1" s="1"/>
  <c r="L227" i="1" s="1"/>
  <c r="I226" i="1"/>
  <c r="K226" i="1" s="1"/>
  <c r="L226" i="1" s="1"/>
  <c r="I225" i="1"/>
  <c r="K225" i="1" s="1"/>
  <c r="L225" i="1" s="1"/>
  <c r="I224" i="1"/>
  <c r="K224" i="1" s="1"/>
  <c r="L224" i="1" s="1"/>
  <c r="I223" i="1"/>
  <c r="K223" i="1" s="1"/>
  <c r="L223" i="1" s="1"/>
  <c r="I222" i="1"/>
  <c r="K222" i="1" s="1"/>
  <c r="L222" i="1" s="1"/>
  <c r="I221" i="1"/>
  <c r="K221" i="1" s="1"/>
  <c r="L221" i="1" s="1"/>
  <c r="I220" i="1"/>
  <c r="K220" i="1" s="1"/>
  <c r="L220" i="1" s="1"/>
  <c r="I219" i="1"/>
  <c r="K219" i="1" s="1"/>
  <c r="L219" i="1" s="1"/>
  <c r="I218" i="1"/>
  <c r="K218" i="1" s="1"/>
  <c r="L218" i="1" s="1"/>
  <c r="I217" i="1"/>
  <c r="K217" i="1" s="1"/>
  <c r="L217" i="1" s="1"/>
  <c r="I216" i="1"/>
  <c r="K216" i="1" s="1"/>
  <c r="L216" i="1" s="1"/>
  <c r="I215" i="1"/>
  <c r="K215" i="1" s="1"/>
  <c r="L215" i="1" s="1"/>
  <c r="I214" i="1"/>
  <c r="K214" i="1" s="1"/>
  <c r="L214" i="1" s="1"/>
  <c r="I213" i="1"/>
  <c r="K213" i="1" s="1"/>
  <c r="L213" i="1" s="1"/>
  <c r="I212" i="1"/>
  <c r="K212" i="1" s="1"/>
  <c r="L212" i="1" s="1"/>
  <c r="I211" i="1"/>
  <c r="K211" i="1" s="1"/>
  <c r="L211" i="1" s="1"/>
  <c r="I210" i="1"/>
  <c r="K210" i="1" s="1"/>
  <c r="L210" i="1" s="1"/>
  <c r="I209" i="1"/>
  <c r="K209" i="1" s="1"/>
  <c r="L209" i="1" s="1"/>
  <c r="I208" i="1"/>
  <c r="K208" i="1" s="1"/>
  <c r="L208" i="1" s="1"/>
  <c r="I207" i="1"/>
  <c r="K207" i="1" s="1"/>
  <c r="L207" i="1" s="1"/>
  <c r="I206" i="1"/>
  <c r="K206" i="1" s="1"/>
  <c r="L206" i="1" s="1"/>
  <c r="I205" i="1"/>
  <c r="K205" i="1" s="1"/>
  <c r="L205" i="1" s="1"/>
  <c r="I204" i="1"/>
  <c r="K204" i="1" s="1"/>
  <c r="L204" i="1" s="1"/>
  <c r="I203" i="1"/>
  <c r="K203" i="1" s="1"/>
  <c r="L203" i="1" s="1"/>
  <c r="I202" i="1"/>
  <c r="K202" i="1" s="1"/>
  <c r="L202" i="1" s="1"/>
  <c r="I201" i="1"/>
  <c r="K201" i="1" s="1"/>
  <c r="L201" i="1" s="1"/>
  <c r="I200" i="1"/>
  <c r="K200" i="1" s="1"/>
  <c r="L200" i="1" s="1"/>
  <c r="I199" i="1"/>
  <c r="K199" i="1" s="1"/>
  <c r="L199" i="1" s="1"/>
  <c r="I198" i="1"/>
  <c r="K198" i="1" s="1"/>
  <c r="L198" i="1" s="1"/>
  <c r="I197" i="1"/>
  <c r="K197" i="1" s="1"/>
  <c r="L197" i="1" s="1"/>
  <c r="I196" i="1"/>
  <c r="K196" i="1" s="1"/>
  <c r="L196" i="1" s="1"/>
  <c r="I195" i="1"/>
  <c r="K195" i="1" s="1"/>
  <c r="L195" i="1" s="1"/>
  <c r="I194" i="1"/>
  <c r="K194" i="1" s="1"/>
  <c r="L194" i="1" s="1"/>
  <c r="I193" i="1"/>
  <c r="K193" i="1" s="1"/>
  <c r="L193" i="1" s="1"/>
  <c r="I192" i="1"/>
  <c r="K192" i="1" s="1"/>
  <c r="L192" i="1" s="1"/>
  <c r="I191" i="1"/>
  <c r="K191" i="1" s="1"/>
  <c r="L191" i="1" s="1"/>
  <c r="I190" i="1"/>
  <c r="K190" i="1" s="1"/>
  <c r="L190" i="1" s="1"/>
  <c r="I189" i="1"/>
  <c r="K189" i="1" s="1"/>
  <c r="L189" i="1" s="1"/>
  <c r="I188" i="1"/>
  <c r="K188" i="1" s="1"/>
  <c r="L188" i="1" s="1"/>
  <c r="I187" i="1"/>
  <c r="K187" i="1" s="1"/>
  <c r="L187" i="1" s="1"/>
  <c r="I186" i="1"/>
  <c r="K186" i="1" s="1"/>
  <c r="L186" i="1" s="1"/>
  <c r="I185" i="1"/>
  <c r="K185" i="1" s="1"/>
  <c r="L185" i="1" s="1"/>
  <c r="I184" i="1"/>
  <c r="K184" i="1" s="1"/>
  <c r="L184" i="1" s="1"/>
  <c r="I183" i="1"/>
  <c r="K183" i="1" s="1"/>
  <c r="L183" i="1" s="1"/>
  <c r="I182" i="1"/>
  <c r="K182" i="1" s="1"/>
  <c r="L182" i="1" s="1"/>
  <c r="I181" i="1"/>
  <c r="K181" i="1" s="1"/>
  <c r="L181" i="1" s="1"/>
  <c r="I180" i="1"/>
  <c r="K180" i="1" s="1"/>
  <c r="L180" i="1" s="1"/>
  <c r="I179" i="1"/>
  <c r="K179" i="1" s="1"/>
  <c r="L179" i="1" s="1"/>
  <c r="I178" i="1"/>
  <c r="K178" i="1" s="1"/>
  <c r="L178" i="1" s="1"/>
  <c r="I177" i="1"/>
  <c r="K177" i="1" s="1"/>
  <c r="L177" i="1" s="1"/>
  <c r="I176" i="1"/>
  <c r="K176" i="1" s="1"/>
  <c r="L176" i="1" s="1"/>
  <c r="I175" i="1"/>
  <c r="K175" i="1" s="1"/>
  <c r="L175" i="1" s="1"/>
  <c r="I174" i="1"/>
  <c r="K174" i="1" s="1"/>
  <c r="L174" i="1" s="1"/>
  <c r="I173" i="1"/>
  <c r="K173" i="1" s="1"/>
  <c r="L173" i="1" s="1"/>
  <c r="I172" i="1"/>
  <c r="K172" i="1" s="1"/>
  <c r="L172" i="1" s="1"/>
  <c r="I171" i="1"/>
  <c r="K171" i="1" s="1"/>
  <c r="L171" i="1" s="1"/>
  <c r="I170" i="1"/>
  <c r="K170" i="1" s="1"/>
  <c r="L170" i="1" s="1"/>
  <c r="I169" i="1"/>
  <c r="K169" i="1" s="1"/>
  <c r="L169" i="1" s="1"/>
  <c r="I168" i="1"/>
  <c r="K168" i="1" s="1"/>
  <c r="L168" i="1" s="1"/>
  <c r="I167" i="1"/>
  <c r="K167" i="1" s="1"/>
  <c r="L167" i="1" s="1"/>
  <c r="I166" i="1"/>
  <c r="K166" i="1" s="1"/>
  <c r="L166" i="1" s="1"/>
  <c r="I165" i="1"/>
  <c r="K165" i="1" s="1"/>
  <c r="L165" i="1" s="1"/>
  <c r="I164" i="1"/>
  <c r="K164" i="1" s="1"/>
  <c r="L164" i="1" s="1"/>
  <c r="I163" i="1"/>
  <c r="K163" i="1" s="1"/>
  <c r="L163" i="1" s="1"/>
  <c r="I162" i="1"/>
  <c r="K162" i="1" s="1"/>
  <c r="L162" i="1" s="1"/>
  <c r="I161" i="1"/>
  <c r="K161" i="1" s="1"/>
  <c r="L161" i="1" s="1"/>
  <c r="I160" i="1"/>
  <c r="K160" i="1" s="1"/>
  <c r="L160" i="1" s="1"/>
  <c r="I159" i="1"/>
  <c r="K159" i="1" s="1"/>
  <c r="L159" i="1" s="1"/>
  <c r="I158" i="1"/>
  <c r="K158" i="1" s="1"/>
  <c r="L158" i="1" s="1"/>
  <c r="I157" i="1"/>
  <c r="K157" i="1" s="1"/>
  <c r="L157" i="1" s="1"/>
  <c r="I156" i="1"/>
  <c r="K156" i="1" s="1"/>
  <c r="L156" i="1" s="1"/>
  <c r="I155" i="1"/>
  <c r="K155" i="1" s="1"/>
  <c r="L155" i="1" s="1"/>
  <c r="I154" i="1"/>
  <c r="K154" i="1" s="1"/>
  <c r="L154" i="1" s="1"/>
  <c r="I153" i="1"/>
  <c r="K153" i="1" s="1"/>
  <c r="L153" i="1" s="1"/>
  <c r="I152" i="1"/>
  <c r="K152" i="1" s="1"/>
  <c r="L152" i="1" s="1"/>
  <c r="I151" i="1"/>
  <c r="K151" i="1" s="1"/>
  <c r="L151" i="1" s="1"/>
  <c r="I150" i="1"/>
  <c r="K150" i="1" s="1"/>
  <c r="L150" i="1" s="1"/>
  <c r="I149" i="1"/>
  <c r="K149" i="1" s="1"/>
  <c r="L149" i="1" s="1"/>
  <c r="I148" i="1"/>
  <c r="K148" i="1" s="1"/>
  <c r="L148" i="1" s="1"/>
  <c r="I147" i="1"/>
  <c r="K147" i="1" s="1"/>
  <c r="L147" i="1" s="1"/>
  <c r="I146" i="1"/>
  <c r="K146" i="1" s="1"/>
  <c r="L146" i="1" s="1"/>
  <c r="I145" i="1"/>
  <c r="K145" i="1" s="1"/>
  <c r="L145" i="1" s="1"/>
  <c r="I144" i="1"/>
  <c r="K144" i="1" s="1"/>
  <c r="L144" i="1" s="1"/>
  <c r="I143" i="1"/>
  <c r="K143" i="1" s="1"/>
  <c r="L143" i="1" s="1"/>
  <c r="I142" i="1"/>
  <c r="K142" i="1" s="1"/>
  <c r="L142" i="1" s="1"/>
  <c r="I141" i="1"/>
  <c r="K141" i="1" s="1"/>
  <c r="L141" i="1" s="1"/>
  <c r="I140" i="1"/>
  <c r="K140" i="1" s="1"/>
  <c r="L140" i="1" s="1"/>
  <c r="I139" i="1"/>
  <c r="K139" i="1" s="1"/>
  <c r="L139" i="1" s="1"/>
  <c r="I138" i="1"/>
  <c r="K138" i="1" s="1"/>
  <c r="L138" i="1" s="1"/>
  <c r="I137" i="1"/>
  <c r="K137" i="1" s="1"/>
  <c r="L137" i="1" s="1"/>
  <c r="I136" i="1"/>
  <c r="K136" i="1" s="1"/>
  <c r="L136" i="1" s="1"/>
  <c r="I135" i="1"/>
  <c r="K135" i="1" s="1"/>
  <c r="L135" i="1" s="1"/>
  <c r="I134" i="1"/>
  <c r="K134" i="1" s="1"/>
  <c r="L134" i="1" s="1"/>
  <c r="I133" i="1"/>
  <c r="K133" i="1" s="1"/>
  <c r="L133" i="1" s="1"/>
  <c r="I132" i="1"/>
  <c r="K132" i="1" s="1"/>
  <c r="L132" i="1" s="1"/>
  <c r="I131" i="1"/>
  <c r="K131" i="1" s="1"/>
  <c r="L131" i="1" s="1"/>
  <c r="I130" i="1"/>
  <c r="K130" i="1" s="1"/>
  <c r="L130" i="1" s="1"/>
  <c r="I129" i="1"/>
  <c r="K129" i="1" s="1"/>
  <c r="L129" i="1" s="1"/>
  <c r="I128" i="1"/>
  <c r="K128" i="1" s="1"/>
  <c r="L128" i="1" s="1"/>
  <c r="I127" i="1"/>
  <c r="K127" i="1" s="1"/>
  <c r="L127" i="1" s="1"/>
  <c r="I126" i="1"/>
  <c r="K126" i="1" s="1"/>
  <c r="L126" i="1" s="1"/>
  <c r="I125" i="1"/>
  <c r="K125" i="1" s="1"/>
  <c r="L125" i="1" s="1"/>
  <c r="I124" i="1"/>
  <c r="K124" i="1" s="1"/>
  <c r="L124" i="1" s="1"/>
  <c r="I123" i="1"/>
  <c r="K123" i="1" s="1"/>
  <c r="L123" i="1" s="1"/>
  <c r="I122" i="1"/>
  <c r="K122" i="1" s="1"/>
  <c r="L122" i="1" s="1"/>
  <c r="I121" i="1"/>
  <c r="K121" i="1" s="1"/>
  <c r="L121" i="1" s="1"/>
  <c r="I120" i="1"/>
  <c r="K120" i="1" s="1"/>
  <c r="L120" i="1" s="1"/>
  <c r="I119" i="1"/>
  <c r="K119" i="1" s="1"/>
  <c r="L119" i="1" s="1"/>
  <c r="I118" i="1"/>
  <c r="K118" i="1" s="1"/>
  <c r="L118" i="1" s="1"/>
  <c r="I117" i="1"/>
  <c r="K117" i="1" s="1"/>
  <c r="L117" i="1" s="1"/>
  <c r="I116" i="1"/>
  <c r="K116" i="1" s="1"/>
  <c r="L116" i="1" s="1"/>
  <c r="I115" i="1"/>
  <c r="K115" i="1" s="1"/>
  <c r="L115" i="1" s="1"/>
  <c r="I114" i="1"/>
  <c r="K114" i="1" s="1"/>
  <c r="L114" i="1" s="1"/>
  <c r="I113" i="1"/>
  <c r="K113" i="1" s="1"/>
  <c r="L113" i="1" s="1"/>
  <c r="I112" i="1"/>
  <c r="K112" i="1" s="1"/>
  <c r="L112" i="1" s="1"/>
  <c r="I111" i="1"/>
  <c r="K111" i="1" s="1"/>
  <c r="L111" i="1" s="1"/>
  <c r="I110" i="1"/>
  <c r="K110" i="1" s="1"/>
  <c r="L110" i="1" s="1"/>
  <c r="I109" i="1"/>
  <c r="K109" i="1" s="1"/>
  <c r="L109" i="1" s="1"/>
  <c r="I108" i="1"/>
  <c r="K108" i="1" s="1"/>
  <c r="L108" i="1" s="1"/>
  <c r="I107" i="1"/>
  <c r="K107" i="1" s="1"/>
  <c r="L107" i="1" s="1"/>
  <c r="I106" i="1"/>
  <c r="K106" i="1" s="1"/>
  <c r="L106" i="1" s="1"/>
  <c r="I105" i="1"/>
  <c r="K105" i="1" s="1"/>
  <c r="L105" i="1" s="1"/>
  <c r="I104" i="1"/>
  <c r="K104" i="1" s="1"/>
  <c r="L104" i="1" s="1"/>
  <c r="I103" i="1"/>
  <c r="K103" i="1" s="1"/>
  <c r="L103" i="1" s="1"/>
  <c r="I102" i="1"/>
  <c r="K102" i="1" s="1"/>
  <c r="L102" i="1" s="1"/>
  <c r="I101" i="1"/>
  <c r="K101" i="1" s="1"/>
  <c r="L101" i="1" s="1"/>
  <c r="I100" i="1"/>
  <c r="K100" i="1" s="1"/>
  <c r="L100" i="1" s="1"/>
  <c r="I99" i="1"/>
  <c r="K99" i="1" s="1"/>
  <c r="L99" i="1" s="1"/>
  <c r="I98" i="1"/>
  <c r="K98" i="1" s="1"/>
  <c r="L98" i="1" s="1"/>
  <c r="I97" i="1"/>
  <c r="K97" i="1" s="1"/>
  <c r="L97" i="1" s="1"/>
  <c r="I96" i="1"/>
  <c r="K96" i="1" s="1"/>
  <c r="L96" i="1" s="1"/>
  <c r="I95" i="1"/>
  <c r="K95" i="1" s="1"/>
  <c r="L95" i="1" s="1"/>
  <c r="I94" i="1"/>
  <c r="K94" i="1" s="1"/>
  <c r="L94" i="1" s="1"/>
  <c r="I93" i="1"/>
  <c r="K93" i="1" s="1"/>
  <c r="L93" i="1" s="1"/>
  <c r="I92" i="1"/>
  <c r="K92" i="1" s="1"/>
  <c r="L92" i="1" s="1"/>
  <c r="I91" i="1"/>
  <c r="K91" i="1" s="1"/>
  <c r="L91" i="1" s="1"/>
  <c r="I90" i="1"/>
  <c r="K90" i="1" s="1"/>
  <c r="L90" i="1" s="1"/>
  <c r="I89" i="1"/>
  <c r="K89" i="1" s="1"/>
  <c r="L89" i="1" s="1"/>
  <c r="I88" i="1"/>
  <c r="K88" i="1" s="1"/>
  <c r="L88" i="1" s="1"/>
  <c r="I87" i="1"/>
  <c r="K87" i="1" s="1"/>
  <c r="L87" i="1" s="1"/>
  <c r="I86" i="1"/>
  <c r="K86" i="1" s="1"/>
  <c r="L86" i="1" s="1"/>
  <c r="I85" i="1"/>
  <c r="K85" i="1" s="1"/>
  <c r="L85" i="1" s="1"/>
  <c r="I84" i="1"/>
  <c r="K84" i="1" s="1"/>
  <c r="L84" i="1" s="1"/>
  <c r="I83" i="1"/>
  <c r="K83" i="1" s="1"/>
  <c r="L83" i="1" s="1"/>
  <c r="I82" i="1"/>
  <c r="K82" i="1" s="1"/>
  <c r="L82" i="1" s="1"/>
  <c r="I81" i="1"/>
  <c r="K81" i="1" s="1"/>
  <c r="L81" i="1" s="1"/>
  <c r="I80" i="1"/>
  <c r="K80" i="1" s="1"/>
  <c r="L80" i="1" s="1"/>
  <c r="I79" i="1"/>
  <c r="K79" i="1" s="1"/>
  <c r="L79" i="1" s="1"/>
  <c r="I78" i="1"/>
  <c r="K78" i="1" s="1"/>
  <c r="L78" i="1" s="1"/>
  <c r="I77" i="1"/>
  <c r="K77" i="1" s="1"/>
  <c r="L77" i="1" s="1"/>
  <c r="I76" i="1"/>
  <c r="K76" i="1" s="1"/>
  <c r="L76" i="1" s="1"/>
  <c r="I75" i="1"/>
  <c r="K75" i="1" s="1"/>
  <c r="L75" i="1" s="1"/>
  <c r="I74" i="1"/>
  <c r="K74" i="1" s="1"/>
  <c r="L74" i="1" s="1"/>
  <c r="I73" i="1"/>
  <c r="K73" i="1" s="1"/>
  <c r="L73" i="1" s="1"/>
  <c r="I72" i="1"/>
  <c r="K72" i="1" s="1"/>
  <c r="L72" i="1" s="1"/>
  <c r="I71" i="1"/>
  <c r="K71" i="1" s="1"/>
  <c r="L71" i="1" s="1"/>
  <c r="I70" i="1"/>
  <c r="K70" i="1" s="1"/>
  <c r="L70" i="1" s="1"/>
  <c r="I69" i="1"/>
  <c r="K69" i="1" s="1"/>
  <c r="L69" i="1" s="1"/>
  <c r="I68" i="1"/>
  <c r="K68" i="1" s="1"/>
  <c r="L68" i="1" s="1"/>
  <c r="I67" i="1"/>
  <c r="K67" i="1" s="1"/>
  <c r="L67" i="1" s="1"/>
  <c r="I66" i="1"/>
  <c r="K66" i="1" s="1"/>
  <c r="L66" i="1" s="1"/>
  <c r="I65" i="1"/>
  <c r="K65" i="1" s="1"/>
  <c r="L65" i="1" s="1"/>
  <c r="I64" i="1"/>
  <c r="K64" i="1" s="1"/>
  <c r="L64" i="1" s="1"/>
  <c r="I63" i="1"/>
  <c r="K63" i="1" s="1"/>
  <c r="L63" i="1" s="1"/>
  <c r="I62" i="1"/>
  <c r="K62" i="1" s="1"/>
  <c r="L62" i="1" s="1"/>
  <c r="I61" i="1"/>
  <c r="K61" i="1" s="1"/>
  <c r="L61" i="1" s="1"/>
  <c r="I60" i="1"/>
  <c r="K60" i="1" s="1"/>
  <c r="L60" i="1" s="1"/>
  <c r="I59" i="1"/>
  <c r="K59" i="1" s="1"/>
  <c r="L59" i="1" s="1"/>
  <c r="I58" i="1"/>
  <c r="K58" i="1" s="1"/>
  <c r="L58" i="1" s="1"/>
  <c r="I57" i="1"/>
  <c r="K57" i="1" s="1"/>
  <c r="L57" i="1" s="1"/>
  <c r="I56" i="1"/>
  <c r="K56" i="1" s="1"/>
  <c r="L56" i="1" s="1"/>
  <c r="I55" i="1"/>
  <c r="K55" i="1" s="1"/>
  <c r="L55" i="1" s="1"/>
  <c r="I54" i="1"/>
  <c r="K54" i="1" s="1"/>
  <c r="L54" i="1" s="1"/>
  <c r="I53" i="1"/>
  <c r="K53" i="1" s="1"/>
  <c r="L53" i="1" s="1"/>
  <c r="I52" i="1"/>
  <c r="K52" i="1" s="1"/>
  <c r="L52" i="1" s="1"/>
  <c r="I51" i="1"/>
  <c r="K51" i="1" s="1"/>
  <c r="L51" i="1" s="1"/>
  <c r="I50" i="1"/>
  <c r="K50" i="1" s="1"/>
  <c r="L50" i="1" s="1"/>
  <c r="I49" i="1"/>
  <c r="K49" i="1" s="1"/>
  <c r="L49" i="1" s="1"/>
  <c r="I48" i="1"/>
  <c r="K48" i="1" s="1"/>
  <c r="L48" i="1" s="1"/>
  <c r="I47" i="1"/>
  <c r="K47" i="1" s="1"/>
  <c r="L47" i="1" s="1"/>
  <c r="I46" i="1"/>
  <c r="K46" i="1" s="1"/>
  <c r="L46" i="1" s="1"/>
  <c r="I45" i="1"/>
  <c r="K45" i="1" s="1"/>
  <c r="L45" i="1" s="1"/>
  <c r="I44" i="1"/>
  <c r="K44" i="1" s="1"/>
  <c r="L44" i="1" s="1"/>
  <c r="I43" i="1"/>
  <c r="K43" i="1" s="1"/>
  <c r="L43" i="1" s="1"/>
  <c r="I42" i="1"/>
  <c r="K42" i="1" s="1"/>
  <c r="L42" i="1" s="1"/>
  <c r="I41" i="1"/>
  <c r="K41" i="1" s="1"/>
  <c r="L41" i="1" s="1"/>
  <c r="I40" i="1"/>
  <c r="K40" i="1" s="1"/>
  <c r="L40" i="1" s="1"/>
  <c r="I39" i="1"/>
  <c r="K39" i="1" s="1"/>
  <c r="L39" i="1" s="1"/>
  <c r="I38" i="1"/>
  <c r="K38" i="1" s="1"/>
  <c r="L38" i="1" s="1"/>
  <c r="I37" i="1"/>
  <c r="K37" i="1" s="1"/>
  <c r="L37" i="1" s="1"/>
  <c r="I36" i="1"/>
  <c r="K36" i="1" s="1"/>
  <c r="L36" i="1" s="1"/>
  <c r="I35" i="1"/>
  <c r="K35" i="1" s="1"/>
  <c r="L35" i="1" s="1"/>
  <c r="I34" i="1"/>
  <c r="K34" i="1" s="1"/>
  <c r="L34" i="1" s="1"/>
  <c r="I33" i="1"/>
  <c r="K33" i="1" s="1"/>
  <c r="L33" i="1" s="1"/>
  <c r="I32" i="1"/>
  <c r="K32" i="1" s="1"/>
  <c r="L32" i="1" s="1"/>
  <c r="I31" i="1"/>
  <c r="K31" i="1" s="1"/>
  <c r="L31" i="1" s="1"/>
  <c r="I30" i="1"/>
  <c r="K30" i="1" s="1"/>
  <c r="L30" i="1" s="1"/>
  <c r="I29" i="1"/>
  <c r="K29" i="1" s="1"/>
  <c r="L29" i="1" s="1"/>
  <c r="I28" i="1"/>
  <c r="K28" i="1" s="1"/>
  <c r="L28" i="1" s="1"/>
  <c r="I27" i="1"/>
  <c r="K27" i="1" s="1"/>
  <c r="L27" i="1" s="1"/>
  <c r="I26" i="1"/>
  <c r="K26" i="1" s="1"/>
  <c r="L26" i="1" s="1"/>
  <c r="I25" i="1"/>
  <c r="K25" i="1" s="1"/>
  <c r="L25" i="1" s="1"/>
  <c r="I24" i="1"/>
  <c r="K24" i="1" s="1"/>
  <c r="L24" i="1" s="1"/>
  <c r="I23" i="1"/>
  <c r="K23" i="1" s="1"/>
  <c r="L23" i="1" s="1"/>
  <c r="I22" i="1"/>
  <c r="K22" i="1" s="1"/>
  <c r="L22" i="1" s="1"/>
  <c r="I21" i="1"/>
  <c r="K21" i="1" s="1"/>
  <c r="L21" i="1" s="1"/>
  <c r="I20" i="1"/>
  <c r="K20" i="1" s="1"/>
  <c r="L20" i="1" s="1"/>
  <c r="I19" i="1"/>
  <c r="K19" i="1" s="1"/>
  <c r="L19" i="1" s="1"/>
  <c r="I18" i="1"/>
  <c r="K18" i="1" s="1"/>
  <c r="L18" i="1" s="1"/>
  <c r="I17" i="1"/>
  <c r="K17" i="1" s="1"/>
  <c r="L17" i="1" s="1"/>
  <c r="I16" i="1"/>
  <c r="K16" i="1" s="1"/>
  <c r="L16" i="1" s="1"/>
  <c r="I15" i="1"/>
  <c r="K15" i="1" s="1"/>
  <c r="L15" i="1" s="1"/>
  <c r="I14" i="1"/>
  <c r="K14" i="1" s="1"/>
  <c r="L14" i="1" s="1"/>
  <c r="I13" i="1"/>
  <c r="K13" i="1" s="1"/>
  <c r="L13" i="1" s="1"/>
  <c r="I12" i="1"/>
  <c r="K12" i="1" s="1"/>
  <c r="L12" i="1" s="1"/>
  <c r="I11" i="1"/>
  <c r="K11" i="1" s="1"/>
  <c r="L11" i="1" s="1"/>
  <c r="I10" i="1"/>
  <c r="K10" i="1" s="1"/>
  <c r="L10" i="1" s="1"/>
  <c r="I9" i="1"/>
  <c r="K9" i="1" s="1"/>
  <c r="L9" i="1" s="1"/>
  <c r="I8" i="1"/>
  <c r="K8" i="1" s="1"/>
  <c r="L8" i="1" s="1"/>
  <c r="I7" i="1"/>
  <c r="K7" i="1" s="1"/>
  <c r="L7" i="1" s="1"/>
  <c r="I6" i="1"/>
  <c r="K6" i="1" s="1"/>
  <c r="L6" i="1" s="1"/>
  <c r="I5" i="1"/>
  <c r="K5" i="1" s="1"/>
  <c r="L5" i="1" s="1"/>
  <c r="I4" i="1"/>
  <c r="K4" i="1" s="1"/>
  <c r="L4" i="1" s="1"/>
  <c r="I3" i="1"/>
  <c r="K3" i="1" s="1"/>
  <c r="L3" i="1" s="1"/>
</calcChain>
</file>

<file path=xl/sharedStrings.xml><?xml version="1.0" encoding="utf-8"?>
<sst xmlns="http://schemas.openxmlformats.org/spreadsheetml/2006/main" count="64" uniqueCount="37">
  <si>
    <t>Date</t>
  </si>
  <si>
    <t>Open</t>
  </si>
  <si>
    <t>High</t>
  </si>
  <si>
    <t>Low</t>
  </si>
  <si>
    <t>Close</t>
  </si>
  <si>
    <t>Adj Close</t>
  </si>
  <si>
    <t>Volume</t>
  </si>
  <si>
    <t>Mkt-RF</t>
  </si>
  <si>
    <t>CMCSA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</si>
  <si>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</si>
  <si>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</si>
  <si>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</si>
  <si>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</si>
  <si>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</si>
  <si>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</si>
  <si>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</si>
  <si>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</si>
  <si>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</si>
  <si>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</si>
  <si>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</si>
  <si>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</si>
  <si>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</si>
  <si>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</si>
  <si>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</si>
  <si>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</si>
  <si>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</si>
  <si>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</si>
  <si>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</si>
  <si>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</si>
  <si>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</si>
  <si>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</si>
  <si>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</si>
  <si>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</si>
  <si>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X Variable 1</t>
  </si>
  <si>
    <t>Daily Return</t>
  </si>
  <si>
    <t>RF rate</t>
  </si>
  <si>
    <t>Excess Return for CMCSA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</si>
</sst>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14" fontId="0" fillId="0" borderId="0" xfId="0" applyNumberFormat="1"/>
    <xf numFmtId="0" fontId="0" fillId="0" borderId="0" xfId="0" applyFill="1" applyBorder="1" applyAlignment="1"/>
    <xf numFmtId="0" fontId="0" fillId="0" borderId="10" xfId="0" applyFill="1" applyBorder="1" applyAlignment="1"/>
    <xf numFmtId="0" fontId="18" fillId="0" borderId="11" xfId="0" applyFont="1" applyFill="1" applyBorder="1" applyAlignment="1">
      <alignment horizontal="center"/>
    </xf>
    <xf numFmtId="0" fontId="18" fillId="0" borderId="11" xfId="0" applyFont="1" applyFill="1" applyBorder="1" applyAlignment="1">
      <alignment horizontal="centerContinuous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18"/>
  <sheetViews>
    <sheetView workbookViewId="0">
      <selection activeCell="M13" sqref="M13"/>
    </sheetView>
  </sheetViews>
  <sheetFormatPr baseColWidth="10" defaultRowHeight="16" x14ac:dyDescent="0.2"/>
  <sheetData>
    <row r="1" spans="1:9" x14ac:dyDescent="0.2">
      <c r="A1" t="s">
        <v>9</v>
      </c>
    </row>
    <row r="2" spans="1:9" ht="17" thickBot="1" x14ac:dyDescent="0.25"/>
    <row r="3" spans="1:9" x14ac:dyDescent="0.2">
      <c r="A3" s="5" t="s">
        <v>10</v>
      </c>
      <c r="B3" s="5"/>
    </row>
    <row r="4" spans="1:9" x14ac:dyDescent="0.2">
      <c r="A4" s="2" t="s">
        <v>11</v>
      </c>
      <c r="B4" s="2">
        <v>0.7898751511000871</v>
      </c>
    </row>
    <row r="5" spans="1:9" x14ac:dyDescent="0.2">
      <c r="A5" s="2" t="s">
        <v>12</v>
      </c>
      <c r="B5" s="2">
        <v>0.62390275432538544</v>
      </c>
    </row>
    <row r="6" spans="1:9" x14ac:dyDescent="0.2">
      <c r="A6" s="2" t="s">
        <v>13</v>
      </c>
      <c r="B6" s="2">
        <v>0.62238623317347175</v>
      </c>
    </row>
    <row r="7" spans="1:9" x14ac:dyDescent="0.2">
      <c r="A7" s="2" t="s">
        <v>14</v>
      </c>
      <c r="B7" s="2">
        <v>1.5060878563353706</v>
      </c>
    </row>
    <row r="8" spans="1:9" ht="17" thickBot="1" x14ac:dyDescent="0.25">
      <c r="A8" s="3" t="s">
        <v>15</v>
      </c>
      <c r="B8" s="3">
        <v>250</v>
      </c>
    </row>
    <row r="10" spans="1:9" ht="17" thickBot="1" x14ac:dyDescent="0.25">
      <c r="A10" t="s">
        <v>16</v>
      </c>
    </row>
    <row r="11" spans="1:9" x14ac:dyDescent="0.2">
      <c r="A11" s="4"/>
      <c r="B11" s="4" t="s">
        <v>21</v>
      </c>
      <c r="C11" s="4" t="s">
        <v>22</v>
      </c>
      <c r="D11" s="4" t="s">
        <v>23</v>
      </c>
      <c r="E11" s="4" t="s">
        <v>24</v>
      </c>
      <c r="F11" s="4" t="s">
        <v>25</v>
      </c>
    </row>
    <row r="12" spans="1:9" x14ac:dyDescent="0.2">
      <c r="A12" s="2" t="s">
        <v>17</v>
      </c>
      <c r="B12" s="2">
        <v>1</v>
      </c>
      <c r="C12" s="2">
        <v>933.18778279719231</v>
      </c>
      <c r="D12" s="2">
        <v>933.18778279719231</v>
      </c>
      <c r="E12" s="2">
        <v>411.40392505442702</v>
      </c>
      <c r="F12" s="2">
        <v>1.3896195640545494E-54</v>
      </c>
    </row>
    <row r="13" spans="1:9" x14ac:dyDescent="0.2">
      <c r="A13" s="2" t="s">
        <v>18</v>
      </c>
      <c r="B13" s="2">
        <v>248</v>
      </c>
      <c r="C13" s="2">
        <v>562.53855648821627</v>
      </c>
      <c r="D13" s="2">
        <v>2.268300631000872</v>
      </c>
      <c r="E13" s="2"/>
      <c r="F13" s="2"/>
    </row>
    <row r="14" spans="1:9" ht="17" thickBot="1" x14ac:dyDescent="0.25">
      <c r="A14" s="3" t="s">
        <v>19</v>
      </c>
      <c r="B14" s="3">
        <v>249</v>
      </c>
      <c r="C14" s="3">
        <v>1495.7263392854086</v>
      </c>
      <c r="D14" s="3"/>
      <c r="E14" s="3"/>
      <c r="F14" s="3"/>
    </row>
    <row r="15" spans="1:9" ht="17" thickBot="1" x14ac:dyDescent="0.25"/>
    <row r="16" spans="1:9" x14ac:dyDescent="0.2">
      <c r="A16" s="4"/>
      <c r="B16" s="4" t="s">
        <v>26</v>
      </c>
      <c r="C16" s="4" t="s">
        <v>14</v>
      </c>
      <c r="D16" s="4" t="s">
        <v>27</v>
      </c>
      <c r="E16" s="4" t="s">
        <v>28</v>
      </c>
      <c r="F16" s="4" t="s">
        <v>29</v>
      </c>
      <c r="G16" s="4" t="s">
        <v>30</v>
      </c>
      <c r="H16" s="4" t="s">
        <v>31</v>
      </c>
      <c r="I16" s="4" t="s">
        <v>32</v>
      </c>
    </row>
    <row r="17" spans="1:9" x14ac:dyDescent="0.2">
      <c r="A17" s="2" t="s">
        <v>20</v>
      </c>
      <c r="B17" s="2">
        <v>-4.897725485653856E-2</v>
      </c>
      <c r="C17" s="2">
        <v>9.5444939082763289E-2</v>
      </c>
      <c r="D17" s="2">
        <v>-0.51314669302757743</v>
      </c>
      <c r="E17" s="2">
        <v>0.60830551430034319</v>
      </c>
      <c r="F17" s="2">
        <v>-0.23696328313577558</v>
      </c>
      <c r="G17" s="2">
        <v>0.13900877342269846</v>
      </c>
      <c r="H17" s="2">
        <v>-0.23696328313577558</v>
      </c>
      <c r="I17" s="2">
        <v>0.13900877342269846</v>
      </c>
    </row>
    <row r="18" spans="1:9" ht="17" thickBot="1" x14ac:dyDescent="0.25">
      <c r="A18" s="3" t="s">
        <v>33</v>
      </c>
      <c r="B18" s="3">
        <v>0.90092319692652012</v>
      </c>
      <c r="C18" s="3">
        <v>4.4417443015173308E-2</v>
      </c>
      <c r="D18" s="3">
        <v>20.283094563069703</v>
      </c>
      <c r="E18" s="3">
        <v>1.389619564054312E-54</v>
      </c>
      <c r="F18" s="3">
        <v>0.81343968256750998</v>
      </c>
      <c r="G18" s="3">
        <v>0.98840671128553026</v>
      </c>
      <c r="H18" s="3">
        <v>0.81343968256750998</v>
      </c>
      <c r="I18" s="3">
        <v>0.98840671128553026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ECC01-76C1-4B45-B4BB-6671AE27F58B}">
  <dimension ref="A1:I18"/>
  <sheetViews>
    <sheetView workbookViewId="0">
      <selection sqref="A1:I21"/>
    </sheetView>
  </sheetViews>
  <sheetFormatPr baseColWidth="10" defaultRowHeight="16" x14ac:dyDescent="0.2"/>
  <sheetData>
    <row r="1" spans="1:9" x14ac:dyDescent="0.2">
      <c r="A1" t="s">
        <v>9</v>
      </c>
    </row>
    <row r="2" spans="1:9" ht="17" thickBot="1" x14ac:dyDescent="0.25"/>
    <row r="3" spans="1:9" x14ac:dyDescent="0.2">
      <c r="A3" s="5" t="s">
        <v>10</v>
      </c>
      <c r="B3" s="5"/>
    </row>
    <row r="4" spans="1:9" x14ac:dyDescent="0.2">
      <c r="A4" s="2" t="s">
        <v>11</v>
      </c>
      <c r="B4" s="2">
        <v>0.71650063757144045</v>
      </c>
    </row>
    <row r="5" spans="1:9" x14ac:dyDescent="0.2">
      <c r="A5" s="2" t="s">
        <v>12</v>
      </c>
      <c r="B5" s="2">
        <v>0.51337316364028063</v>
      </c>
    </row>
    <row r="6" spans="1:9" x14ac:dyDescent="0.2">
      <c r="A6" s="2" t="s">
        <v>13</v>
      </c>
      <c r="B6" s="2">
        <v>0.51122943308362989</v>
      </c>
    </row>
    <row r="7" spans="1:9" x14ac:dyDescent="0.2">
      <c r="A7" s="2" t="s">
        <v>14</v>
      </c>
      <c r="B7" s="2">
        <v>1.3048152669753557</v>
      </c>
    </row>
    <row r="8" spans="1:9" ht="17" thickBot="1" x14ac:dyDescent="0.25">
      <c r="A8" s="3" t="s">
        <v>15</v>
      </c>
      <c r="B8" s="3">
        <v>229</v>
      </c>
    </row>
    <row r="10" spans="1:9" ht="17" thickBot="1" x14ac:dyDescent="0.25">
      <c r="A10" t="s">
        <v>16</v>
      </c>
    </row>
    <row r="11" spans="1:9" x14ac:dyDescent="0.2">
      <c r="A11" s="4"/>
      <c r="B11" s="4" t="s">
        <v>21</v>
      </c>
      <c r="C11" s="4" t="s">
        <v>22</v>
      </c>
      <c r="D11" s="4" t="s">
        <v>23</v>
      </c>
      <c r="E11" s="4" t="s">
        <v>24</v>
      </c>
      <c r="F11" s="4" t="s">
        <v>25</v>
      </c>
    </row>
    <row r="12" spans="1:9" x14ac:dyDescent="0.2">
      <c r="A12" s="2" t="s">
        <v>17</v>
      </c>
      <c r="B12" s="2">
        <v>1</v>
      </c>
      <c r="C12" s="2">
        <v>407.71906819429631</v>
      </c>
      <c r="D12" s="2">
        <v>407.71906819429631</v>
      </c>
      <c r="E12" s="2">
        <v>239.47653404835924</v>
      </c>
      <c r="F12" s="2">
        <v>2.307835982118295E-37</v>
      </c>
    </row>
    <row r="13" spans="1:9" x14ac:dyDescent="0.2">
      <c r="A13" s="2" t="s">
        <v>18</v>
      </c>
      <c r="B13" s="2">
        <v>227</v>
      </c>
      <c r="C13" s="2">
        <v>386.47723397155693</v>
      </c>
      <c r="D13" s="2">
        <v>1.7025428809319689</v>
      </c>
      <c r="E13" s="2"/>
      <c r="F13" s="2"/>
    </row>
    <row r="14" spans="1:9" ht="17" thickBot="1" x14ac:dyDescent="0.25">
      <c r="A14" s="3" t="s">
        <v>19</v>
      </c>
      <c r="B14" s="3">
        <v>228</v>
      </c>
      <c r="C14" s="3">
        <v>794.19630216585324</v>
      </c>
      <c r="D14" s="3"/>
      <c r="E14" s="3"/>
      <c r="F14" s="3"/>
    </row>
    <row r="15" spans="1:9" ht="17" thickBot="1" x14ac:dyDescent="0.25"/>
    <row r="16" spans="1:9" x14ac:dyDescent="0.2">
      <c r="A16" s="4"/>
      <c r="B16" s="4" t="s">
        <v>26</v>
      </c>
      <c r="C16" s="4" t="s">
        <v>14</v>
      </c>
      <c r="D16" s="4" t="s">
        <v>27</v>
      </c>
      <c r="E16" s="4" t="s">
        <v>28</v>
      </c>
      <c r="F16" s="4" t="s">
        <v>29</v>
      </c>
      <c r="G16" s="4" t="s">
        <v>30</v>
      </c>
      <c r="H16" s="4" t="s">
        <v>31</v>
      </c>
      <c r="I16" s="4" t="s">
        <v>32</v>
      </c>
    </row>
    <row r="17" spans="1:9" x14ac:dyDescent="0.2">
      <c r="A17" s="2" t="s">
        <v>20</v>
      </c>
      <c r="B17" s="2">
        <v>4.8249154363237401E-3</v>
      </c>
      <c r="C17" s="2">
        <v>8.7246942399784255E-2</v>
      </c>
      <c r="D17" s="2">
        <v>5.5301828392047711E-2</v>
      </c>
      <c r="E17" s="2">
        <v>0.95594664792450157</v>
      </c>
      <c r="F17" s="2">
        <v>-0.16709252463451058</v>
      </c>
      <c r="G17" s="2">
        <v>0.17674235550715806</v>
      </c>
      <c r="H17" s="2">
        <v>-0.16709252463451058</v>
      </c>
      <c r="I17" s="2">
        <v>0.17674235550715806</v>
      </c>
    </row>
    <row r="18" spans="1:9" ht="17" thickBot="1" x14ac:dyDescent="0.25">
      <c r="A18" s="3" t="s">
        <v>33</v>
      </c>
      <c r="B18" s="3">
        <v>0.9629203726004868</v>
      </c>
      <c r="C18" s="3">
        <v>6.2224138609697104E-2</v>
      </c>
      <c r="D18" s="3">
        <v>15.47502937148613</v>
      </c>
      <c r="E18" s="3">
        <v>2.3078359821186901E-37</v>
      </c>
      <c r="F18" s="3">
        <v>0.84030960451907899</v>
      </c>
      <c r="G18" s="3">
        <v>1.0855311406818946</v>
      </c>
      <c r="H18" s="3">
        <v>0.84030960451907899</v>
      </c>
      <c r="I18" s="3">
        <v>1.0855311406818946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252"/>
  <sheetViews>
    <sheetView tabSelected="1" workbookViewId="0">
      <selection activeCell="N8" sqref="N8"/>
    </sheetView>
  </sheetViews>
  <sheetFormatPr baseColWidth="10" defaultRowHeight="16" x14ac:dyDescent="0.2"/>
  <cols>
    <col min="9" max="9" width="12.83203125" bestFit="1" customWidth="1"/>
    <col min="11" max="11" width="22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s="6" t="s">
        <v>34</v>
      </c>
      <c r="J1" s="6" t="s">
        <v>35</v>
      </c>
      <c r="K1" s="6" t="s">
        <v>36</v>
      </c>
      <c r="L1" s="6" t="s">
        <v>8</v>
      </c>
      <c r="M1" s="6" t="s">
        <v>7</v>
      </c>
    </row>
    <row r="2" spans="1:13" x14ac:dyDescent="0.2">
      <c r="A2" s="1">
        <v>43892</v>
      </c>
      <c r="B2">
        <v>40.340000000000003</v>
      </c>
      <c r="C2">
        <v>42.529998999999997</v>
      </c>
      <c r="D2">
        <v>39.400002000000001</v>
      </c>
      <c r="E2">
        <v>42.52</v>
      </c>
      <c r="F2">
        <v>41.404060000000001</v>
      </c>
      <c r="G2">
        <v>40006900</v>
      </c>
      <c r="J2">
        <v>6.0000000000000001E-3</v>
      </c>
      <c r="M2">
        <v>4.3099999999999996</v>
      </c>
    </row>
    <row r="3" spans="1:13" x14ac:dyDescent="0.2">
      <c r="A3" s="1">
        <v>43893</v>
      </c>
      <c r="B3">
        <v>42.07</v>
      </c>
      <c r="C3">
        <v>43.450001</v>
      </c>
      <c r="D3">
        <v>41.099997999999999</v>
      </c>
      <c r="E3">
        <v>41.439999</v>
      </c>
      <c r="F3">
        <v>40.352401999999998</v>
      </c>
      <c r="G3">
        <v>43253400</v>
      </c>
      <c r="I3">
        <f>(F3-F2)/F2</f>
        <v>-2.5399876244020594E-2</v>
      </c>
      <c r="J3">
        <v>6.0000000000000001E-3</v>
      </c>
      <c r="K3">
        <f>I3-J3</f>
        <v>-3.1399876244020596E-2</v>
      </c>
      <c r="L3">
        <f>100*K3</f>
        <v>-3.1399876244020595</v>
      </c>
      <c r="M3">
        <v>-2.79</v>
      </c>
    </row>
    <row r="4" spans="1:13" x14ac:dyDescent="0.2">
      <c r="A4" s="1">
        <v>43894</v>
      </c>
      <c r="B4">
        <v>41.970001000000003</v>
      </c>
      <c r="C4">
        <v>42.560001</v>
      </c>
      <c r="D4">
        <v>41.5</v>
      </c>
      <c r="E4">
        <v>42.5</v>
      </c>
      <c r="F4">
        <v>41.384585999999999</v>
      </c>
      <c r="G4">
        <v>24996900</v>
      </c>
      <c r="I4">
        <f>(F4-F3)/F3</f>
        <v>2.5579245567587301E-2</v>
      </c>
      <c r="J4">
        <v>6.0000000000000001E-3</v>
      </c>
      <c r="K4">
        <f t="shared" ref="K4:K67" si="0">I4-J4</f>
        <v>1.9579245567587299E-2</v>
      </c>
      <c r="L4">
        <f t="shared" ref="L4:L67" si="1">100*K4</f>
        <v>1.9579245567587298</v>
      </c>
      <c r="M4">
        <v>4.03</v>
      </c>
    </row>
    <row r="5" spans="1:13" x14ac:dyDescent="0.2">
      <c r="A5" s="1">
        <v>43895</v>
      </c>
      <c r="B5">
        <v>41.419998</v>
      </c>
      <c r="C5">
        <v>41.779998999999997</v>
      </c>
      <c r="D5">
        <v>40.419998</v>
      </c>
      <c r="E5">
        <v>40.770000000000003</v>
      </c>
      <c r="F5">
        <v>39.699986000000003</v>
      </c>
      <c r="G5">
        <v>25284600</v>
      </c>
      <c r="I5">
        <f t="shared" ref="I5:I68" si="2">(F5-F4)/F4</f>
        <v>-4.0705976858147044E-2</v>
      </c>
      <c r="J5">
        <v>6.0000000000000001E-3</v>
      </c>
      <c r="K5">
        <f t="shared" si="0"/>
        <v>-4.6705976858147043E-2</v>
      </c>
      <c r="L5">
        <f t="shared" si="1"/>
        <v>-4.6705976858147045</v>
      </c>
      <c r="M5">
        <v>-3.38</v>
      </c>
    </row>
    <row r="6" spans="1:13" x14ac:dyDescent="0.2">
      <c r="A6" s="1">
        <v>43896</v>
      </c>
      <c r="B6">
        <v>38.909999999999997</v>
      </c>
      <c r="C6">
        <v>40.599997999999999</v>
      </c>
      <c r="D6">
        <v>38.830002</v>
      </c>
      <c r="E6">
        <v>40.369999</v>
      </c>
      <c r="F6">
        <v>39.310485999999997</v>
      </c>
      <c r="G6">
        <v>31302100</v>
      </c>
      <c r="I6">
        <f t="shared" si="2"/>
        <v>-9.8110865832548473E-3</v>
      </c>
      <c r="J6">
        <v>6.0000000000000001E-3</v>
      </c>
      <c r="K6">
        <f t="shared" si="0"/>
        <v>-1.5811086583254849E-2</v>
      </c>
      <c r="L6">
        <f t="shared" si="1"/>
        <v>-1.581108658325485</v>
      </c>
      <c r="M6">
        <v>-1.78</v>
      </c>
    </row>
    <row r="7" spans="1:13" x14ac:dyDescent="0.2">
      <c r="A7" s="1">
        <v>43899</v>
      </c>
      <c r="B7">
        <v>38.169998</v>
      </c>
      <c r="C7">
        <v>38.889999000000003</v>
      </c>
      <c r="D7">
        <v>37.150002000000001</v>
      </c>
      <c r="E7">
        <v>37.880001</v>
      </c>
      <c r="F7">
        <v>36.885838</v>
      </c>
      <c r="G7">
        <v>46926200</v>
      </c>
      <c r="I7">
        <f t="shared" si="2"/>
        <v>-6.1679420600396488E-2</v>
      </c>
      <c r="J7">
        <v>6.0000000000000001E-3</v>
      </c>
      <c r="K7">
        <f t="shared" si="0"/>
        <v>-6.7679420600396487E-2</v>
      </c>
      <c r="L7">
        <f t="shared" si="1"/>
        <v>-6.7679420600396485</v>
      </c>
      <c r="M7">
        <v>-7.79</v>
      </c>
    </row>
    <row r="8" spans="1:13" x14ac:dyDescent="0.2">
      <c r="A8" s="1">
        <v>43900</v>
      </c>
      <c r="B8">
        <v>38.639999000000003</v>
      </c>
      <c r="C8">
        <v>39.150002000000001</v>
      </c>
      <c r="D8">
        <v>36.669998</v>
      </c>
      <c r="E8">
        <v>39.099997999999999</v>
      </c>
      <c r="F8">
        <v>38.073813999999999</v>
      </c>
      <c r="G8">
        <v>48724300</v>
      </c>
      <c r="I8">
        <f t="shared" si="2"/>
        <v>3.220683233494652E-2</v>
      </c>
      <c r="J8">
        <v>6.0000000000000001E-3</v>
      </c>
      <c r="K8">
        <f t="shared" si="0"/>
        <v>2.6206832334946521E-2</v>
      </c>
      <c r="L8">
        <f t="shared" si="1"/>
        <v>2.6206832334946522</v>
      </c>
      <c r="M8">
        <v>4.74</v>
      </c>
    </row>
    <row r="9" spans="1:13" x14ac:dyDescent="0.2">
      <c r="A9" s="1">
        <v>43901</v>
      </c>
      <c r="B9">
        <v>37.799999</v>
      </c>
      <c r="C9">
        <v>38.490001999999997</v>
      </c>
      <c r="D9">
        <v>37.380001</v>
      </c>
      <c r="E9">
        <v>37.909999999999997</v>
      </c>
      <c r="F9">
        <v>36.915050999999998</v>
      </c>
      <c r="G9">
        <v>38865100</v>
      </c>
      <c r="I9">
        <f t="shared" si="2"/>
        <v>-3.0434644661551387E-2</v>
      </c>
      <c r="J9">
        <v>6.0000000000000001E-3</v>
      </c>
      <c r="K9">
        <f t="shared" si="0"/>
        <v>-3.6434644661551385E-2</v>
      </c>
      <c r="L9">
        <f t="shared" si="1"/>
        <v>-3.6434644661551383</v>
      </c>
      <c r="M9">
        <v>-5.05</v>
      </c>
    </row>
    <row r="10" spans="1:13" x14ac:dyDescent="0.2">
      <c r="A10" s="1">
        <v>43902</v>
      </c>
      <c r="B10">
        <v>35.580002</v>
      </c>
      <c r="C10">
        <v>37.849997999999999</v>
      </c>
      <c r="D10">
        <v>34.439999</v>
      </c>
      <c r="E10">
        <v>34.939999</v>
      </c>
      <c r="F10">
        <v>34.022995000000002</v>
      </c>
      <c r="G10">
        <v>63254500</v>
      </c>
      <c r="I10">
        <f t="shared" si="2"/>
        <v>-7.8343546105354073E-2</v>
      </c>
      <c r="J10">
        <v>6.0000000000000001E-3</v>
      </c>
      <c r="K10">
        <f t="shared" si="0"/>
        <v>-8.4343546105354078E-2</v>
      </c>
      <c r="L10">
        <f t="shared" si="1"/>
        <v>-8.4343546105354079</v>
      </c>
      <c r="M10">
        <v>-9.6300000000000008</v>
      </c>
    </row>
    <row r="11" spans="1:13" x14ac:dyDescent="0.2">
      <c r="A11" s="1">
        <v>43903</v>
      </c>
      <c r="B11">
        <v>36.229999999999997</v>
      </c>
      <c r="C11">
        <v>39.720001000000003</v>
      </c>
      <c r="D11">
        <v>34.479999999999997</v>
      </c>
      <c r="E11">
        <v>39.330002</v>
      </c>
      <c r="F11">
        <v>38.297787</v>
      </c>
      <c r="G11">
        <v>66243400</v>
      </c>
      <c r="I11">
        <f t="shared" si="2"/>
        <v>0.12564420034156304</v>
      </c>
      <c r="J11">
        <v>6.0000000000000001E-3</v>
      </c>
      <c r="K11">
        <f t="shared" si="0"/>
        <v>0.11964420034156303</v>
      </c>
      <c r="L11">
        <f t="shared" si="1"/>
        <v>11.964420034156303</v>
      </c>
      <c r="M11">
        <v>8.9600000000000009</v>
      </c>
    </row>
    <row r="12" spans="1:13" x14ac:dyDescent="0.2">
      <c r="A12" s="1">
        <v>43906</v>
      </c>
      <c r="B12">
        <v>34.639999000000003</v>
      </c>
      <c r="C12">
        <v>38.990001999999997</v>
      </c>
      <c r="D12">
        <v>34.5</v>
      </c>
      <c r="E12">
        <v>36.040000999999997</v>
      </c>
      <c r="F12">
        <v>35.094130999999997</v>
      </c>
      <c r="G12">
        <v>41485700</v>
      </c>
      <c r="I12">
        <f t="shared" si="2"/>
        <v>-8.3651204180544489E-2</v>
      </c>
      <c r="J12">
        <v>6.0000000000000001E-3</v>
      </c>
      <c r="K12">
        <f t="shared" si="0"/>
        <v>-8.9651204180544494E-2</v>
      </c>
      <c r="L12">
        <f t="shared" si="1"/>
        <v>-8.9651204180544486</v>
      </c>
      <c r="M12">
        <v>-12</v>
      </c>
    </row>
    <row r="13" spans="1:13" x14ac:dyDescent="0.2">
      <c r="A13" s="1">
        <v>43907</v>
      </c>
      <c r="B13">
        <v>36.580002</v>
      </c>
      <c r="C13">
        <v>38.349997999999999</v>
      </c>
      <c r="D13">
        <v>36.209999000000003</v>
      </c>
      <c r="E13">
        <v>38.220001000000003</v>
      </c>
      <c r="F13">
        <v>37.216915</v>
      </c>
      <c r="G13">
        <v>38934900</v>
      </c>
      <c r="I13">
        <f t="shared" si="2"/>
        <v>6.0488290762919963E-2</v>
      </c>
      <c r="J13">
        <v>6.0000000000000001E-3</v>
      </c>
      <c r="K13">
        <f t="shared" si="0"/>
        <v>5.4488290762919965E-2</v>
      </c>
      <c r="L13">
        <f t="shared" si="1"/>
        <v>5.4488290762919966</v>
      </c>
      <c r="M13">
        <v>5.87</v>
      </c>
    </row>
    <row r="14" spans="1:13" x14ac:dyDescent="0.2">
      <c r="A14" s="1">
        <v>43908</v>
      </c>
      <c r="B14">
        <v>36.229999999999997</v>
      </c>
      <c r="C14">
        <v>36.75</v>
      </c>
      <c r="D14">
        <v>33.270000000000003</v>
      </c>
      <c r="E14">
        <v>35.68</v>
      </c>
      <c r="F14">
        <v>34.743580000000001</v>
      </c>
      <c r="G14">
        <v>42533400</v>
      </c>
      <c r="I14">
        <f t="shared" si="2"/>
        <v>-6.6457281588224032E-2</v>
      </c>
      <c r="J14">
        <v>6.0000000000000001E-3</v>
      </c>
      <c r="K14">
        <f t="shared" si="0"/>
        <v>-7.2457281588224037E-2</v>
      </c>
      <c r="L14">
        <f t="shared" si="1"/>
        <v>-7.2457281588224038</v>
      </c>
      <c r="M14">
        <v>-5.56</v>
      </c>
    </row>
    <row r="15" spans="1:13" x14ac:dyDescent="0.2">
      <c r="A15" s="1">
        <v>43909</v>
      </c>
      <c r="B15">
        <v>35.639999000000003</v>
      </c>
      <c r="C15">
        <v>39.310001</v>
      </c>
      <c r="D15">
        <v>34.599997999999999</v>
      </c>
      <c r="E15">
        <v>35.939999</v>
      </c>
      <c r="F15">
        <v>34.996749999999999</v>
      </c>
      <c r="G15">
        <v>36830400</v>
      </c>
      <c r="I15">
        <f t="shared" si="2"/>
        <v>7.2868138516525129E-3</v>
      </c>
      <c r="J15">
        <v>6.0000000000000001E-3</v>
      </c>
      <c r="K15">
        <f t="shared" si="0"/>
        <v>1.2868138516525128E-3</v>
      </c>
      <c r="L15">
        <f t="shared" si="1"/>
        <v>0.12868138516525127</v>
      </c>
      <c r="M15">
        <v>1.31</v>
      </c>
    </row>
    <row r="16" spans="1:13" x14ac:dyDescent="0.2">
      <c r="A16" s="1">
        <v>43910</v>
      </c>
      <c r="B16">
        <v>36.090000000000003</v>
      </c>
      <c r="C16">
        <v>36.090000000000003</v>
      </c>
      <c r="D16">
        <v>32.639999000000003</v>
      </c>
      <c r="E16">
        <v>33.369999</v>
      </c>
      <c r="F16">
        <v>32.494205000000001</v>
      </c>
      <c r="G16">
        <v>47309000</v>
      </c>
      <c r="I16">
        <f t="shared" si="2"/>
        <v>-7.1507925735961139E-2</v>
      </c>
      <c r="J16">
        <v>6.0000000000000001E-3</v>
      </c>
      <c r="K16">
        <f t="shared" si="0"/>
        <v>-7.7507925735961145E-2</v>
      </c>
      <c r="L16">
        <f t="shared" si="1"/>
        <v>-7.7507925735961143</v>
      </c>
      <c r="M16">
        <v>-4.1500000000000004</v>
      </c>
    </row>
    <row r="17" spans="1:13" x14ac:dyDescent="0.2">
      <c r="A17" s="1">
        <v>43913</v>
      </c>
      <c r="B17">
        <v>33.169998</v>
      </c>
      <c r="C17">
        <v>34.669998</v>
      </c>
      <c r="D17">
        <v>31.709999</v>
      </c>
      <c r="E17">
        <v>34.169998</v>
      </c>
      <c r="F17">
        <v>33.273201</v>
      </c>
      <c r="G17">
        <v>38600900</v>
      </c>
      <c r="I17">
        <f t="shared" si="2"/>
        <v>2.3973382330787885E-2</v>
      </c>
      <c r="J17">
        <v>6.0000000000000001E-3</v>
      </c>
      <c r="K17">
        <f t="shared" si="0"/>
        <v>1.7973382330787886E-2</v>
      </c>
      <c r="L17">
        <f t="shared" si="1"/>
        <v>1.7973382330787886</v>
      </c>
      <c r="M17">
        <v>-2.5499999999999998</v>
      </c>
    </row>
    <row r="18" spans="1:13" x14ac:dyDescent="0.2">
      <c r="A18" s="1">
        <v>43914</v>
      </c>
      <c r="B18">
        <v>35.369999</v>
      </c>
      <c r="C18">
        <v>35.369999</v>
      </c>
      <c r="D18">
        <v>33.529998999999997</v>
      </c>
      <c r="E18">
        <v>34.639999000000003</v>
      </c>
      <c r="F18">
        <v>33.730865000000001</v>
      </c>
      <c r="G18">
        <v>46492800</v>
      </c>
      <c r="I18">
        <f t="shared" si="2"/>
        <v>1.3754733125917197E-2</v>
      </c>
      <c r="J18">
        <v>6.0000000000000001E-3</v>
      </c>
      <c r="K18">
        <f t="shared" si="0"/>
        <v>7.7547331259171966E-3</v>
      </c>
      <c r="L18">
        <f t="shared" si="1"/>
        <v>0.7754733125917197</v>
      </c>
      <c r="M18">
        <v>9.34</v>
      </c>
    </row>
    <row r="19" spans="1:13" x14ac:dyDescent="0.2">
      <c r="A19" s="1">
        <v>43915</v>
      </c>
      <c r="B19">
        <v>33.779998999999997</v>
      </c>
      <c r="C19">
        <v>34.560001</v>
      </c>
      <c r="D19">
        <v>31.780000999999999</v>
      </c>
      <c r="E19">
        <v>33.57</v>
      </c>
      <c r="F19">
        <v>32.688952999999998</v>
      </c>
      <c r="G19">
        <v>57834100</v>
      </c>
      <c r="I19">
        <f t="shared" si="2"/>
        <v>-3.0888979574048975E-2</v>
      </c>
      <c r="J19">
        <v>6.0000000000000001E-3</v>
      </c>
      <c r="K19">
        <f t="shared" si="0"/>
        <v>-3.6888979574048977E-2</v>
      </c>
      <c r="L19">
        <f t="shared" si="1"/>
        <v>-3.6888979574048979</v>
      </c>
      <c r="M19">
        <v>1.18</v>
      </c>
    </row>
    <row r="20" spans="1:13" x14ac:dyDescent="0.2">
      <c r="A20" s="1">
        <v>43916</v>
      </c>
      <c r="B20">
        <v>33.189999</v>
      </c>
      <c r="C20">
        <v>37.310001</v>
      </c>
      <c r="D20">
        <v>33.060001</v>
      </c>
      <c r="E20">
        <v>36.740001999999997</v>
      </c>
      <c r="F20">
        <v>35.775753000000002</v>
      </c>
      <c r="G20">
        <v>38329500</v>
      </c>
      <c r="I20">
        <f t="shared" si="2"/>
        <v>9.4429454501035986E-2</v>
      </c>
      <c r="J20">
        <v>6.0000000000000001E-3</v>
      </c>
      <c r="K20">
        <f t="shared" si="0"/>
        <v>8.8429454501035981E-2</v>
      </c>
      <c r="L20">
        <f t="shared" si="1"/>
        <v>8.8429454501035973</v>
      </c>
      <c r="M20">
        <v>6.02</v>
      </c>
    </row>
    <row r="21" spans="1:13" x14ac:dyDescent="0.2">
      <c r="A21" s="1">
        <v>43917</v>
      </c>
      <c r="B21">
        <v>35.590000000000003</v>
      </c>
      <c r="C21">
        <v>35.790000999999997</v>
      </c>
      <c r="D21">
        <v>34.409999999999997</v>
      </c>
      <c r="E21">
        <v>34.57</v>
      </c>
      <c r="F21">
        <v>33.662708000000002</v>
      </c>
      <c r="G21">
        <v>27910400</v>
      </c>
      <c r="I21">
        <f t="shared" si="2"/>
        <v>-5.9063606571747057E-2</v>
      </c>
      <c r="J21">
        <v>6.0000000000000001E-3</v>
      </c>
      <c r="K21">
        <f t="shared" si="0"/>
        <v>-6.5063606571747062E-2</v>
      </c>
      <c r="L21">
        <f t="shared" si="1"/>
        <v>-6.5063606571747066</v>
      </c>
      <c r="M21">
        <v>-3.48</v>
      </c>
    </row>
    <row r="22" spans="1:13" x14ac:dyDescent="0.2">
      <c r="A22" s="1">
        <v>43920</v>
      </c>
      <c r="B22">
        <v>34.740001999999997</v>
      </c>
      <c r="C22">
        <v>35.630001</v>
      </c>
      <c r="D22">
        <v>34.549999</v>
      </c>
      <c r="E22">
        <v>35.490001999999997</v>
      </c>
      <c r="F22">
        <v>34.558566999999996</v>
      </c>
      <c r="G22">
        <v>31400200</v>
      </c>
      <c r="I22">
        <f t="shared" si="2"/>
        <v>2.6612802511312945E-2</v>
      </c>
      <c r="J22">
        <v>6.0000000000000001E-3</v>
      </c>
      <c r="K22">
        <f t="shared" si="0"/>
        <v>2.0612802511312943E-2</v>
      </c>
      <c r="L22">
        <f t="shared" si="1"/>
        <v>2.0612802511312944</v>
      </c>
      <c r="M22">
        <v>3.16</v>
      </c>
    </row>
    <row r="23" spans="1:13" x14ac:dyDescent="0.2">
      <c r="A23" s="1">
        <v>43921</v>
      </c>
      <c r="B23">
        <v>34.830002</v>
      </c>
      <c r="C23">
        <v>35.779998999999997</v>
      </c>
      <c r="D23">
        <v>34.25</v>
      </c>
      <c r="E23">
        <v>34.380001</v>
      </c>
      <c r="F23">
        <v>33.696067999999997</v>
      </c>
      <c r="G23">
        <v>27786300</v>
      </c>
      <c r="I23">
        <f t="shared" si="2"/>
        <v>-2.4957603132097456E-2</v>
      </c>
      <c r="J23">
        <v>6.0000000000000001E-3</v>
      </c>
      <c r="K23">
        <f t="shared" si="0"/>
        <v>-3.0957603132097458E-2</v>
      </c>
      <c r="L23">
        <f t="shared" si="1"/>
        <v>-3.095760313209746</v>
      </c>
      <c r="M23">
        <v>-1.44</v>
      </c>
    </row>
    <row r="24" spans="1:13" x14ac:dyDescent="0.2">
      <c r="A24" s="1">
        <v>43922</v>
      </c>
      <c r="B24">
        <v>33.159999999999997</v>
      </c>
      <c r="C24">
        <v>33.759998000000003</v>
      </c>
      <c r="D24">
        <v>32.049999</v>
      </c>
      <c r="E24">
        <v>32.419998</v>
      </c>
      <c r="F24">
        <v>31.775057</v>
      </c>
      <c r="G24">
        <v>26097200</v>
      </c>
      <c r="I24">
        <f t="shared" si="2"/>
        <v>-5.7009945492749972E-2</v>
      </c>
      <c r="J24">
        <v>0</v>
      </c>
      <c r="K24">
        <f t="shared" si="0"/>
        <v>-5.7009945492749972E-2</v>
      </c>
      <c r="L24">
        <f t="shared" si="1"/>
        <v>-5.7009945492749976</v>
      </c>
      <c r="M24">
        <v>-4.51</v>
      </c>
    </row>
    <row r="25" spans="1:13" x14ac:dyDescent="0.2">
      <c r="A25" s="1">
        <v>43923</v>
      </c>
      <c r="B25">
        <v>32.099997999999999</v>
      </c>
      <c r="C25">
        <v>34.470001000000003</v>
      </c>
      <c r="D25">
        <v>32.060001</v>
      </c>
      <c r="E25">
        <v>34.369999</v>
      </c>
      <c r="F25">
        <v>33.686267999999998</v>
      </c>
      <c r="G25">
        <v>24683900</v>
      </c>
      <c r="I25">
        <f t="shared" si="2"/>
        <v>6.0148153314091554E-2</v>
      </c>
      <c r="J25">
        <v>0</v>
      </c>
      <c r="K25">
        <f t="shared" si="0"/>
        <v>6.0148153314091554E-2</v>
      </c>
      <c r="L25">
        <f t="shared" si="1"/>
        <v>6.0148153314091557</v>
      </c>
      <c r="M25">
        <v>2.1</v>
      </c>
    </row>
    <row r="26" spans="1:13" x14ac:dyDescent="0.2">
      <c r="A26" s="1">
        <v>43924</v>
      </c>
      <c r="B26">
        <v>34.099997999999999</v>
      </c>
      <c r="C26">
        <v>34.639999000000003</v>
      </c>
      <c r="D26">
        <v>33.409999999999997</v>
      </c>
      <c r="E26">
        <v>33.950001</v>
      </c>
      <c r="F26">
        <v>33.274624000000003</v>
      </c>
      <c r="G26">
        <v>19312300</v>
      </c>
      <c r="I26">
        <f t="shared" si="2"/>
        <v>-1.2219934841104852E-2</v>
      </c>
      <c r="J26">
        <v>0</v>
      </c>
      <c r="K26">
        <f t="shared" si="0"/>
        <v>-1.2219934841104852E-2</v>
      </c>
      <c r="L26">
        <f t="shared" si="1"/>
        <v>-1.2219934841104851</v>
      </c>
      <c r="M26">
        <v>-1.64</v>
      </c>
    </row>
    <row r="27" spans="1:13" x14ac:dyDescent="0.2">
      <c r="A27" s="1">
        <v>43927</v>
      </c>
      <c r="B27">
        <v>35.369999</v>
      </c>
      <c r="C27">
        <v>36.400002000000001</v>
      </c>
      <c r="D27">
        <v>35.090000000000003</v>
      </c>
      <c r="E27">
        <v>36.229999999999997</v>
      </c>
      <c r="F27">
        <v>35.509265999999997</v>
      </c>
      <c r="G27">
        <v>31583200</v>
      </c>
      <c r="I27">
        <f t="shared" si="2"/>
        <v>6.7157543237753595E-2</v>
      </c>
      <c r="J27">
        <v>0</v>
      </c>
      <c r="K27">
        <f t="shared" si="0"/>
        <v>6.7157543237753595E-2</v>
      </c>
      <c r="L27">
        <f t="shared" si="1"/>
        <v>6.7157543237753599</v>
      </c>
      <c r="M27">
        <v>7.06</v>
      </c>
    </row>
    <row r="28" spans="1:13" x14ac:dyDescent="0.2">
      <c r="A28" s="1">
        <v>43928</v>
      </c>
      <c r="B28">
        <v>36.950001</v>
      </c>
      <c r="C28">
        <v>37.970001000000003</v>
      </c>
      <c r="D28">
        <v>36.729999999999997</v>
      </c>
      <c r="E28">
        <v>36.939999</v>
      </c>
      <c r="F28">
        <v>36.205143</v>
      </c>
      <c r="G28">
        <v>26379000</v>
      </c>
      <c r="I28">
        <f t="shared" si="2"/>
        <v>1.959705390700002E-2</v>
      </c>
      <c r="J28">
        <v>0</v>
      </c>
      <c r="K28">
        <f t="shared" si="0"/>
        <v>1.959705390700002E-2</v>
      </c>
      <c r="L28">
        <f t="shared" si="1"/>
        <v>1.9597053907000019</v>
      </c>
      <c r="M28">
        <v>-0.11</v>
      </c>
    </row>
    <row r="29" spans="1:13" x14ac:dyDescent="0.2">
      <c r="A29" s="1">
        <v>43929</v>
      </c>
      <c r="B29">
        <v>37.229999999999997</v>
      </c>
      <c r="C29">
        <v>37.909999999999997</v>
      </c>
      <c r="D29">
        <v>36.759998000000003</v>
      </c>
      <c r="E29">
        <v>37.68</v>
      </c>
      <c r="F29">
        <v>36.930424000000002</v>
      </c>
      <c r="G29">
        <v>26522500</v>
      </c>
      <c r="I29">
        <f t="shared" si="2"/>
        <v>2.0032540680753629E-2</v>
      </c>
      <c r="J29">
        <v>0</v>
      </c>
      <c r="K29">
        <f t="shared" si="0"/>
        <v>2.0032540680753629E-2</v>
      </c>
      <c r="L29">
        <f t="shared" si="1"/>
        <v>2.0032540680753628</v>
      </c>
      <c r="M29">
        <v>3.4</v>
      </c>
    </row>
    <row r="30" spans="1:13" x14ac:dyDescent="0.2">
      <c r="A30" s="1">
        <v>43930</v>
      </c>
      <c r="B30">
        <v>37.490001999999997</v>
      </c>
      <c r="C30">
        <v>38.049999</v>
      </c>
      <c r="D30">
        <v>36.799999</v>
      </c>
      <c r="E30">
        <v>38</v>
      </c>
      <c r="F30">
        <v>37.244053000000001</v>
      </c>
      <c r="G30">
        <v>28618300</v>
      </c>
      <c r="I30">
        <f t="shared" si="2"/>
        <v>8.4924288981897099E-3</v>
      </c>
      <c r="J30">
        <v>0</v>
      </c>
      <c r="K30">
        <f t="shared" si="0"/>
        <v>8.4924288981897099E-3</v>
      </c>
      <c r="L30">
        <f t="shared" si="1"/>
        <v>0.849242889818971</v>
      </c>
      <c r="M30">
        <v>1.59</v>
      </c>
    </row>
    <row r="31" spans="1:13" x14ac:dyDescent="0.2">
      <c r="A31" s="1">
        <v>43934</v>
      </c>
      <c r="B31">
        <v>37.450001</v>
      </c>
      <c r="C31">
        <v>37.889999000000003</v>
      </c>
      <c r="D31">
        <v>36.580002</v>
      </c>
      <c r="E31">
        <v>37.189999</v>
      </c>
      <c r="F31">
        <v>36.450169000000002</v>
      </c>
      <c r="G31">
        <v>20237400</v>
      </c>
      <c r="I31">
        <f t="shared" si="2"/>
        <v>-2.1315725224641865E-2</v>
      </c>
      <c r="J31">
        <v>0</v>
      </c>
      <c r="K31">
        <f t="shared" si="0"/>
        <v>-2.1315725224641865E-2</v>
      </c>
      <c r="L31">
        <f t="shared" si="1"/>
        <v>-2.1315725224641864</v>
      </c>
      <c r="M31">
        <v>-0.92</v>
      </c>
    </row>
    <row r="32" spans="1:13" x14ac:dyDescent="0.2">
      <c r="A32" s="1">
        <v>43935</v>
      </c>
      <c r="B32">
        <v>37.560001</v>
      </c>
      <c r="C32">
        <v>38.639999000000003</v>
      </c>
      <c r="D32">
        <v>37.229999999999997</v>
      </c>
      <c r="E32">
        <v>38.520000000000003</v>
      </c>
      <c r="F32">
        <v>37.753712</v>
      </c>
      <c r="G32">
        <v>21803300</v>
      </c>
      <c r="I32">
        <f t="shared" si="2"/>
        <v>3.5762330759015068E-2</v>
      </c>
      <c r="J32">
        <v>0</v>
      </c>
      <c r="K32">
        <f t="shared" si="0"/>
        <v>3.5762330759015068E-2</v>
      </c>
      <c r="L32">
        <f t="shared" si="1"/>
        <v>3.5762330759015066</v>
      </c>
      <c r="M32">
        <v>3.02</v>
      </c>
    </row>
    <row r="33" spans="1:13" x14ac:dyDescent="0.2">
      <c r="A33" s="1">
        <v>43936</v>
      </c>
      <c r="B33">
        <v>37.779998999999997</v>
      </c>
      <c r="C33">
        <v>38.049999</v>
      </c>
      <c r="D33">
        <v>36.75</v>
      </c>
      <c r="E33">
        <v>37.159999999999997</v>
      </c>
      <c r="F33">
        <v>36.420769</v>
      </c>
      <c r="G33">
        <v>19786300</v>
      </c>
      <c r="I33">
        <f t="shared" si="2"/>
        <v>-3.5306276638440222E-2</v>
      </c>
      <c r="J33">
        <v>0</v>
      </c>
      <c r="K33">
        <f t="shared" si="0"/>
        <v>-3.5306276638440222E-2</v>
      </c>
      <c r="L33">
        <f t="shared" si="1"/>
        <v>-3.5306276638440224</v>
      </c>
      <c r="M33">
        <v>-2.15</v>
      </c>
    </row>
    <row r="34" spans="1:13" x14ac:dyDescent="0.2">
      <c r="A34" s="1">
        <v>43937</v>
      </c>
      <c r="B34">
        <v>37.529998999999997</v>
      </c>
      <c r="C34">
        <v>38.020000000000003</v>
      </c>
      <c r="D34">
        <v>36.659999999999997</v>
      </c>
      <c r="E34">
        <v>37.830002</v>
      </c>
      <c r="F34">
        <v>37.077441999999998</v>
      </c>
      <c r="G34">
        <v>20973800</v>
      </c>
      <c r="I34">
        <f t="shared" si="2"/>
        <v>1.8030179428666041E-2</v>
      </c>
      <c r="J34">
        <v>0</v>
      </c>
      <c r="K34">
        <f t="shared" si="0"/>
        <v>1.8030179428666041E-2</v>
      </c>
      <c r="L34">
        <f t="shared" si="1"/>
        <v>1.803017942866604</v>
      </c>
      <c r="M34">
        <v>0.62</v>
      </c>
    </row>
    <row r="35" spans="1:13" x14ac:dyDescent="0.2">
      <c r="A35" s="1">
        <v>43938</v>
      </c>
      <c r="B35">
        <v>38.549999</v>
      </c>
      <c r="C35">
        <v>38.709999000000003</v>
      </c>
      <c r="D35">
        <v>37.68</v>
      </c>
      <c r="E35">
        <v>38.080002</v>
      </c>
      <c r="F35">
        <v>37.322463999999997</v>
      </c>
      <c r="G35">
        <v>28736600</v>
      </c>
      <c r="I35">
        <f t="shared" si="2"/>
        <v>6.608384688458248E-3</v>
      </c>
      <c r="J35">
        <v>0</v>
      </c>
      <c r="K35">
        <f t="shared" si="0"/>
        <v>6.608384688458248E-3</v>
      </c>
      <c r="L35">
        <f t="shared" si="1"/>
        <v>0.66083846884582476</v>
      </c>
      <c r="M35">
        <v>2.72</v>
      </c>
    </row>
    <row r="36" spans="1:13" x14ac:dyDescent="0.2">
      <c r="A36" s="1">
        <v>43941</v>
      </c>
      <c r="B36">
        <v>37.68</v>
      </c>
      <c r="C36">
        <v>38.220001000000003</v>
      </c>
      <c r="D36">
        <v>37.119999</v>
      </c>
      <c r="E36">
        <v>37.209999000000003</v>
      </c>
      <c r="F36">
        <v>36.469771999999999</v>
      </c>
      <c r="G36">
        <v>18444500</v>
      </c>
      <c r="I36">
        <f t="shared" si="2"/>
        <v>-2.2846615914747688E-2</v>
      </c>
      <c r="J36">
        <v>0</v>
      </c>
      <c r="K36">
        <f t="shared" si="0"/>
        <v>-2.2846615914747688E-2</v>
      </c>
      <c r="L36">
        <f t="shared" si="1"/>
        <v>-2.284661591474769</v>
      </c>
      <c r="M36">
        <v>-1.56</v>
      </c>
    </row>
    <row r="37" spans="1:13" x14ac:dyDescent="0.2">
      <c r="A37" s="1">
        <v>43942</v>
      </c>
      <c r="B37">
        <v>36.75</v>
      </c>
      <c r="C37">
        <v>36.790000999999997</v>
      </c>
      <c r="D37">
        <v>35.529998999999997</v>
      </c>
      <c r="E37">
        <v>35.709999000000003</v>
      </c>
      <c r="F37">
        <v>34.999606999999997</v>
      </c>
      <c r="G37">
        <v>23004500</v>
      </c>
      <c r="I37">
        <f t="shared" si="2"/>
        <v>-4.0311878012289235E-2</v>
      </c>
      <c r="J37">
        <v>0</v>
      </c>
      <c r="K37">
        <f t="shared" si="0"/>
        <v>-4.0311878012289235E-2</v>
      </c>
      <c r="L37">
        <f t="shared" si="1"/>
        <v>-4.0311878012289233</v>
      </c>
      <c r="M37">
        <v>-3.08</v>
      </c>
    </row>
    <row r="38" spans="1:13" x14ac:dyDescent="0.2">
      <c r="A38" s="1">
        <v>43943</v>
      </c>
      <c r="B38">
        <v>36.229999999999997</v>
      </c>
      <c r="C38">
        <v>36.349997999999999</v>
      </c>
      <c r="D38">
        <v>35.68</v>
      </c>
      <c r="E38">
        <v>35.729999999999997</v>
      </c>
      <c r="F38">
        <v>35.019207000000002</v>
      </c>
      <c r="G38">
        <v>20118400</v>
      </c>
      <c r="I38">
        <f t="shared" si="2"/>
        <v>5.6000628807072205E-4</v>
      </c>
      <c r="J38">
        <v>0</v>
      </c>
      <c r="K38">
        <f t="shared" si="0"/>
        <v>5.6000628807072205E-4</v>
      </c>
      <c r="L38">
        <f t="shared" si="1"/>
        <v>5.6000628807072204E-2</v>
      </c>
      <c r="M38">
        <v>2.31</v>
      </c>
    </row>
    <row r="39" spans="1:13" x14ac:dyDescent="0.2">
      <c r="A39" s="1">
        <v>43944</v>
      </c>
      <c r="B39">
        <v>35.830002</v>
      </c>
      <c r="C39">
        <v>36.520000000000003</v>
      </c>
      <c r="D39">
        <v>35.799999</v>
      </c>
      <c r="E39">
        <v>36.090000000000003</v>
      </c>
      <c r="F39">
        <v>35.372047000000002</v>
      </c>
      <c r="G39">
        <v>21194200</v>
      </c>
      <c r="I39">
        <f t="shared" si="2"/>
        <v>1.0075613648247389E-2</v>
      </c>
      <c r="J39">
        <v>0</v>
      </c>
      <c r="K39">
        <f t="shared" si="0"/>
        <v>1.0075613648247389E-2</v>
      </c>
      <c r="L39">
        <f t="shared" si="1"/>
        <v>1.0075613648247388</v>
      </c>
      <c r="M39">
        <v>0.13</v>
      </c>
    </row>
    <row r="40" spans="1:13" x14ac:dyDescent="0.2">
      <c r="A40" s="1">
        <v>43945</v>
      </c>
      <c r="B40">
        <v>36.150002000000001</v>
      </c>
      <c r="C40">
        <v>37.220001000000003</v>
      </c>
      <c r="D40">
        <v>36.150002000000001</v>
      </c>
      <c r="E40">
        <v>37.159999999999997</v>
      </c>
      <c r="F40">
        <v>36.420769</v>
      </c>
      <c r="G40">
        <v>19188000</v>
      </c>
      <c r="I40">
        <f t="shared" si="2"/>
        <v>2.9648326544403775E-2</v>
      </c>
      <c r="J40">
        <v>0</v>
      </c>
      <c r="K40">
        <f t="shared" si="0"/>
        <v>2.9648326544403775E-2</v>
      </c>
      <c r="L40">
        <f t="shared" si="1"/>
        <v>2.9648326544403774</v>
      </c>
      <c r="M40">
        <v>1.44</v>
      </c>
    </row>
    <row r="41" spans="1:13" x14ac:dyDescent="0.2">
      <c r="A41" s="1">
        <v>43948</v>
      </c>
      <c r="B41">
        <v>37.57</v>
      </c>
      <c r="C41">
        <v>38.349997999999999</v>
      </c>
      <c r="D41">
        <v>37.400002000000001</v>
      </c>
      <c r="E41">
        <v>38.209999000000003</v>
      </c>
      <c r="F41">
        <v>37.449874999999999</v>
      </c>
      <c r="G41">
        <v>21775600</v>
      </c>
      <c r="I41">
        <f t="shared" si="2"/>
        <v>2.8256020623836874E-2</v>
      </c>
      <c r="J41">
        <v>0</v>
      </c>
      <c r="K41">
        <f t="shared" si="0"/>
        <v>2.8256020623836874E-2</v>
      </c>
      <c r="L41">
        <f t="shared" si="1"/>
        <v>2.8256020623836875</v>
      </c>
      <c r="M41">
        <v>1.73</v>
      </c>
    </row>
    <row r="42" spans="1:13" x14ac:dyDescent="0.2">
      <c r="A42" s="1">
        <v>43949</v>
      </c>
      <c r="B42">
        <v>38.630001</v>
      </c>
      <c r="C42">
        <v>39.07</v>
      </c>
      <c r="D42">
        <v>37.909999999999997</v>
      </c>
      <c r="E42">
        <v>38.080002</v>
      </c>
      <c r="F42">
        <v>37.322463999999997</v>
      </c>
      <c r="G42">
        <v>15958700</v>
      </c>
      <c r="I42">
        <f t="shared" si="2"/>
        <v>-3.4021742395669457E-3</v>
      </c>
      <c r="J42">
        <v>0</v>
      </c>
      <c r="K42">
        <f t="shared" si="0"/>
        <v>-3.4021742395669457E-3</v>
      </c>
      <c r="L42">
        <f t="shared" si="1"/>
        <v>-0.34021742395669458</v>
      </c>
      <c r="M42">
        <v>-0.45</v>
      </c>
    </row>
    <row r="43" spans="1:13" x14ac:dyDescent="0.2">
      <c r="A43" s="1">
        <v>43950</v>
      </c>
      <c r="B43">
        <v>38.82</v>
      </c>
      <c r="C43">
        <v>39.119999</v>
      </c>
      <c r="D43">
        <v>38.349997999999999</v>
      </c>
      <c r="E43">
        <v>39</v>
      </c>
      <c r="F43">
        <v>38.224159</v>
      </c>
      <c r="G43">
        <v>19110200</v>
      </c>
      <c r="I43">
        <f t="shared" si="2"/>
        <v>2.4159578531578296E-2</v>
      </c>
      <c r="J43">
        <v>0</v>
      </c>
      <c r="K43">
        <f t="shared" si="0"/>
        <v>2.4159578531578296E-2</v>
      </c>
      <c r="L43">
        <f t="shared" si="1"/>
        <v>2.4159578531578294</v>
      </c>
      <c r="M43">
        <v>2.92</v>
      </c>
    </row>
    <row r="44" spans="1:13" x14ac:dyDescent="0.2">
      <c r="A44" s="1">
        <v>43951</v>
      </c>
      <c r="B44">
        <v>36.509998000000003</v>
      </c>
      <c r="C44">
        <v>38.029998999999997</v>
      </c>
      <c r="D44">
        <v>36.009998000000003</v>
      </c>
      <c r="E44">
        <v>37.630001</v>
      </c>
      <c r="F44">
        <v>36.881416000000002</v>
      </c>
      <c r="G44">
        <v>33212500</v>
      </c>
      <c r="I44">
        <f t="shared" si="2"/>
        <v>-3.512812407461989E-2</v>
      </c>
      <c r="J44">
        <v>0</v>
      </c>
      <c r="K44">
        <f t="shared" si="0"/>
        <v>-3.512812407461989E-2</v>
      </c>
      <c r="L44">
        <f t="shared" si="1"/>
        <v>-3.5128124074619889</v>
      </c>
      <c r="M44">
        <v>-1.18</v>
      </c>
    </row>
    <row r="45" spans="1:13" x14ac:dyDescent="0.2">
      <c r="A45" s="1">
        <v>43952</v>
      </c>
      <c r="B45">
        <v>37.139999000000003</v>
      </c>
      <c r="C45">
        <v>37.509998000000003</v>
      </c>
      <c r="D45">
        <v>36.779998999999997</v>
      </c>
      <c r="E45">
        <v>36.979999999999997</v>
      </c>
      <c r="F45">
        <v>36.244346999999998</v>
      </c>
      <c r="G45">
        <v>19951600</v>
      </c>
      <c r="I45">
        <f t="shared" si="2"/>
        <v>-1.7273441995828032E-2</v>
      </c>
      <c r="J45">
        <v>0</v>
      </c>
      <c r="K45">
        <f t="shared" si="0"/>
        <v>-1.7273441995828032E-2</v>
      </c>
      <c r="L45">
        <f t="shared" si="1"/>
        <v>-1.7273441995828032</v>
      </c>
      <c r="M45">
        <v>-2.91</v>
      </c>
    </row>
    <row r="46" spans="1:13" x14ac:dyDescent="0.2">
      <c r="A46" s="1">
        <v>43955</v>
      </c>
      <c r="B46">
        <v>37.150002000000001</v>
      </c>
      <c r="C46">
        <v>37.200001</v>
      </c>
      <c r="D46">
        <v>35.919998</v>
      </c>
      <c r="E46">
        <v>36.220001000000003</v>
      </c>
      <c r="F46">
        <v>35.499462000000001</v>
      </c>
      <c r="G46">
        <v>24906000</v>
      </c>
      <c r="I46">
        <f t="shared" si="2"/>
        <v>-2.0551756664287442E-2</v>
      </c>
      <c r="J46">
        <v>0</v>
      </c>
      <c r="K46">
        <f t="shared" si="0"/>
        <v>-2.0551756664287442E-2</v>
      </c>
      <c r="L46">
        <f t="shared" si="1"/>
        <v>-2.0551756664287444</v>
      </c>
      <c r="M46">
        <v>0.53</v>
      </c>
    </row>
    <row r="47" spans="1:13" x14ac:dyDescent="0.2">
      <c r="A47" s="1">
        <v>43956</v>
      </c>
      <c r="B47">
        <v>36.389999000000003</v>
      </c>
      <c r="C47">
        <v>36.490001999999997</v>
      </c>
      <c r="D47">
        <v>35.990001999999997</v>
      </c>
      <c r="E47">
        <v>36.049999</v>
      </c>
      <c r="F47">
        <v>35.332850999999998</v>
      </c>
      <c r="G47">
        <v>18784100</v>
      </c>
      <c r="I47">
        <f t="shared" si="2"/>
        <v>-4.6933387328518712E-3</v>
      </c>
      <c r="J47">
        <v>0</v>
      </c>
      <c r="K47">
        <f t="shared" si="0"/>
        <v>-4.6933387328518712E-3</v>
      </c>
      <c r="L47">
        <f t="shared" si="1"/>
        <v>-0.46933387328518711</v>
      </c>
      <c r="M47">
        <v>0.95</v>
      </c>
    </row>
    <row r="48" spans="1:13" x14ac:dyDescent="0.2">
      <c r="A48" s="1">
        <v>43957</v>
      </c>
      <c r="B48">
        <v>36.220001000000003</v>
      </c>
      <c r="C48">
        <v>36.259998000000003</v>
      </c>
      <c r="D48">
        <v>35.099997999999999</v>
      </c>
      <c r="E48">
        <v>35.139999000000003</v>
      </c>
      <c r="F48">
        <v>34.440952000000003</v>
      </c>
      <c r="G48">
        <v>20151900</v>
      </c>
      <c r="I48">
        <f t="shared" si="2"/>
        <v>-2.5242769115914117E-2</v>
      </c>
      <c r="J48">
        <v>0</v>
      </c>
      <c r="K48">
        <f t="shared" si="0"/>
        <v>-2.5242769115914117E-2</v>
      </c>
      <c r="L48">
        <f t="shared" si="1"/>
        <v>-2.5242769115914117</v>
      </c>
      <c r="M48">
        <v>-0.52</v>
      </c>
    </row>
    <row r="49" spans="1:13" x14ac:dyDescent="0.2">
      <c r="A49" s="1">
        <v>43958</v>
      </c>
      <c r="B49">
        <v>35.580002</v>
      </c>
      <c r="C49">
        <v>35.880001</v>
      </c>
      <c r="D49">
        <v>35.369999</v>
      </c>
      <c r="E49">
        <v>35.580002</v>
      </c>
      <c r="F49">
        <v>34.872196000000002</v>
      </c>
      <c r="G49">
        <v>17462400</v>
      </c>
      <c r="I49">
        <f t="shared" si="2"/>
        <v>1.252125667141836E-2</v>
      </c>
      <c r="J49">
        <v>0</v>
      </c>
      <c r="K49">
        <f t="shared" si="0"/>
        <v>1.252125667141836E-2</v>
      </c>
      <c r="L49">
        <f t="shared" si="1"/>
        <v>1.2521256671418359</v>
      </c>
      <c r="M49">
        <v>1.33</v>
      </c>
    </row>
    <row r="50" spans="1:13" x14ac:dyDescent="0.2">
      <c r="A50" s="1">
        <v>43959</v>
      </c>
      <c r="B50">
        <v>36.25</v>
      </c>
      <c r="C50">
        <v>36.650002000000001</v>
      </c>
      <c r="D50">
        <v>36</v>
      </c>
      <c r="E50">
        <v>36.529998999999997</v>
      </c>
      <c r="F50">
        <v>35.803291000000002</v>
      </c>
      <c r="G50">
        <v>12979700</v>
      </c>
      <c r="I50">
        <f t="shared" si="2"/>
        <v>2.6700211251393491E-2</v>
      </c>
      <c r="J50">
        <v>0</v>
      </c>
      <c r="K50">
        <f t="shared" si="0"/>
        <v>2.6700211251393491E-2</v>
      </c>
      <c r="L50">
        <f t="shared" si="1"/>
        <v>2.6700211251393489</v>
      </c>
      <c r="M50">
        <v>1.9</v>
      </c>
    </row>
    <row r="51" spans="1:13" x14ac:dyDescent="0.2">
      <c r="A51" s="1">
        <v>43962</v>
      </c>
      <c r="B51">
        <v>36.259998000000003</v>
      </c>
      <c r="C51">
        <v>36.299999</v>
      </c>
      <c r="D51">
        <v>35.540000999999997</v>
      </c>
      <c r="E51">
        <v>36.159999999999997</v>
      </c>
      <c r="F51">
        <v>35.440655</v>
      </c>
      <c r="G51">
        <v>21758100</v>
      </c>
      <c r="I51">
        <f t="shared" si="2"/>
        <v>-1.0128566114215644E-2</v>
      </c>
      <c r="J51">
        <v>0</v>
      </c>
      <c r="K51">
        <f t="shared" si="0"/>
        <v>-1.0128566114215644E-2</v>
      </c>
      <c r="L51">
        <f t="shared" si="1"/>
        <v>-1.0128566114215645</v>
      </c>
      <c r="M51">
        <v>7.0000000000000007E-2</v>
      </c>
    </row>
    <row r="52" spans="1:13" x14ac:dyDescent="0.2">
      <c r="A52" s="1">
        <v>43963</v>
      </c>
      <c r="B52">
        <v>36.07</v>
      </c>
      <c r="C52">
        <v>36.229999999999997</v>
      </c>
      <c r="D52">
        <v>35.340000000000003</v>
      </c>
      <c r="E52">
        <v>35.349997999999999</v>
      </c>
      <c r="F52">
        <v>34.646766999999997</v>
      </c>
      <c r="G52">
        <v>17133000</v>
      </c>
      <c r="I52">
        <f t="shared" si="2"/>
        <v>-2.2400488930015616E-2</v>
      </c>
      <c r="J52">
        <v>0</v>
      </c>
      <c r="K52">
        <f t="shared" si="0"/>
        <v>-2.2400488930015616E-2</v>
      </c>
      <c r="L52">
        <f t="shared" si="1"/>
        <v>-2.2400488930015614</v>
      </c>
      <c r="M52">
        <v>-2.06</v>
      </c>
    </row>
    <row r="53" spans="1:13" x14ac:dyDescent="0.2">
      <c r="A53" s="1">
        <v>43964</v>
      </c>
      <c r="B53">
        <v>35.169998</v>
      </c>
      <c r="C53">
        <v>35.299999</v>
      </c>
      <c r="D53">
        <v>34.419998</v>
      </c>
      <c r="E53">
        <v>34.970001000000003</v>
      </c>
      <c r="F53">
        <v>34.274329999999999</v>
      </c>
      <c r="G53">
        <v>30898300</v>
      </c>
      <c r="I53">
        <f t="shared" si="2"/>
        <v>-1.0749545549228242E-2</v>
      </c>
      <c r="J53">
        <v>0</v>
      </c>
      <c r="K53">
        <f t="shared" si="0"/>
        <v>-1.0749545549228242E-2</v>
      </c>
      <c r="L53">
        <f t="shared" si="1"/>
        <v>-1.0749545549228241</v>
      </c>
      <c r="M53">
        <v>-1.89</v>
      </c>
    </row>
    <row r="54" spans="1:13" x14ac:dyDescent="0.2">
      <c r="A54" s="1">
        <v>43965</v>
      </c>
      <c r="B54">
        <v>34.779998999999997</v>
      </c>
      <c r="C54">
        <v>35.840000000000003</v>
      </c>
      <c r="D54">
        <v>34.169998</v>
      </c>
      <c r="E54">
        <v>35.759998000000003</v>
      </c>
      <c r="F54">
        <v>35.048614999999998</v>
      </c>
      <c r="G54">
        <v>24334900</v>
      </c>
      <c r="I54">
        <f t="shared" si="2"/>
        <v>2.2590813591396215E-2</v>
      </c>
      <c r="J54">
        <v>0</v>
      </c>
      <c r="K54">
        <f t="shared" si="0"/>
        <v>2.2590813591396215E-2</v>
      </c>
      <c r="L54">
        <f t="shared" si="1"/>
        <v>2.2590813591396213</v>
      </c>
      <c r="M54">
        <v>1.1399999999999999</v>
      </c>
    </row>
    <row r="55" spans="1:13" x14ac:dyDescent="0.2">
      <c r="A55" s="1">
        <v>43966</v>
      </c>
      <c r="B55">
        <v>35.310001</v>
      </c>
      <c r="C55">
        <v>35.979999999999997</v>
      </c>
      <c r="D55">
        <v>34.849997999999999</v>
      </c>
      <c r="E55">
        <v>35.919998</v>
      </c>
      <c r="F55">
        <v>35.205432999999999</v>
      </c>
      <c r="G55">
        <v>31571600</v>
      </c>
      <c r="I55">
        <f t="shared" si="2"/>
        <v>4.4742994837314179E-3</v>
      </c>
      <c r="J55">
        <v>0</v>
      </c>
      <c r="K55">
        <f t="shared" si="0"/>
        <v>4.4742994837314179E-3</v>
      </c>
      <c r="L55">
        <f t="shared" si="1"/>
        <v>0.44742994837314182</v>
      </c>
      <c r="M55">
        <v>0.56999999999999995</v>
      </c>
    </row>
    <row r="56" spans="1:13" x14ac:dyDescent="0.2">
      <c r="A56" s="1">
        <v>43969</v>
      </c>
      <c r="B56">
        <v>36.939999</v>
      </c>
      <c r="C56">
        <v>38.349997999999999</v>
      </c>
      <c r="D56">
        <v>36.830002</v>
      </c>
      <c r="E56">
        <v>38.090000000000003</v>
      </c>
      <c r="F56">
        <v>37.332267999999999</v>
      </c>
      <c r="G56">
        <v>24829600</v>
      </c>
      <c r="I56">
        <f t="shared" si="2"/>
        <v>6.0412124458176661E-2</v>
      </c>
      <c r="J56">
        <v>0</v>
      </c>
      <c r="K56">
        <f t="shared" si="0"/>
        <v>6.0412124458176661E-2</v>
      </c>
      <c r="L56">
        <f t="shared" si="1"/>
        <v>6.0412124458176661</v>
      </c>
      <c r="M56">
        <v>3.24</v>
      </c>
    </row>
    <row r="57" spans="1:13" x14ac:dyDescent="0.2">
      <c r="A57" s="1">
        <v>43970</v>
      </c>
      <c r="B57">
        <v>37.830002</v>
      </c>
      <c r="C57">
        <v>38.659999999999997</v>
      </c>
      <c r="D57">
        <v>37.330002</v>
      </c>
      <c r="E57">
        <v>38.209999000000003</v>
      </c>
      <c r="F57">
        <v>37.449874999999999</v>
      </c>
      <c r="G57">
        <v>27763200</v>
      </c>
      <c r="I57">
        <f t="shared" si="2"/>
        <v>3.150277395415665E-3</v>
      </c>
      <c r="J57">
        <v>0</v>
      </c>
      <c r="K57">
        <f t="shared" si="0"/>
        <v>3.150277395415665E-3</v>
      </c>
      <c r="L57">
        <f t="shared" si="1"/>
        <v>0.31502773954156649</v>
      </c>
      <c r="M57">
        <v>-1.01</v>
      </c>
    </row>
    <row r="58" spans="1:13" x14ac:dyDescent="0.2">
      <c r="A58" s="1">
        <v>43971</v>
      </c>
      <c r="B58">
        <v>38.610000999999997</v>
      </c>
      <c r="C58">
        <v>39.240001999999997</v>
      </c>
      <c r="D58">
        <v>38.5</v>
      </c>
      <c r="E58">
        <v>39.169998</v>
      </c>
      <c r="F58">
        <v>38.390777999999997</v>
      </c>
      <c r="G58">
        <v>23123500</v>
      </c>
      <c r="I58">
        <f t="shared" si="2"/>
        <v>2.5124329520458979E-2</v>
      </c>
      <c r="J58">
        <v>0</v>
      </c>
      <c r="K58">
        <f t="shared" si="0"/>
        <v>2.5124329520458979E-2</v>
      </c>
      <c r="L58">
        <f t="shared" si="1"/>
        <v>2.5124329520458977</v>
      </c>
      <c r="M58">
        <v>1.8</v>
      </c>
    </row>
    <row r="59" spans="1:13" x14ac:dyDescent="0.2">
      <c r="A59" s="1">
        <v>43972</v>
      </c>
      <c r="B59">
        <v>38.840000000000003</v>
      </c>
      <c r="C59">
        <v>39.189999</v>
      </c>
      <c r="D59">
        <v>38.560001</v>
      </c>
      <c r="E59">
        <v>38.950001</v>
      </c>
      <c r="F59">
        <v>38.175156000000001</v>
      </c>
      <c r="G59">
        <v>20744200</v>
      </c>
      <c r="I59">
        <f t="shared" si="2"/>
        <v>-5.6165050888001338E-3</v>
      </c>
      <c r="J59">
        <v>0</v>
      </c>
      <c r="K59">
        <f t="shared" si="0"/>
        <v>-5.6165050888001338E-3</v>
      </c>
      <c r="L59">
        <f t="shared" si="1"/>
        <v>-0.56165050888001333</v>
      </c>
      <c r="M59">
        <v>-0.7</v>
      </c>
    </row>
    <row r="60" spans="1:13" x14ac:dyDescent="0.2">
      <c r="A60" s="1">
        <v>43973</v>
      </c>
      <c r="B60">
        <v>38.669998</v>
      </c>
      <c r="C60">
        <v>39</v>
      </c>
      <c r="D60">
        <v>38.470001000000003</v>
      </c>
      <c r="E60">
        <v>38.740001999999997</v>
      </c>
      <c r="F60">
        <v>37.969337000000003</v>
      </c>
      <c r="G60">
        <v>12383000</v>
      </c>
      <c r="I60">
        <f t="shared" si="2"/>
        <v>-5.3914383480187528E-3</v>
      </c>
      <c r="J60">
        <v>0</v>
      </c>
      <c r="K60">
        <f t="shared" si="0"/>
        <v>-5.3914383480187528E-3</v>
      </c>
      <c r="L60">
        <f t="shared" si="1"/>
        <v>-0.53914383480187533</v>
      </c>
      <c r="M60">
        <v>0.27</v>
      </c>
    </row>
    <row r="61" spans="1:13" x14ac:dyDescent="0.2">
      <c r="A61" s="1">
        <v>43977</v>
      </c>
      <c r="B61">
        <v>39.450001</v>
      </c>
      <c r="C61">
        <v>40.130001</v>
      </c>
      <c r="D61">
        <v>39.400002000000001</v>
      </c>
      <c r="E61">
        <v>39.520000000000003</v>
      </c>
      <c r="F61">
        <v>38.733817999999999</v>
      </c>
      <c r="G61">
        <v>21584900</v>
      </c>
      <c r="I61">
        <f t="shared" si="2"/>
        <v>2.0134167736455245E-2</v>
      </c>
      <c r="J61">
        <v>0</v>
      </c>
      <c r="K61">
        <f t="shared" si="0"/>
        <v>2.0134167736455245E-2</v>
      </c>
      <c r="L61">
        <f t="shared" si="1"/>
        <v>2.0134167736455244</v>
      </c>
      <c r="M61">
        <v>1.23</v>
      </c>
    </row>
    <row r="62" spans="1:13" x14ac:dyDescent="0.2">
      <c r="A62" s="1">
        <v>43978</v>
      </c>
      <c r="B62">
        <v>39.630001</v>
      </c>
      <c r="C62">
        <v>40.470001000000003</v>
      </c>
      <c r="D62">
        <v>39.619999</v>
      </c>
      <c r="E62">
        <v>39.93</v>
      </c>
      <c r="F62">
        <v>39.135662000000004</v>
      </c>
      <c r="G62">
        <v>20654900</v>
      </c>
      <c r="I62">
        <f t="shared" si="2"/>
        <v>1.037450013319121E-2</v>
      </c>
      <c r="J62">
        <v>0</v>
      </c>
      <c r="K62">
        <f t="shared" si="0"/>
        <v>1.037450013319121E-2</v>
      </c>
      <c r="L62">
        <f t="shared" si="1"/>
        <v>1.0374500133191209</v>
      </c>
      <c r="M62">
        <v>1.54</v>
      </c>
    </row>
    <row r="63" spans="1:13" x14ac:dyDescent="0.2">
      <c r="A63" s="1">
        <v>43979</v>
      </c>
      <c r="B63">
        <v>39.970001000000003</v>
      </c>
      <c r="C63">
        <v>40.130001</v>
      </c>
      <c r="D63">
        <v>39.439999</v>
      </c>
      <c r="E63">
        <v>39.549999</v>
      </c>
      <c r="F63">
        <v>38.763218000000002</v>
      </c>
      <c r="G63">
        <v>18254000</v>
      </c>
      <c r="I63">
        <f t="shared" si="2"/>
        <v>-9.5167420446344193E-3</v>
      </c>
      <c r="J63">
        <v>0</v>
      </c>
      <c r="K63">
        <f t="shared" si="0"/>
        <v>-9.5167420446344193E-3</v>
      </c>
      <c r="L63">
        <f t="shared" si="1"/>
        <v>-0.95167420446344198</v>
      </c>
      <c r="M63">
        <v>-0.41</v>
      </c>
    </row>
    <row r="64" spans="1:13" x14ac:dyDescent="0.2">
      <c r="A64" s="1">
        <v>43980</v>
      </c>
      <c r="B64">
        <v>39.560001</v>
      </c>
      <c r="C64">
        <v>39.82</v>
      </c>
      <c r="D64">
        <v>38.799999</v>
      </c>
      <c r="E64">
        <v>39.599997999999999</v>
      </c>
      <c r="F64">
        <v>38.812221999999998</v>
      </c>
      <c r="G64">
        <v>20301600</v>
      </c>
      <c r="I64">
        <f t="shared" si="2"/>
        <v>1.264188128034068E-3</v>
      </c>
      <c r="J64">
        <v>0</v>
      </c>
      <c r="K64">
        <f t="shared" si="0"/>
        <v>1.264188128034068E-3</v>
      </c>
      <c r="L64">
        <f t="shared" si="1"/>
        <v>0.1264188128034068</v>
      </c>
      <c r="M64">
        <v>0.6</v>
      </c>
    </row>
    <row r="65" spans="1:13" x14ac:dyDescent="0.2">
      <c r="A65" s="1">
        <v>43983</v>
      </c>
      <c r="B65">
        <v>39.540000999999997</v>
      </c>
      <c r="C65">
        <v>40.270000000000003</v>
      </c>
      <c r="D65">
        <v>39.400002000000001</v>
      </c>
      <c r="E65">
        <v>40.18</v>
      </c>
      <c r="F65">
        <v>39.380692000000003</v>
      </c>
      <c r="G65">
        <v>13350600</v>
      </c>
      <c r="I65">
        <f t="shared" si="2"/>
        <v>1.4646674957182429E-2</v>
      </c>
      <c r="J65">
        <v>0</v>
      </c>
      <c r="K65">
        <f t="shared" si="0"/>
        <v>1.4646674957182429E-2</v>
      </c>
      <c r="L65">
        <f t="shared" si="1"/>
        <v>1.4646674957182428</v>
      </c>
      <c r="M65">
        <v>0.52</v>
      </c>
    </row>
    <row r="66" spans="1:13" x14ac:dyDescent="0.2">
      <c r="A66" s="1">
        <v>43984</v>
      </c>
      <c r="B66">
        <v>40.130001</v>
      </c>
      <c r="C66">
        <v>40.830002</v>
      </c>
      <c r="D66">
        <v>40.119999</v>
      </c>
      <c r="E66">
        <v>40.779998999999997</v>
      </c>
      <c r="F66">
        <v>39.96875</v>
      </c>
      <c r="G66">
        <v>19060100</v>
      </c>
      <c r="I66">
        <f t="shared" si="2"/>
        <v>1.4932647704616175E-2</v>
      </c>
      <c r="J66">
        <v>0</v>
      </c>
      <c r="K66">
        <f t="shared" si="0"/>
        <v>1.4932647704616175E-2</v>
      </c>
      <c r="L66">
        <f t="shared" si="1"/>
        <v>1.4932647704616175</v>
      </c>
      <c r="M66">
        <v>0.81</v>
      </c>
    </row>
    <row r="67" spans="1:13" x14ac:dyDescent="0.2">
      <c r="A67" s="1">
        <v>43985</v>
      </c>
      <c r="B67">
        <v>41.150002000000001</v>
      </c>
      <c r="C67">
        <v>41.580002</v>
      </c>
      <c r="D67">
        <v>40.990001999999997</v>
      </c>
      <c r="E67">
        <v>41.299999</v>
      </c>
      <c r="F67">
        <v>40.478408999999999</v>
      </c>
      <c r="G67">
        <v>17141900</v>
      </c>
      <c r="I67">
        <f t="shared" si="2"/>
        <v>1.2751437060203263E-2</v>
      </c>
      <c r="J67">
        <v>0</v>
      </c>
      <c r="K67">
        <f t="shared" si="0"/>
        <v>1.2751437060203263E-2</v>
      </c>
      <c r="L67">
        <f t="shared" si="1"/>
        <v>1.2751437060203263</v>
      </c>
      <c r="M67">
        <v>1.42</v>
      </c>
    </row>
    <row r="68" spans="1:13" x14ac:dyDescent="0.2">
      <c r="A68" s="1">
        <v>43986</v>
      </c>
      <c r="B68">
        <v>40.970001000000003</v>
      </c>
      <c r="C68">
        <v>41.380001</v>
      </c>
      <c r="D68">
        <v>40.840000000000003</v>
      </c>
      <c r="E68">
        <v>41.290000999999997</v>
      </c>
      <c r="F68">
        <v>40.468609000000001</v>
      </c>
      <c r="G68">
        <v>12756500</v>
      </c>
      <c r="I68">
        <f t="shared" si="2"/>
        <v>-2.4210437717545857E-4</v>
      </c>
      <c r="J68">
        <v>0</v>
      </c>
      <c r="K68">
        <f t="shared" ref="K68:K131" si="3">I68-J68</f>
        <v>-2.4210437717545857E-4</v>
      </c>
      <c r="L68">
        <f t="shared" ref="L68:L131" si="4">100*K68</f>
        <v>-2.4210437717545857E-2</v>
      </c>
      <c r="M68">
        <v>-0.34</v>
      </c>
    </row>
    <row r="69" spans="1:13" x14ac:dyDescent="0.2">
      <c r="A69" s="1">
        <v>43987</v>
      </c>
      <c r="B69">
        <v>42.130001</v>
      </c>
      <c r="C69">
        <v>43.099997999999999</v>
      </c>
      <c r="D69">
        <v>41.990001999999997</v>
      </c>
      <c r="E69">
        <v>42.09</v>
      </c>
      <c r="F69">
        <v>41.252693000000001</v>
      </c>
      <c r="G69">
        <v>20271600</v>
      </c>
      <c r="I69">
        <f t="shared" ref="I69:I132" si="5">(F69-F68)/F68</f>
        <v>1.9375116154844857E-2</v>
      </c>
      <c r="J69">
        <v>0</v>
      </c>
      <c r="K69">
        <f t="shared" si="3"/>
        <v>1.9375116154844857E-2</v>
      </c>
      <c r="L69">
        <f t="shared" si="4"/>
        <v>1.9375116154844858</v>
      </c>
      <c r="M69">
        <v>2.5</v>
      </c>
    </row>
    <row r="70" spans="1:13" x14ac:dyDescent="0.2">
      <c r="A70" s="1">
        <v>43990</v>
      </c>
      <c r="B70">
        <v>41.93</v>
      </c>
      <c r="C70">
        <v>43.18</v>
      </c>
      <c r="D70">
        <v>41.900002000000001</v>
      </c>
      <c r="E70">
        <v>43.119999</v>
      </c>
      <c r="F70">
        <v>42.262199000000003</v>
      </c>
      <c r="G70">
        <v>17212000</v>
      </c>
      <c r="I70">
        <f t="shared" si="5"/>
        <v>2.4471275123784084E-2</v>
      </c>
      <c r="J70">
        <v>0</v>
      </c>
      <c r="K70">
        <f t="shared" si="3"/>
        <v>2.4471275123784084E-2</v>
      </c>
      <c r="L70">
        <f t="shared" si="4"/>
        <v>2.4471275123784086</v>
      </c>
      <c r="M70">
        <v>1.39</v>
      </c>
    </row>
    <row r="71" spans="1:13" x14ac:dyDescent="0.2">
      <c r="A71" s="1">
        <v>43991</v>
      </c>
      <c r="B71">
        <v>42.669998</v>
      </c>
      <c r="C71">
        <v>42.889999000000003</v>
      </c>
      <c r="D71">
        <v>41.880001</v>
      </c>
      <c r="E71">
        <v>42.150002000000001</v>
      </c>
      <c r="F71">
        <v>41.311501</v>
      </c>
      <c r="G71">
        <v>14413900</v>
      </c>
      <c r="I71">
        <f t="shared" si="5"/>
        <v>-2.2495232678261787E-2</v>
      </c>
      <c r="J71">
        <v>0</v>
      </c>
      <c r="K71">
        <f t="shared" si="3"/>
        <v>-2.2495232678261787E-2</v>
      </c>
      <c r="L71">
        <f t="shared" si="4"/>
        <v>-2.249523267826179</v>
      </c>
      <c r="M71">
        <v>-0.85</v>
      </c>
    </row>
    <row r="72" spans="1:13" x14ac:dyDescent="0.2">
      <c r="A72" s="1">
        <v>43992</v>
      </c>
      <c r="B72">
        <v>42.099997999999999</v>
      </c>
      <c r="C72">
        <v>42.119999</v>
      </c>
      <c r="D72">
        <v>41.130001</v>
      </c>
      <c r="E72">
        <v>41.360000999999997</v>
      </c>
      <c r="F72">
        <v>40.537216000000001</v>
      </c>
      <c r="G72">
        <v>15634600</v>
      </c>
      <c r="I72">
        <f t="shared" si="5"/>
        <v>-1.8742601485237705E-2</v>
      </c>
      <c r="J72">
        <v>0</v>
      </c>
      <c r="K72">
        <f t="shared" si="3"/>
        <v>-1.8742601485237705E-2</v>
      </c>
      <c r="L72">
        <f t="shared" si="4"/>
        <v>-1.8742601485237704</v>
      </c>
      <c r="M72">
        <v>-0.56000000000000005</v>
      </c>
    </row>
    <row r="73" spans="1:13" x14ac:dyDescent="0.2">
      <c r="A73" s="1">
        <v>43993</v>
      </c>
      <c r="B73">
        <v>40.909999999999997</v>
      </c>
      <c r="C73">
        <v>41.27</v>
      </c>
      <c r="D73">
        <v>39.189999</v>
      </c>
      <c r="E73">
        <v>39.25</v>
      </c>
      <c r="F73">
        <v>38.469189</v>
      </c>
      <c r="G73">
        <v>22805900</v>
      </c>
      <c r="I73">
        <f t="shared" si="5"/>
        <v>-5.1015516211078749E-2</v>
      </c>
      <c r="J73">
        <v>0</v>
      </c>
      <c r="K73">
        <f t="shared" si="3"/>
        <v>-5.1015516211078749E-2</v>
      </c>
      <c r="L73">
        <f t="shared" si="4"/>
        <v>-5.1015516211078751</v>
      </c>
      <c r="M73">
        <v>-5.91</v>
      </c>
    </row>
    <row r="74" spans="1:13" x14ac:dyDescent="0.2">
      <c r="A74" s="1">
        <v>43994</v>
      </c>
      <c r="B74">
        <v>39.590000000000003</v>
      </c>
      <c r="C74">
        <v>39.970001000000003</v>
      </c>
      <c r="D74">
        <v>38.520000000000003</v>
      </c>
      <c r="E74">
        <v>39.459999000000003</v>
      </c>
      <c r="F74">
        <v>38.675007000000001</v>
      </c>
      <c r="G74">
        <v>18507300</v>
      </c>
      <c r="I74">
        <f t="shared" si="5"/>
        <v>5.3502037695673989E-3</v>
      </c>
      <c r="J74">
        <v>0</v>
      </c>
      <c r="K74">
        <f t="shared" si="3"/>
        <v>5.3502037695673989E-3</v>
      </c>
      <c r="L74">
        <f t="shared" si="4"/>
        <v>0.53502037695673987</v>
      </c>
      <c r="M74">
        <v>1.29</v>
      </c>
    </row>
    <row r="75" spans="1:13" x14ac:dyDescent="0.2">
      <c r="A75" s="1">
        <v>43997</v>
      </c>
      <c r="B75">
        <v>39.290000999999997</v>
      </c>
      <c r="C75">
        <v>40.090000000000003</v>
      </c>
      <c r="D75">
        <v>38.540000999999997</v>
      </c>
      <c r="E75">
        <v>39.830002</v>
      </c>
      <c r="F75">
        <v>39.037650999999997</v>
      </c>
      <c r="G75">
        <v>16585500</v>
      </c>
      <c r="I75">
        <f t="shared" si="5"/>
        <v>9.3767015995626316E-3</v>
      </c>
      <c r="J75">
        <v>0</v>
      </c>
      <c r="K75">
        <f t="shared" si="3"/>
        <v>9.3767015995626316E-3</v>
      </c>
      <c r="L75">
        <f t="shared" si="4"/>
        <v>0.93767015995626313</v>
      </c>
      <c r="M75">
        <v>1.0900000000000001</v>
      </c>
    </row>
    <row r="76" spans="1:13" x14ac:dyDescent="0.2">
      <c r="A76" s="1">
        <v>43998</v>
      </c>
      <c r="B76">
        <v>40.540000999999997</v>
      </c>
      <c r="C76">
        <v>41.049999</v>
      </c>
      <c r="D76">
        <v>39.139999000000003</v>
      </c>
      <c r="E76">
        <v>39.75</v>
      </c>
      <c r="F76">
        <v>38.959243999999998</v>
      </c>
      <c r="G76">
        <v>21212400</v>
      </c>
      <c r="I76">
        <f t="shared" si="5"/>
        <v>-2.0084968739537776E-3</v>
      </c>
      <c r="J76">
        <v>0</v>
      </c>
      <c r="K76">
        <f t="shared" si="3"/>
        <v>-2.0084968739537776E-3</v>
      </c>
      <c r="L76">
        <f t="shared" si="4"/>
        <v>-0.20084968739537776</v>
      </c>
      <c r="M76">
        <v>1.86</v>
      </c>
    </row>
    <row r="77" spans="1:13" x14ac:dyDescent="0.2">
      <c r="A77" s="1">
        <v>43999</v>
      </c>
      <c r="B77">
        <v>39.779998999999997</v>
      </c>
      <c r="C77">
        <v>39.889999000000003</v>
      </c>
      <c r="D77">
        <v>39.119999</v>
      </c>
      <c r="E77">
        <v>39.220001000000003</v>
      </c>
      <c r="F77">
        <v>38.439785000000001</v>
      </c>
      <c r="G77">
        <v>18935700</v>
      </c>
      <c r="I77">
        <f t="shared" si="5"/>
        <v>-1.3333395278409347E-2</v>
      </c>
      <c r="J77">
        <v>0</v>
      </c>
      <c r="K77">
        <f t="shared" si="3"/>
        <v>-1.3333395278409347E-2</v>
      </c>
      <c r="L77">
        <f t="shared" si="4"/>
        <v>-1.3333395278409348</v>
      </c>
      <c r="M77">
        <v>-0.4</v>
      </c>
    </row>
    <row r="78" spans="1:13" x14ac:dyDescent="0.2">
      <c r="A78" s="1">
        <v>44000</v>
      </c>
      <c r="B78">
        <v>39.189999</v>
      </c>
      <c r="C78">
        <v>39.599997999999999</v>
      </c>
      <c r="D78">
        <v>38.950001</v>
      </c>
      <c r="E78">
        <v>39.439999</v>
      </c>
      <c r="F78">
        <v>38.655406999999997</v>
      </c>
      <c r="G78">
        <v>17008200</v>
      </c>
      <c r="I78">
        <f t="shared" si="5"/>
        <v>5.6093445892061106E-3</v>
      </c>
      <c r="J78">
        <v>0</v>
      </c>
      <c r="K78">
        <f t="shared" si="3"/>
        <v>5.6093445892061106E-3</v>
      </c>
      <c r="L78">
        <f t="shared" si="4"/>
        <v>0.56093445892061111</v>
      </c>
      <c r="M78">
        <v>0.19</v>
      </c>
    </row>
    <row r="79" spans="1:13" x14ac:dyDescent="0.2">
      <c r="A79" s="1">
        <v>44001</v>
      </c>
      <c r="B79">
        <v>39.849997999999999</v>
      </c>
      <c r="C79">
        <v>40.459999000000003</v>
      </c>
      <c r="D79">
        <v>38.869999</v>
      </c>
      <c r="E79">
        <v>39.099997999999999</v>
      </c>
      <c r="F79">
        <v>38.322166000000003</v>
      </c>
      <c r="G79">
        <v>35341300</v>
      </c>
      <c r="I79">
        <f t="shared" si="5"/>
        <v>-8.620812089754841E-3</v>
      </c>
      <c r="J79">
        <v>0</v>
      </c>
      <c r="K79">
        <f t="shared" si="3"/>
        <v>-8.620812089754841E-3</v>
      </c>
      <c r="L79">
        <f t="shared" si="4"/>
        <v>-0.86208120897548413</v>
      </c>
      <c r="M79">
        <v>-0.45</v>
      </c>
    </row>
    <row r="80" spans="1:13" x14ac:dyDescent="0.2">
      <c r="A80" s="1">
        <v>44004</v>
      </c>
      <c r="B80">
        <v>38.799999</v>
      </c>
      <c r="C80">
        <v>39.049999</v>
      </c>
      <c r="D80">
        <v>38.32</v>
      </c>
      <c r="E80">
        <v>38.439999</v>
      </c>
      <c r="F80">
        <v>37.675300999999997</v>
      </c>
      <c r="G80">
        <v>20800700</v>
      </c>
      <c r="I80">
        <f t="shared" si="5"/>
        <v>-1.6879656541334467E-2</v>
      </c>
      <c r="J80">
        <v>0</v>
      </c>
      <c r="K80">
        <f t="shared" si="3"/>
        <v>-1.6879656541334467E-2</v>
      </c>
      <c r="L80">
        <f t="shared" si="4"/>
        <v>-1.6879656541334467</v>
      </c>
      <c r="M80">
        <v>0.71</v>
      </c>
    </row>
    <row r="81" spans="1:13" x14ac:dyDescent="0.2">
      <c r="A81" s="1">
        <v>44005</v>
      </c>
      <c r="B81">
        <v>38.93</v>
      </c>
      <c r="C81">
        <v>39.650002000000001</v>
      </c>
      <c r="D81">
        <v>38.689999</v>
      </c>
      <c r="E81">
        <v>39.200001</v>
      </c>
      <c r="F81">
        <v>38.420180999999999</v>
      </c>
      <c r="G81">
        <v>24917900</v>
      </c>
      <c r="I81">
        <f t="shared" si="5"/>
        <v>1.9771043103278776E-2</v>
      </c>
      <c r="J81">
        <v>0</v>
      </c>
      <c r="K81">
        <f t="shared" si="3"/>
        <v>1.9771043103278776E-2</v>
      </c>
      <c r="L81">
        <f t="shared" si="4"/>
        <v>1.9771043103278776</v>
      </c>
      <c r="M81">
        <v>0.42</v>
      </c>
    </row>
    <row r="82" spans="1:13" x14ac:dyDescent="0.2">
      <c r="A82" s="1">
        <v>44006</v>
      </c>
      <c r="B82">
        <v>39.479999999999997</v>
      </c>
      <c r="C82">
        <v>39.479999999999997</v>
      </c>
      <c r="D82">
        <v>38.130001</v>
      </c>
      <c r="E82">
        <v>38.560001</v>
      </c>
      <c r="F82">
        <v>37.792915000000001</v>
      </c>
      <c r="G82">
        <v>20958900</v>
      </c>
      <c r="I82">
        <f t="shared" si="5"/>
        <v>-1.6326471757121569E-2</v>
      </c>
      <c r="J82">
        <v>0</v>
      </c>
      <c r="K82">
        <f t="shared" si="3"/>
        <v>-1.6326471757121569E-2</v>
      </c>
      <c r="L82">
        <f t="shared" si="4"/>
        <v>-1.6326471757121568</v>
      </c>
      <c r="M82">
        <v>-2.61</v>
      </c>
    </row>
    <row r="83" spans="1:13" x14ac:dyDescent="0.2">
      <c r="A83" s="1">
        <v>44007</v>
      </c>
      <c r="B83">
        <v>38.360000999999997</v>
      </c>
      <c r="C83">
        <v>38.740001999999997</v>
      </c>
      <c r="D83">
        <v>37.770000000000003</v>
      </c>
      <c r="E83">
        <v>38.57</v>
      </c>
      <c r="F83">
        <v>37.802711000000002</v>
      </c>
      <c r="G83">
        <v>18159200</v>
      </c>
      <c r="I83">
        <f t="shared" si="5"/>
        <v>2.592020223896852E-4</v>
      </c>
      <c r="J83">
        <v>0</v>
      </c>
      <c r="K83">
        <f t="shared" si="3"/>
        <v>2.592020223896852E-4</v>
      </c>
      <c r="L83">
        <f t="shared" si="4"/>
        <v>2.5920202238968522E-2</v>
      </c>
      <c r="M83">
        <v>1.1200000000000001</v>
      </c>
    </row>
    <row r="84" spans="1:13" x14ac:dyDescent="0.2">
      <c r="A84" s="1">
        <v>44008</v>
      </c>
      <c r="B84">
        <v>38.299999</v>
      </c>
      <c r="C84">
        <v>38.740001999999997</v>
      </c>
      <c r="D84">
        <v>38.029998999999997</v>
      </c>
      <c r="E84">
        <v>38.650002000000001</v>
      </c>
      <c r="F84">
        <v>37.881123000000002</v>
      </c>
      <c r="G84">
        <v>50945600</v>
      </c>
      <c r="I84">
        <f t="shared" si="5"/>
        <v>2.0742427705780185E-3</v>
      </c>
      <c r="J84">
        <v>0</v>
      </c>
      <c r="K84">
        <f t="shared" si="3"/>
        <v>2.0742427705780185E-3</v>
      </c>
      <c r="L84">
        <f t="shared" si="4"/>
        <v>0.20742427705780186</v>
      </c>
      <c r="M84">
        <v>-2.44</v>
      </c>
    </row>
    <row r="85" spans="1:13" x14ac:dyDescent="0.2">
      <c r="A85" s="1">
        <v>44011</v>
      </c>
      <c r="B85">
        <v>38.869999</v>
      </c>
      <c r="C85">
        <v>39.029998999999997</v>
      </c>
      <c r="D85">
        <v>38.389999000000003</v>
      </c>
      <c r="E85">
        <v>38.939999</v>
      </c>
      <c r="F85">
        <v>38.165356000000003</v>
      </c>
      <c r="G85">
        <v>20573800</v>
      </c>
      <c r="I85">
        <f t="shared" si="5"/>
        <v>7.5032886432643614E-3</v>
      </c>
      <c r="J85">
        <v>0</v>
      </c>
      <c r="K85">
        <f t="shared" si="3"/>
        <v>7.5032886432643614E-3</v>
      </c>
      <c r="L85">
        <f t="shared" si="4"/>
        <v>0.75032886432643608</v>
      </c>
      <c r="M85">
        <v>1.51</v>
      </c>
    </row>
    <row r="86" spans="1:13" x14ac:dyDescent="0.2">
      <c r="A86" s="1">
        <v>44012</v>
      </c>
      <c r="B86">
        <v>38.5</v>
      </c>
      <c r="C86">
        <v>39.130001</v>
      </c>
      <c r="D86">
        <v>38.119999</v>
      </c>
      <c r="E86">
        <v>38.979999999999997</v>
      </c>
      <c r="F86">
        <v>38.431556999999998</v>
      </c>
      <c r="G86">
        <v>22169400</v>
      </c>
      <c r="I86">
        <f t="shared" si="5"/>
        <v>6.9749382135986162E-3</v>
      </c>
      <c r="J86">
        <v>0</v>
      </c>
      <c r="K86">
        <f t="shared" si="3"/>
        <v>6.9749382135986162E-3</v>
      </c>
      <c r="L86">
        <f t="shared" si="4"/>
        <v>0.6974938213598616</v>
      </c>
      <c r="M86">
        <v>1.58</v>
      </c>
    </row>
    <row r="87" spans="1:13" x14ac:dyDescent="0.2">
      <c r="A87" s="1">
        <v>44013</v>
      </c>
      <c r="B87">
        <v>39.610000999999997</v>
      </c>
      <c r="C87">
        <v>40.209999000000003</v>
      </c>
      <c r="D87">
        <v>39.400002000000001</v>
      </c>
      <c r="E87">
        <v>39.700001</v>
      </c>
      <c r="F87">
        <v>39.14143</v>
      </c>
      <c r="G87">
        <v>18269800</v>
      </c>
      <c r="I87">
        <f t="shared" si="5"/>
        <v>1.8471096552242258E-2</v>
      </c>
      <c r="J87">
        <v>0</v>
      </c>
      <c r="K87">
        <f t="shared" si="3"/>
        <v>1.8471096552242258E-2</v>
      </c>
      <c r="L87">
        <f t="shared" si="4"/>
        <v>1.8471096552242259</v>
      </c>
      <c r="M87">
        <v>0.41</v>
      </c>
    </row>
    <row r="88" spans="1:13" x14ac:dyDescent="0.2">
      <c r="A88" s="1">
        <v>44014</v>
      </c>
      <c r="B88">
        <v>40.040000999999997</v>
      </c>
      <c r="C88">
        <v>40.279998999999997</v>
      </c>
      <c r="D88">
        <v>39.169998</v>
      </c>
      <c r="E88">
        <v>39.25</v>
      </c>
      <c r="F88">
        <v>38.697758</v>
      </c>
      <c r="G88">
        <v>23372800</v>
      </c>
      <c r="I88">
        <f t="shared" si="5"/>
        <v>-1.1335099407456483E-2</v>
      </c>
      <c r="J88">
        <v>0</v>
      </c>
      <c r="K88">
        <f t="shared" si="3"/>
        <v>-1.1335099407456483E-2</v>
      </c>
      <c r="L88">
        <f t="shared" si="4"/>
        <v>-1.1335099407456484</v>
      </c>
      <c r="M88">
        <v>0.5</v>
      </c>
    </row>
    <row r="89" spans="1:13" x14ac:dyDescent="0.2">
      <c r="A89" s="1">
        <v>44018</v>
      </c>
      <c r="B89">
        <v>39.799999</v>
      </c>
      <c r="C89">
        <v>40.369999</v>
      </c>
      <c r="D89">
        <v>39.650002000000001</v>
      </c>
      <c r="E89">
        <v>40.330002</v>
      </c>
      <c r="F89">
        <v>39.762566</v>
      </c>
      <c r="G89">
        <v>17551400</v>
      </c>
      <c r="I89">
        <f t="shared" si="5"/>
        <v>2.7516012684765855E-2</v>
      </c>
      <c r="J89">
        <v>0</v>
      </c>
      <c r="K89">
        <f t="shared" si="3"/>
        <v>2.7516012684765855E-2</v>
      </c>
      <c r="L89">
        <f t="shared" si="4"/>
        <v>2.7516012684765854</v>
      </c>
      <c r="M89">
        <v>1.65</v>
      </c>
    </row>
    <row r="90" spans="1:13" x14ac:dyDescent="0.2">
      <c r="A90" s="1">
        <v>44019</v>
      </c>
      <c r="B90">
        <v>40.040000999999997</v>
      </c>
      <c r="C90">
        <v>40.349997999999999</v>
      </c>
      <c r="D90">
        <v>40</v>
      </c>
      <c r="E90">
        <v>40.07</v>
      </c>
      <c r="F90">
        <v>39.506222000000001</v>
      </c>
      <c r="G90">
        <v>19404700</v>
      </c>
      <c r="I90">
        <f t="shared" si="5"/>
        <v>-6.4468676392765642E-3</v>
      </c>
      <c r="J90">
        <v>0</v>
      </c>
      <c r="K90">
        <f t="shared" si="3"/>
        <v>-6.4468676392765642E-3</v>
      </c>
      <c r="L90">
        <f t="shared" si="4"/>
        <v>-0.64468676392765645</v>
      </c>
      <c r="M90">
        <v>-1.03</v>
      </c>
    </row>
    <row r="91" spans="1:13" x14ac:dyDescent="0.2">
      <c r="A91" s="1">
        <v>44020</v>
      </c>
      <c r="B91">
        <v>40.130001</v>
      </c>
      <c r="C91">
        <v>40.240001999999997</v>
      </c>
      <c r="D91">
        <v>39.520000000000003</v>
      </c>
      <c r="E91">
        <v>39.740001999999997</v>
      </c>
      <c r="F91">
        <v>39.180866000000002</v>
      </c>
      <c r="G91">
        <v>12536000</v>
      </c>
      <c r="I91">
        <f t="shared" si="5"/>
        <v>-8.2355635018706505E-3</v>
      </c>
      <c r="J91">
        <v>0</v>
      </c>
      <c r="K91">
        <f t="shared" si="3"/>
        <v>-8.2355635018706505E-3</v>
      </c>
      <c r="L91">
        <f t="shared" si="4"/>
        <v>-0.82355635018706508</v>
      </c>
      <c r="M91">
        <v>0.91</v>
      </c>
    </row>
    <row r="92" spans="1:13" x14ac:dyDescent="0.2">
      <c r="A92" s="1">
        <v>44021</v>
      </c>
      <c r="B92">
        <v>39.700001</v>
      </c>
      <c r="C92">
        <v>39.720001000000003</v>
      </c>
      <c r="D92">
        <v>39.029998999999997</v>
      </c>
      <c r="E92">
        <v>39.290000999999997</v>
      </c>
      <c r="F92">
        <v>38.737197999999999</v>
      </c>
      <c r="G92">
        <v>15335200</v>
      </c>
      <c r="I92">
        <f t="shared" si="5"/>
        <v>-1.1323588406647326E-2</v>
      </c>
      <c r="J92">
        <v>0</v>
      </c>
      <c r="K92">
        <f t="shared" si="3"/>
        <v>-1.1323588406647326E-2</v>
      </c>
      <c r="L92">
        <f t="shared" si="4"/>
        <v>-1.1323588406647327</v>
      </c>
      <c r="M92">
        <v>-0.53</v>
      </c>
    </row>
    <row r="93" spans="1:13" x14ac:dyDescent="0.2">
      <c r="A93" s="1">
        <v>44022</v>
      </c>
      <c r="B93">
        <v>39.229999999999997</v>
      </c>
      <c r="C93">
        <v>40.540000999999997</v>
      </c>
      <c r="D93">
        <v>39.139999000000003</v>
      </c>
      <c r="E93">
        <v>40.509998000000003</v>
      </c>
      <c r="F93">
        <v>39.940029000000003</v>
      </c>
      <c r="G93">
        <v>19032700</v>
      </c>
      <c r="I93">
        <f t="shared" si="5"/>
        <v>3.1051058468400408E-2</v>
      </c>
      <c r="J93">
        <v>0</v>
      </c>
      <c r="K93">
        <f t="shared" si="3"/>
        <v>3.1051058468400408E-2</v>
      </c>
      <c r="L93">
        <f t="shared" si="4"/>
        <v>3.1051058468400408</v>
      </c>
      <c r="M93">
        <v>1.1100000000000001</v>
      </c>
    </row>
    <row r="94" spans="1:13" x14ac:dyDescent="0.2">
      <c r="A94" s="1">
        <v>44025</v>
      </c>
      <c r="B94">
        <v>40.470001000000003</v>
      </c>
      <c r="C94">
        <v>41.099997999999999</v>
      </c>
      <c r="D94">
        <v>40.18</v>
      </c>
      <c r="E94">
        <v>40.540000999999997</v>
      </c>
      <c r="F94">
        <v>39.969608000000001</v>
      </c>
      <c r="G94">
        <v>17464700</v>
      </c>
      <c r="I94">
        <f t="shared" si="5"/>
        <v>7.4058534108721466E-4</v>
      </c>
      <c r="J94">
        <v>0</v>
      </c>
      <c r="K94">
        <f t="shared" si="3"/>
        <v>7.4058534108721466E-4</v>
      </c>
      <c r="L94">
        <f t="shared" si="4"/>
        <v>7.4058534108721472E-2</v>
      </c>
      <c r="M94">
        <v>-1.2</v>
      </c>
    </row>
    <row r="95" spans="1:13" x14ac:dyDescent="0.2">
      <c r="A95" s="1">
        <v>44026</v>
      </c>
      <c r="B95">
        <v>39.950001</v>
      </c>
      <c r="C95">
        <v>41.290000999999997</v>
      </c>
      <c r="D95">
        <v>39.830002</v>
      </c>
      <c r="E95">
        <v>41.18</v>
      </c>
      <c r="F95">
        <v>40.600600999999997</v>
      </c>
      <c r="G95">
        <v>21030600</v>
      </c>
      <c r="I95">
        <f t="shared" si="5"/>
        <v>1.5786819825703485E-2</v>
      </c>
      <c r="J95">
        <v>0</v>
      </c>
      <c r="K95">
        <f t="shared" si="3"/>
        <v>1.5786819825703485E-2</v>
      </c>
      <c r="L95">
        <f t="shared" si="4"/>
        <v>1.5786819825703486</v>
      </c>
      <c r="M95">
        <v>1.35</v>
      </c>
    </row>
    <row r="96" spans="1:13" x14ac:dyDescent="0.2">
      <c r="A96" s="1">
        <v>44027</v>
      </c>
      <c r="B96">
        <v>41.110000999999997</v>
      </c>
      <c r="C96">
        <v>42.080002</v>
      </c>
      <c r="D96">
        <v>41.049999</v>
      </c>
      <c r="E96">
        <v>41.959999000000003</v>
      </c>
      <c r="F96">
        <v>41.369629000000003</v>
      </c>
      <c r="G96">
        <v>21068800</v>
      </c>
      <c r="I96">
        <f t="shared" si="5"/>
        <v>1.8941295967515502E-2</v>
      </c>
      <c r="J96">
        <v>0</v>
      </c>
      <c r="K96">
        <f t="shared" si="3"/>
        <v>1.8941295967515502E-2</v>
      </c>
      <c r="L96">
        <f t="shared" si="4"/>
        <v>1.8941295967515501</v>
      </c>
      <c r="M96">
        <v>1.1399999999999999</v>
      </c>
    </row>
    <row r="97" spans="1:13" x14ac:dyDescent="0.2">
      <c r="A97" s="1">
        <v>44028</v>
      </c>
      <c r="B97">
        <v>41.709999000000003</v>
      </c>
      <c r="C97">
        <v>42.18</v>
      </c>
      <c r="D97">
        <v>41.66</v>
      </c>
      <c r="E97">
        <v>42.139999000000003</v>
      </c>
      <c r="F97">
        <v>41.547096000000003</v>
      </c>
      <c r="G97">
        <v>14817900</v>
      </c>
      <c r="I97">
        <f t="shared" si="5"/>
        <v>4.2897894975079433E-3</v>
      </c>
      <c r="J97">
        <v>0</v>
      </c>
      <c r="K97">
        <f t="shared" si="3"/>
        <v>4.2897894975079433E-3</v>
      </c>
      <c r="L97">
        <f t="shared" si="4"/>
        <v>0.42897894975079431</v>
      </c>
      <c r="M97">
        <v>-0.37</v>
      </c>
    </row>
    <row r="98" spans="1:13" x14ac:dyDescent="0.2">
      <c r="A98" s="1">
        <v>44029</v>
      </c>
      <c r="B98">
        <v>42.48</v>
      </c>
      <c r="C98">
        <v>42.48</v>
      </c>
      <c r="D98">
        <v>41.900002000000001</v>
      </c>
      <c r="E98">
        <v>42.18</v>
      </c>
      <c r="F98">
        <v>41.586528999999999</v>
      </c>
      <c r="G98">
        <v>15912900</v>
      </c>
      <c r="I98">
        <f t="shared" si="5"/>
        <v>9.4911567345153038E-4</v>
      </c>
      <c r="J98">
        <v>0</v>
      </c>
      <c r="K98">
        <f t="shared" si="3"/>
        <v>9.4911567345153038E-4</v>
      </c>
      <c r="L98">
        <f t="shared" si="4"/>
        <v>9.4911567345153033E-2</v>
      </c>
      <c r="M98">
        <v>0.3</v>
      </c>
    </row>
    <row r="99" spans="1:13" x14ac:dyDescent="0.2">
      <c r="A99" s="1">
        <v>44032</v>
      </c>
      <c r="B99">
        <v>41.990001999999997</v>
      </c>
      <c r="C99">
        <v>42.110000999999997</v>
      </c>
      <c r="D99">
        <v>41.759998000000003</v>
      </c>
      <c r="E99">
        <v>41.950001</v>
      </c>
      <c r="F99">
        <v>41.359772</v>
      </c>
      <c r="G99">
        <v>12964100</v>
      </c>
      <c r="I99">
        <f t="shared" si="5"/>
        <v>-5.4526551133901851E-3</v>
      </c>
      <c r="J99">
        <v>0</v>
      </c>
      <c r="K99">
        <f t="shared" si="3"/>
        <v>-5.4526551133901851E-3</v>
      </c>
      <c r="L99">
        <f t="shared" si="4"/>
        <v>-0.54526551133901846</v>
      </c>
      <c r="M99">
        <v>1.01</v>
      </c>
    </row>
    <row r="100" spans="1:13" x14ac:dyDescent="0.2">
      <c r="A100" s="1">
        <v>44033</v>
      </c>
      <c r="B100">
        <v>42.139999000000003</v>
      </c>
      <c r="C100">
        <v>42.77</v>
      </c>
      <c r="D100">
        <v>42.060001</v>
      </c>
      <c r="E100">
        <v>42.57</v>
      </c>
      <c r="F100">
        <v>41.971046000000001</v>
      </c>
      <c r="G100">
        <v>23364300</v>
      </c>
      <c r="I100">
        <f t="shared" si="5"/>
        <v>1.4779433503647015E-2</v>
      </c>
      <c r="J100">
        <v>0</v>
      </c>
      <c r="K100">
        <f t="shared" si="3"/>
        <v>1.4779433503647015E-2</v>
      </c>
      <c r="L100">
        <f t="shared" si="4"/>
        <v>1.4779433503647015</v>
      </c>
      <c r="M100">
        <v>0.16</v>
      </c>
    </row>
    <row r="101" spans="1:13" x14ac:dyDescent="0.2">
      <c r="A101" s="1">
        <v>44034</v>
      </c>
      <c r="B101">
        <v>42.52</v>
      </c>
      <c r="C101">
        <v>42.759998000000003</v>
      </c>
      <c r="D101">
        <v>42.41</v>
      </c>
      <c r="E101">
        <v>42.57</v>
      </c>
      <c r="F101">
        <v>41.971046000000001</v>
      </c>
      <c r="G101">
        <v>16360500</v>
      </c>
      <c r="I101">
        <f t="shared" si="5"/>
        <v>0</v>
      </c>
      <c r="J101">
        <v>0</v>
      </c>
      <c r="K101">
        <f t="shared" si="3"/>
        <v>0</v>
      </c>
      <c r="L101">
        <f t="shared" si="4"/>
        <v>0</v>
      </c>
      <c r="M101">
        <v>0.49</v>
      </c>
    </row>
    <row r="102" spans="1:13" x14ac:dyDescent="0.2">
      <c r="A102" s="1">
        <v>44035</v>
      </c>
      <c r="B102">
        <v>42.759998000000003</v>
      </c>
      <c r="C102">
        <v>42.959999000000003</v>
      </c>
      <c r="D102">
        <v>42.34</v>
      </c>
      <c r="E102">
        <v>42.490001999999997</v>
      </c>
      <c r="F102">
        <v>41.89217</v>
      </c>
      <c r="G102">
        <v>22357200</v>
      </c>
      <c r="I102">
        <f t="shared" si="5"/>
        <v>-1.879295550556473E-3</v>
      </c>
      <c r="J102">
        <v>0</v>
      </c>
      <c r="K102">
        <f t="shared" si="3"/>
        <v>-1.879295550556473E-3</v>
      </c>
      <c r="L102">
        <f t="shared" si="4"/>
        <v>-0.18792955505564729</v>
      </c>
      <c r="M102">
        <v>-1.2</v>
      </c>
    </row>
    <row r="103" spans="1:13" x14ac:dyDescent="0.2">
      <c r="A103" s="1">
        <v>44036</v>
      </c>
      <c r="B103">
        <v>43.43</v>
      </c>
      <c r="C103">
        <v>43.900002000000001</v>
      </c>
      <c r="D103">
        <v>42.709999000000003</v>
      </c>
      <c r="E103">
        <v>43.349997999999999</v>
      </c>
      <c r="F103">
        <v>42.740070000000003</v>
      </c>
      <c r="G103">
        <v>21926100</v>
      </c>
      <c r="I103">
        <f t="shared" si="5"/>
        <v>2.024005918051041E-2</v>
      </c>
      <c r="J103">
        <v>0</v>
      </c>
      <c r="K103">
        <f t="shared" si="3"/>
        <v>2.024005918051041E-2</v>
      </c>
      <c r="L103">
        <f t="shared" si="4"/>
        <v>2.0240059180510408</v>
      </c>
      <c r="M103">
        <v>-0.75</v>
      </c>
    </row>
    <row r="104" spans="1:13" x14ac:dyDescent="0.2">
      <c r="A104" s="1">
        <v>44039</v>
      </c>
      <c r="B104">
        <v>43.200001</v>
      </c>
      <c r="C104">
        <v>43.639999000000003</v>
      </c>
      <c r="D104">
        <v>43.150002000000001</v>
      </c>
      <c r="E104">
        <v>43.560001</v>
      </c>
      <c r="F104">
        <v>42.947116999999999</v>
      </c>
      <c r="G104">
        <v>18268600</v>
      </c>
      <c r="I104">
        <f t="shared" si="5"/>
        <v>4.8443299227164524E-3</v>
      </c>
      <c r="J104">
        <v>0</v>
      </c>
      <c r="K104">
        <f t="shared" si="3"/>
        <v>4.8443299227164524E-3</v>
      </c>
      <c r="L104">
        <f t="shared" si="4"/>
        <v>0.48443299227164521</v>
      </c>
      <c r="M104">
        <v>0.88</v>
      </c>
    </row>
    <row r="105" spans="1:13" x14ac:dyDescent="0.2">
      <c r="A105" s="1">
        <v>44040</v>
      </c>
      <c r="B105">
        <v>42.860000999999997</v>
      </c>
      <c r="C105">
        <v>43.57</v>
      </c>
      <c r="D105">
        <v>42.799999</v>
      </c>
      <c r="E105">
        <v>43.209999000000003</v>
      </c>
      <c r="F105">
        <v>42.602038999999998</v>
      </c>
      <c r="G105">
        <v>17574600</v>
      </c>
      <c r="I105">
        <f t="shared" si="5"/>
        <v>-8.0349514497096725E-3</v>
      </c>
      <c r="J105">
        <v>0</v>
      </c>
      <c r="K105">
        <f t="shared" si="3"/>
        <v>-8.0349514497096725E-3</v>
      </c>
      <c r="L105">
        <f t="shared" si="4"/>
        <v>-0.8034951449709673</v>
      </c>
      <c r="M105">
        <v>-0.81</v>
      </c>
    </row>
    <row r="106" spans="1:13" x14ac:dyDescent="0.2">
      <c r="A106" s="1">
        <v>44041</v>
      </c>
      <c r="B106">
        <v>43.330002</v>
      </c>
      <c r="C106">
        <v>44.110000999999997</v>
      </c>
      <c r="D106">
        <v>43.259998000000003</v>
      </c>
      <c r="E106">
        <v>43.900002000000001</v>
      </c>
      <c r="F106">
        <v>43.282333000000001</v>
      </c>
      <c r="G106">
        <v>25499900</v>
      </c>
      <c r="I106">
        <f t="shared" si="5"/>
        <v>1.5968578405367018E-2</v>
      </c>
      <c r="J106">
        <v>0</v>
      </c>
      <c r="K106">
        <f t="shared" si="3"/>
        <v>1.5968578405367018E-2</v>
      </c>
      <c r="L106">
        <f t="shared" si="4"/>
        <v>1.5968578405367018</v>
      </c>
      <c r="M106">
        <v>1.35</v>
      </c>
    </row>
    <row r="107" spans="1:13" x14ac:dyDescent="0.2">
      <c r="A107" s="1">
        <v>44042</v>
      </c>
      <c r="B107">
        <v>44.48</v>
      </c>
      <c r="C107">
        <v>45.200001</v>
      </c>
      <c r="D107">
        <v>43.119999</v>
      </c>
      <c r="E107">
        <v>43.669998</v>
      </c>
      <c r="F107">
        <v>43.055568999999998</v>
      </c>
      <c r="G107">
        <v>17658600</v>
      </c>
      <c r="I107">
        <f t="shared" si="5"/>
        <v>-5.2391815385737835E-3</v>
      </c>
      <c r="J107">
        <v>0</v>
      </c>
      <c r="K107">
        <f t="shared" si="3"/>
        <v>-5.2391815385737835E-3</v>
      </c>
      <c r="L107">
        <f t="shared" si="4"/>
        <v>-0.52391815385737839</v>
      </c>
      <c r="M107">
        <v>-0.28999999999999998</v>
      </c>
    </row>
    <row r="108" spans="1:13" x14ac:dyDescent="0.2">
      <c r="A108" s="1">
        <v>44043</v>
      </c>
      <c r="B108">
        <v>43.540000999999997</v>
      </c>
      <c r="C108">
        <v>43.639999000000003</v>
      </c>
      <c r="D108">
        <v>41.959999000000003</v>
      </c>
      <c r="E108">
        <v>42.799999</v>
      </c>
      <c r="F108">
        <v>42.197806999999997</v>
      </c>
      <c r="G108">
        <v>23913500</v>
      </c>
      <c r="I108">
        <f t="shared" si="5"/>
        <v>-1.992220797267831E-2</v>
      </c>
      <c r="J108">
        <v>0</v>
      </c>
      <c r="K108">
        <f t="shared" si="3"/>
        <v>-1.992220797267831E-2</v>
      </c>
      <c r="L108">
        <f t="shared" si="4"/>
        <v>-1.992220797267831</v>
      </c>
      <c r="M108">
        <v>0.61</v>
      </c>
    </row>
    <row r="109" spans="1:13" x14ac:dyDescent="0.2">
      <c r="A109" s="1">
        <v>44046</v>
      </c>
      <c r="B109">
        <v>42.689999</v>
      </c>
      <c r="C109">
        <v>43.139999000000003</v>
      </c>
      <c r="D109">
        <v>42.41</v>
      </c>
      <c r="E109">
        <v>42.880001</v>
      </c>
      <c r="F109">
        <v>42.276684000000003</v>
      </c>
      <c r="G109">
        <v>13733000</v>
      </c>
      <c r="I109">
        <f t="shared" si="5"/>
        <v>1.8692203601956292E-3</v>
      </c>
      <c r="J109">
        <v>0</v>
      </c>
      <c r="K109">
        <f t="shared" si="3"/>
        <v>1.8692203601956292E-3</v>
      </c>
      <c r="L109">
        <f t="shared" si="4"/>
        <v>0.18692203601956292</v>
      </c>
      <c r="M109">
        <v>0.98</v>
      </c>
    </row>
    <row r="110" spans="1:13" x14ac:dyDescent="0.2">
      <c r="A110" s="1">
        <v>44047</v>
      </c>
      <c r="B110">
        <v>42.619999</v>
      </c>
      <c r="C110">
        <v>43.240001999999997</v>
      </c>
      <c r="D110">
        <v>42.540000999999997</v>
      </c>
      <c r="E110">
        <v>43.209999000000003</v>
      </c>
      <c r="F110">
        <v>42.602038999999998</v>
      </c>
      <c r="G110">
        <v>12102500</v>
      </c>
      <c r="I110">
        <f t="shared" si="5"/>
        <v>7.6958495609540881E-3</v>
      </c>
      <c r="J110">
        <v>0</v>
      </c>
      <c r="K110">
        <f t="shared" si="3"/>
        <v>7.6958495609540881E-3</v>
      </c>
      <c r="L110">
        <f t="shared" si="4"/>
        <v>0.76958495609540878</v>
      </c>
      <c r="M110">
        <v>0.37</v>
      </c>
    </row>
    <row r="111" spans="1:13" x14ac:dyDescent="0.2">
      <c r="A111" s="1">
        <v>44048</v>
      </c>
      <c r="B111">
        <v>43.290000999999997</v>
      </c>
      <c r="C111">
        <v>43.470001000000003</v>
      </c>
      <c r="D111">
        <v>42.25</v>
      </c>
      <c r="E111">
        <v>42.290000999999997</v>
      </c>
      <c r="F111">
        <v>41.694983999999998</v>
      </c>
      <c r="G111">
        <v>16212500</v>
      </c>
      <c r="I111">
        <f t="shared" si="5"/>
        <v>-2.1291351805954633E-2</v>
      </c>
      <c r="J111">
        <v>0</v>
      </c>
      <c r="K111">
        <f t="shared" si="3"/>
        <v>-2.1291351805954633E-2</v>
      </c>
      <c r="L111">
        <f t="shared" si="4"/>
        <v>-2.1291351805954633</v>
      </c>
      <c r="M111">
        <v>0.78</v>
      </c>
    </row>
    <row r="112" spans="1:13" x14ac:dyDescent="0.2">
      <c r="A112" s="1">
        <v>44049</v>
      </c>
      <c r="B112">
        <v>42.040000999999997</v>
      </c>
      <c r="C112">
        <v>42.889999000000003</v>
      </c>
      <c r="D112">
        <v>42.02</v>
      </c>
      <c r="E112">
        <v>42.869999</v>
      </c>
      <c r="F112">
        <v>42.266823000000002</v>
      </c>
      <c r="G112">
        <v>13772200</v>
      </c>
      <c r="I112">
        <f t="shared" si="5"/>
        <v>1.3714815192158468E-2</v>
      </c>
      <c r="J112">
        <v>0</v>
      </c>
      <c r="K112">
        <f t="shared" si="3"/>
        <v>1.3714815192158468E-2</v>
      </c>
      <c r="L112">
        <f t="shared" si="4"/>
        <v>1.3714815192158467</v>
      </c>
      <c r="M112">
        <v>0.53</v>
      </c>
    </row>
    <row r="113" spans="1:13" x14ac:dyDescent="0.2">
      <c r="A113" s="1">
        <v>44050</v>
      </c>
      <c r="B113">
        <v>42.59</v>
      </c>
      <c r="C113">
        <v>42.919998</v>
      </c>
      <c r="D113">
        <v>42.470001000000003</v>
      </c>
      <c r="E113">
        <v>42.810001</v>
      </c>
      <c r="F113">
        <v>42.207667999999998</v>
      </c>
      <c r="G113">
        <v>10353000</v>
      </c>
      <c r="I113">
        <f t="shared" si="5"/>
        <v>-1.3995610694469292E-3</v>
      </c>
      <c r="J113">
        <v>0</v>
      </c>
      <c r="K113">
        <f t="shared" si="3"/>
        <v>-1.3995610694469292E-3</v>
      </c>
      <c r="L113">
        <f t="shared" si="4"/>
        <v>-0.13995610694469293</v>
      </c>
      <c r="M113">
        <v>0.02</v>
      </c>
    </row>
    <row r="114" spans="1:13" x14ac:dyDescent="0.2">
      <c r="A114" s="1">
        <v>44053</v>
      </c>
      <c r="B114">
        <v>42.560001</v>
      </c>
      <c r="C114">
        <v>43.220001000000003</v>
      </c>
      <c r="D114">
        <v>42.560001</v>
      </c>
      <c r="E114">
        <v>43.02</v>
      </c>
      <c r="F114">
        <v>42.414718999999998</v>
      </c>
      <c r="G114">
        <v>16375000</v>
      </c>
      <c r="I114">
        <f t="shared" si="5"/>
        <v>4.905530435844024E-3</v>
      </c>
      <c r="J114">
        <v>0</v>
      </c>
      <c r="K114">
        <f t="shared" si="3"/>
        <v>4.905530435844024E-3</v>
      </c>
      <c r="L114">
        <f t="shared" si="4"/>
        <v>0.49055304358440238</v>
      </c>
      <c r="M114">
        <v>0.24</v>
      </c>
    </row>
    <row r="115" spans="1:13" x14ac:dyDescent="0.2">
      <c r="A115" s="1">
        <v>44054</v>
      </c>
      <c r="B115">
        <v>43.25</v>
      </c>
      <c r="C115">
        <v>44</v>
      </c>
      <c r="D115">
        <v>42.919998</v>
      </c>
      <c r="E115">
        <v>42.990001999999997</v>
      </c>
      <c r="F115">
        <v>42.385136000000003</v>
      </c>
      <c r="G115">
        <v>17140700</v>
      </c>
      <c r="I115">
        <f t="shared" si="5"/>
        <v>-6.9747014002368498E-4</v>
      </c>
      <c r="J115">
        <v>0</v>
      </c>
      <c r="K115">
        <f t="shared" si="3"/>
        <v>-6.9747014002368498E-4</v>
      </c>
      <c r="L115">
        <f t="shared" si="4"/>
        <v>-6.9747014002368504E-2</v>
      </c>
      <c r="M115">
        <v>-0.83</v>
      </c>
    </row>
    <row r="116" spans="1:13" x14ac:dyDescent="0.2">
      <c r="A116" s="1">
        <v>44055</v>
      </c>
      <c r="B116">
        <v>43.009998000000003</v>
      </c>
      <c r="C116">
        <v>43.73</v>
      </c>
      <c r="D116">
        <v>42.970001000000003</v>
      </c>
      <c r="E116">
        <v>43.34</v>
      </c>
      <c r="F116">
        <v>42.730212999999999</v>
      </c>
      <c r="G116">
        <v>10407500</v>
      </c>
      <c r="I116">
        <f t="shared" si="5"/>
        <v>8.1414626108548115E-3</v>
      </c>
      <c r="J116">
        <v>0</v>
      </c>
      <c r="K116">
        <f t="shared" si="3"/>
        <v>8.1414626108548115E-3</v>
      </c>
      <c r="L116">
        <f t="shared" si="4"/>
        <v>0.81414626108548116</v>
      </c>
      <c r="M116">
        <v>1.4</v>
      </c>
    </row>
    <row r="117" spans="1:13" x14ac:dyDescent="0.2">
      <c r="A117" s="1">
        <v>44056</v>
      </c>
      <c r="B117">
        <v>43.099997999999999</v>
      </c>
      <c r="C117">
        <v>43.43</v>
      </c>
      <c r="D117">
        <v>42.990001999999997</v>
      </c>
      <c r="E117">
        <v>43.389999000000003</v>
      </c>
      <c r="F117">
        <v>42.779507000000002</v>
      </c>
      <c r="G117">
        <v>12649500</v>
      </c>
      <c r="I117">
        <f t="shared" si="5"/>
        <v>1.1536099761544198E-3</v>
      </c>
      <c r="J117">
        <v>0</v>
      </c>
      <c r="K117">
        <f t="shared" si="3"/>
        <v>1.1536099761544198E-3</v>
      </c>
      <c r="L117">
        <f t="shared" si="4"/>
        <v>0.11536099761544198</v>
      </c>
      <c r="M117">
        <v>-0.01</v>
      </c>
    </row>
    <row r="118" spans="1:13" x14ac:dyDescent="0.2">
      <c r="A118" s="1">
        <v>44057</v>
      </c>
      <c r="B118">
        <v>43.619999</v>
      </c>
      <c r="C118">
        <v>44.18</v>
      </c>
      <c r="D118">
        <v>43.200001</v>
      </c>
      <c r="E118">
        <v>43.77</v>
      </c>
      <c r="F118">
        <v>43.154159999999997</v>
      </c>
      <c r="G118">
        <v>15238000</v>
      </c>
      <c r="I118">
        <f t="shared" si="5"/>
        <v>8.7577680593653173E-3</v>
      </c>
      <c r="J118">
        <v>0</v>
      </c>
      <c r="K118">
        <f t="shared" si="3"/>
        <v>8.7577680593653173E-3</v>
      </c>
      <c r="L118">
        <f t="shared" si="4"/>
        <v>0.87577680593653173</v>
      </c>
      <c r="M118">
        <v>-0.04</v>
      </c>
    </row>
    <row r="119" spans="1:13" x14ac:dyDescent="0.2">
      <c r="A119" s="1">
        <v>44060</v>
      </c>
      <c r="B119">
        <v>43.869999</v>
      </c>
      <c r="C119">
        <v>43.950001</v>
      </c>
      <c r="D119">
        <v>43.299999</v>
      </c>
      <c r="E119">
        <v>43.529998999999997</v>
      </c>
      <c r="F119">
        <v>42.917538</v>
      </c>
      <c r="G119">
        <v>12333300</v>
      </c>
      <c r="I119">
        <f t="shared" si="5"/>
        <v>-5.4831793736686571E-3</v>
      </c>
      <c r="J119">
        <v>0</v>
      </c>
      <c r="K119">
        <f t="shared" si="3"/>
        <v>-5.4831793736686571E-3</v>
      </c>
      <c r="L119">
        <f t="shared" si="4"/>
        <v>-0.54831793736686574</v>
      </c>
      <c r="M119">
        <v>0.45</v>
      </c>
    </row>
    <row r="120" spans="1:13" x14ac:dyDescent="0.2">
      <c r="A120" s="1">
        <v>44061</v>
      </c>
      <c r="B120">
        <v>43.709999000000003</v>
      </c>
      <c r="C120">
        <v>43.740001999999997</v>
      </c>
      <c r="D120">
        <v>43.279998999999997</v>
      </c>
      <c r="E120">
        <v>43.540000999999997</v>
      </c>
      <c r="F120">
        <v>42.927399000000001</v>
      </c>
      <c r="G120">
        <v>8717300</v>
      </c>
      <c r="I120">
        <f t="shared" si="5"/>
        <v>2.2976620886316419E-4</v>
      </c>
      <c r="J120">
        <v>0</v>
      </c>
      <c r="K120">
        <f t="shared" si="3"/>
        <v>2.2976620886316419E-4</v>
      </c>
      <c r="L120">
        <f t="shared" si="4"/>
        <v>2.2976620886316419E-2</v>
      </c>
      <c r="M120">
        <v>0.22</v>
      </c>
    </row>
    <row r="121" spans="1:13" x14ac:dyDescent="0.2">
      <c r="A121" s="1">
        <v>44062</v>
      </c>
      <c r="B121">
        <v>43.66</v>
      </c>
      <c r="C121">
        <v>43.759998000000003</v>
      </c>
      <c r="D121">
        <v>43.16</v>
      </c>
      <c r="E121">
        <v>43.32</v>
      </c>
      <c r="F121">
        <v>42.710490999999998</v>
      </c>
      <c r="G121">
        <v>9857900</v>
      </c>
      <c r="I121">
        <f t="shared" si="5"/>
        <v>-5.0529033916078547E-3</v>
      </c>
      <c r="J121">
        <v>0</v>
      </c>
      <c r="K121">
        <f t="shared" si="3"/>
        <v>-5.0529033916078547E-3</v>
      </c>
      <c r="L121">
        <f t="shared" si="4"/>
        <v>-0.50529033916078547</v>
      </c>
      <c r="M121">
        <v>-0.38</v>
      </c>
    </row>
    <row r="122" spans="1:13" x14ac:dyDescent="0.2">
      <c r="A122" s="1">
        <v>44063</v>
      </c>
      <c r="B122">
        <v>43.23</v>
      </c>
      <c r="C122">
        <v>43.439999</v>
      </c>
      <c r="D122">
        <v>42.900002000000001</v>
      </c>
      <c r="E122">
        <v>43.27</v>
      </c>
      <c r="F122">
        <v>42.661194000000002</v>
      </c>
      <c r="G122">
        <v>11318700</v>
      </c>
      <c r="I122">
        <f t="shared" si="5"/>
        <v>-1.1542129075499438E-3</v>
      </c>
      <c r="J122">
        <v>0</v>
      </c>
      <c r="K122">
        <f t="shared" si="3"/>
        <v>-1.1542129075499438E-3</v>
      </c>
      <c r="L122">
        <f t="shared" si="4"/>
        <v>-0.11542129075499438</v>
      </c>
      <c r="M122">
        <v>0.31</v>
      </c>
    </row>
    <row r="123" spans="1:13" x14ac:dyDescent="0.2">
      <c r="A123" s="1">
        <v>44064</v>
      </c>
      <c r="B123">
        <v>43.040000999999997</v>
      </c>
      <c r="C123">
        <v>43.23</v>
      </c>
      <c r="D123">
        <v>42.720001000000003</v>
      </c>
      <c r="E123">
        <v>43.07</v>
      </c>
      <c r="F123">
        <v>42.464008</v>
      </c>
      <c r="G123">
        <v>12931400</v>
      </c>
      <c r="I123">
        <f t="shared" si="5"/>
        <v>-4.6221397366422064E-3</v>
      </c>
      <c r="J123">
        <v>0</v>
      </c>
      <c r="K123">
        <f t="shared" si="3"/>
        <v>-4.6221397366422064E-3</v>
      </c>
      <c r="L123">
        <f t="shared" si="4"/>
        <v>-0.46221397366422062</v>
      </c>
      <c r="M123">
        <v>0.25</v>
      </c>
    </row>
    <row r="124" spans="1:13" x14ac:dyDescent="0.2">
      <c r="A124" s="1">
        <v>44067</v>
      </c>
      <c r="B124">
        <v>42.860000999999997</v>
      </c>
      <c r="C124">
        <v>43.82</v>
      </c>
      <c r="D124">
        <v>42.849997999999999</v>
      </c>
      <c r="E124">
        <v>43.799999</v>
      </c>
      <c r="F124">
        <v>43.183739000000003</v>
      </c>
      <c r="G124">
        <v>15266700</v>
      </c>
      <c r="I124">
        <f t="shared" si="5"/>
        <v>1.6949200838507827E-2</v>
      </c>
      <c r="J124">
        <v>0</v>
      </c>
      <c r="K124">
        <f t="shared" si="3"/>
        <v>1.6949200838507827E-2</v>
      </c>
      <c r="L124">
        <f t="shared" si="4"/>
        <v>1.6949200838507827</v>
      </c>
      <c r="M124">
        <v>0.92</v>
      </c>
    </row>
    <row r="125" spans="1:13" x14ac:dyDescent="0.2">
      <c r="A125" s="1">
        <v>44068</v>
      </c>
      <c r="B125">
        <v>43.77</v>
      </c>
      <c r="C125">
        <v>43.779998999999997</v>
      </c>
      <c r="D125">
        <v>43.18</v>
      </c>
      <c r="E125">
        <v>43.41</v>
      </c>
      <c r="F125">
        <v>42.799228999999997</v>
      </c>
      <c r="G125">
        <v>8413000</v>
      </c>
      <c r="I125">
        <f t="shared" si="5"/>
        <v>-8.904046034550318E-3</v>
      </c>
      <c r="J125">
        <v>0</v>
      </c>
      <c r="K125">
        <f t="shared" si="3"/>
        <v>-8.904046034550318E-3</v>
      </c>
      <c r="L125">
        <f t="shared" si="4"/>
        <v>-0.89040460345503181</v>
      </c>
      <c r="M125">
        <v>0.36</v>
      </c>
    </row>
    <row r="126" spans="1:13" x14ac:dyDescent="0.2">
      <c r="A126" s="1">
        <v>44069</v>
      </c>
      <c r="B126">
        <v>43.02</v>
      </c>
      <c r="C126">
        <v>44.360000999999997</v>
      </c>
      <c r="D126">
        <v>42.91</v>
      </c>
      <c r="E126">
        <v>44.200001</v>
      </c>
      <c r="F126">
        <v>43.578113999999999</v>
      </c>
      <c r="G126">
        <v>14428200</v>
      </c>
      <c r="I126">
        <f t="shared" si="5"/>
        <v>1.8198575493030552E-2</v>
      </c>
      <c r="J126">
        <v>0</v>
      </c>
      <c r="K126">
        <f t="shared" si="3"/>
        <v>1.8198575493030552E-2</v>
      </c>
      <c r="L126">
        <f t="shared" si="4"/>
        <v>1.8198575493030551</v>
      </c>
      <c r="M126">
        <v>1</v>
      </c>
    </row>
    <row r="127" spans="1:13" x14ac:dyDescent="0.2">
      <c r="A127" s="1">
        <v>44070</v>
      </c>
      <c r="B127">
        <v>44.560001</v>
      </c>
      <c r="C127">
        <v>44.799999</v>
      </c>
      <c r="D127">
        <v>44.240001999999997</v>
      </c>
      <c r="E127">
        <v>44.540000999999997</v>
      </c>
      <c r="F127">
        <v>43.913325999999998</v>
      </c>
      <c r="G127">
        <v>14317500</v>
      </c>
      <c r="I127">
        <f t="shared" si="5"/>
        <v>7.6922099015115366E-3</v>
      </c>
      <c r="J127">
        <v>0</v>
      </c>
      <c r="K127">
        <f t="shared" si="3"/>
        <v>7.6922099015115366E-3</v>
      </c>
      <c r="L127">
        <f t="shared" si="4"/>
        <v>0.76922099015115364</v>
      </c>
      <c r="M127">
        <v>0.18</v>
      </c>
    </row>
    <row r="128" spans="1:13" x14ac:dyDescent="0.2">
      <c r="A128" s="1">
        <v>44071</v>
      </c>
      <c r="B128">
        <v>44.529998999999997</v>
      </c>
      <c r="C128">
        <v>44.57</v>
      </c>
      <c r="D128">
        <v>43.93</v>
      </c>
      <c r="E128">
        <v>44.560001</v>
      </c>
      <c r="F128">
        <v>43.933044000000002</v>
      </c>
      <c r="G128">
        <v>10975100</v>
      </c>
      <c r="I128">
        <f t="shared" si="5"/>
        <v>4.4902087352719687E-4</v>
      </c>
      <c r="J128">
        <v>0</v>
      </c>
      <c r="K128">
        <f t="shared" si="3"/>
        <v>4.4902087352719687E-4</v>
      </c>
      <c r="L128">
        <f t="shared" si="4"/>
        <v>4.4902087352719687E-2</v>
      </c>
      <c r="M128">
        <v>0.7</v>
      </c>
    </row>
    <row r="129" spans="1:13" x14ac:dyDescent="0.2">
      <c r="A129" s="1">
        <v>44074</v>
      </c>
      <c r="B129">
        <v>44.259998000000003</v>
      </c>
      <c r="C129">
        <v>45.130001</v>
      </c>
      <c r="D129">
        <v>44.25</v>
      </c>
      <c r="E129">
        <v>44.810001</v>
      </c>
      <c r="F129">
        <v>44.179530999999997</v>
      </c>
      <c r="G129">
        <v>24898100</v>
      </c>
      <c r="I129">
        <f t="shared" si="5"/>
        <v>5.610514946335036E-3</v>
      </c>
      <c r="J129">
        <v>0</v>
      </c>
      <c r="K129">
        <f t="shared" si="3"/>
        <v>5.610514946335036E-3</v>
      </c>
      <c r="L129">
        <f t="shared" si="4"/>
        <v>0.56105149463350357</v>
      </c>
      <c r="M129">
        <v>-0.04</v>
      </c>
    </row>
    <row r="130" spans="1:13" x14ac:dyDescent="0.2">
      <c r="A130" s="1">
        <v>44075</v>
      </c>
      <c r="B130">
        <v>44.439999</v>
      </c>
      <c r="C130">
        <v>45.09</v>
      </c>
      <c r="D130">
        <v>44.240001999999997</v>
      </c>
      <c r="E130">
        <v>45.049999</v>
      </c>
      <c r="F130">
        <v>44.416148999999997</v>
      </c>
      <c r="G130">
        <v>16943200</v>
      </c>
      <c r="I130">
        <f t="shared" si="5"/>
        <v>5.3558286981362476E-3</v>
      </c>
      <c r="J130">
        <v>0</v>
      </c>
      <c r="K130">
        <f t="shared" si="3"/>
        <v>5.3558286981362476E-3</v>
      </c>
      <c r="L130">
        <f t="shared" si="4"/>
        <v>0.5355828698136248</v>
      </c>
      <c r="M130">
        <v>0.92</v>
      </c>
    </row>
    <row r="131" spans="1:13" x14ac:dyDescent="0.2">
      <c r="A131" s="1">
        <v>44076</v>
      </c>
      <c r="B131">
        <v>45.049999</v>
      </c>
      <c r="C131">
        <v>45.93</v>
      </c>
      <c r="D131">
        <v>45.009998000000003</v>
      </c>
      <c r="E131">
        <v>45.169998</v>
      </c>
      <c r="F131">
        <v>44.534461999999998</v>
      </c>
      <c r="G131">
        <v>20421100</v>
      </c>
      <c r="I131">
        <f t="shared" si="5"/>
        <v>2.6637383623690689E-3</v>
      </c>
      <c r="J131">
        <v>0</v>
      </c>
      <c r="K131">
        <f t="shared" si="3"/>
        <v>2.6637383623690689E-3</v>
      </c>
      <c r="L131">
        <f t="shared" si="4"/>
        <v>0.26637383623690691</v>
      </c>
      <c r="M131">
        <v>1.27</v>
      </c>
    </row>
    <row r="132" spans="1:13" x14ac:dyDescent="0.2">
      <c r="A132" s="1">
        <v>44077</v>
      </c>
      <c r="B132">
        <v>45.610000999999997</v>
      </c>
      <c r="C132">
        <v>45.939999</v>
      </c>
      <c r="D132">
        <v>44.09</v>
      </c>
      <c r="E132">
        <v>44.439999</v>
      </c>
      <c r="F132">
        <v>43.814734999999999</v>
      </c>
      <c r="G132">
        <v>18515100</v>
      </c>
      <c r="I132">
        <f t="shared" si="5"/>
        <v>-1.6161124838557587E-2</v>
      </c>
      <c r="J132">
        <v>0</v>
      </c>
      <c r="K132">
        <f t="shared" ref="K132:K195" si="6">I132-J132</f>
        <v>-1.6161124838557587E-2</v>
      </c>
      <c r="L132">
        <f t="shared" ref="L132:L195" si="7">100*K132</f>
        <v>-1.6161124838557588</v>
      </c>
      <c r="M132">
        <v>-3.7</v>
      </c>
    </row>
    <row r="133" spans="1:13" x14ac:dyDescent="0.2">
      <c r="A133" s="1">
        <v>44078</v>
      </c>
      <c r="B133">
        <v>44.91</v>
      </c>
      <c r="C133">
        <v>44.970001000000003</v>
      </c>
      <c r="D133">
        <v>43.900002000000001</v>
      </c>
      <c r="E133">
        <v>44.43</v>
      </c>
      <c r="F133">
        <v>43.804870999999999</v>
      </c>
      <c r="G133">
        <v>16201700</v>
      </c>
      <c r="I133">
        <f t="shared" ref="I133:I196" si="8">(F133-F132)/F132</f>
        <v>-2.2512974231158348E-4</v>
      </c>
      <c r="J133">
        <v>0</v>
      </c>
      <c r="K133">
        <f t="shared" si="6"/>
        <v>-2.2512974231158348E-4</v>
      </c>
      <c r="L133">
        <f t="shared" si="7"/>
        <v>-2.2512974231158348E-2</v>
      </c>
      <c r="M133">
        <v>-0.87</v>
      </c>
    </row>
    <row r="134" spans="1:13" x14ac:dyDescent="0.2">
      <c r="A134" s="1">
        <v>44082</v>
      </c>
      <c r="B134">
        <v>43.810001</v>
      </c>
      <c r="C134">
        <v>44.259998000000003</v>
      </c>
      <c r="D134">
        <v>43.119999</v>
      </c>
      <c r="E134">
        <v>43.810001</v>
      </c>
      <c r="F134">
        <v>43.193604000000001</v>
      </c>
      <c r="G134">
        <v>20897600</v>
      </c>
      <c r="I134">
        <f t="shared" si="8"/>
        <v>-1.3954315719820247E-2</v>
      </c>
      <c r="J134">
        <v>0</v>
      </c>
      <c r="K134">
        <f t="shared" si="6"/>
        <v>-1.3954315719820247E-2</v>
      </c>
      <c r="L134">
        <f t="shared" si="7"/>
        <v>-1.3954315719820247</v>
      </c>
      <c r="M134">
        <v>-2.91</v>
      </c>
    </row>
    <row r="135" spans="1:13" x14ac:dyDescent="0.2">
      <c r="A135" s="1">
        <v>44083</v>
      </c>
      <c r="B135">
        <v>43.990001999999997</v>
      </c>
      <c r="C135">
        <v>44.990001999999997</v>
      </c>
      <c r="D135">
        <v>43.709999000000003</v>
      </c>
      <c r="E135">
        <v>44.599997999999999</v>
      </c>
      <c r="F135">
        <v>43.972484999999999</v>
      </c>
      <c r="G135">
        <v>15420900</v>
      </c>
      <c r="I135">
        <f t="shared" si="8"/>
        <v>1.803232256331281E-2</v>
      </c>
      <c r="J135">
        <v>0</v>
      </c>
      <c r="K135">
        <f t="shared" si="6"/>
        <v>1.803232256331281E-2</v>
      </c>
      <c r="L135">
        <f t="shared" si="7"/>
        <v>1.803232256331281</v>
      </c>
      <c r="M135">
        <v>2.0699999999999998</v>
      </c>
    </row>
    <row r="136" spans="1:13" x14ac:dyDescent="0.2">
      <c r="A136" s="1">
        <v>44084</v>
      </c>
      <c r="B136">
        <v>44.650002000000001</v>
      </c>
      <c r="C136">
        <v>45.009998000000003</v>
      </c>
      <c r="D136">
        <v>43.860000999999997</v>
      </c>
      <c r="E136">
        <v>44.02</v>
      </c>
      <c r="F136">
        <v>43.400646000000002</v>
      </c>
      <c r="G136">
        <v>16023600</v>
      </c>
      <c r="I136">
        <f t="shared" si="8"/>
        <v>-1.30044731381453E-2</v>
      </c>
      <c r="J136">
        <v>0</v>
      </c>
      <c r="K136">
        <f t="shared" si="6"/>
        <v>-1.30044731381453E-2</v>
      </c>
      <c r="L136">
        <f t="shared" si="7"/>
        <v>-1.30044731381453</v>
      </c>
      <c r="M136">
        <v>-1.64</v>
      </c>
    </row>
    <row r="137" spans="1:13" x14ac:dyDescent="0.2">
      <c r="A137" s="1">
        <v>44085</v>
      </c>
      <c r="B137">
        <v>44.09</v>
      </c>
      <c r="C137">
        <v>44.740001999999997</v>
      </c>
      <c r="D137">
        <v>43.970001000000003</v>
      </c>
      <c r="E137">
        <v>44.669998</v>
      </c>
      <c r="F137">
        <v>44.041496000000002</v>
      </c>
      <c r="G137">
        <v>18316200</v>
      </c>
      <c r="I137">
        <f t="shared" si="8"/>
        <v>1.4765909244761019E-2</v>
      </c>
      <c r="J137">
        <v>0</v>
      </c>
      <c r="K137">
        <f t="shared" si="6"/>
        <v>1.4765909244761019E-2</v>
      </c>
      <c r="L137">
        <f t="shared" si="7"/>
        <v>1.476590924476102</v>
      </c>
      <c r="M137">
        <v>-0.06</v>
      </c>
    </row>
    <row r="138" spans="1:13" x14ac:dyDescent="0.2">
      <c r="A138" s="1">
        <v>44088</v>
      </c>
      <c r="B138">
        <v>45.02</v>
      </c>
      <c r="C138">
        <v>45.490001999999997</v>
      </c>
      <c r="D138">
        <v>44.709999000000003</v>
      </c>
      <c r="E138">
        <v>45.27</v>
      </c>
      <c r="F138">
        <v>44.633057000000001</v>
      </c>
      <c r="G138">
        <v>11435700</v>
      </c>
      <c r="I138">
        <f t="shared" si="8"/>
        <v>1.3431900678396544E-2</v>
      </c>
      <c r="J138">
        <v>0</v>
      </c>
      <c r="K138">
        <f t="shared" si="6"/>
        <v>1.3431900678396544E-2</v>
      </c>
      <c r="L138">
        <f t="shared" si="7"/>
        <v>1.3431900678396544</v>
      </c>
      <c r="M138">
        <v>1.59</v>
      </c>
    </row>
    <row r="139" spans="1:13" x14ac:dyDescent="0.2">
      <c r="A139" s="1">
        <v>44089</v>
      </c>
      <c r="B139">
        <v>45.16</v>
      </c>
      <c r="C139">
        <v>46.740001999999997</v>
      </c>
      <c r="D139">
        <v>45.049999</v>
      </c>
      <c r="E139">
        <v>46.459999000000003</v>
      </c>
      <c r="F139">
        <v>45.806313000000003</v>
      </c>
      <c r="G139">
        <v>18415900</v>
      </c>
      <c r="I139">
        <f t="shared" si="8"/>
        <v>2.6286704941586279E-2</v>
      </c>
      <c r="J139">
        <v>0</v>
      </c>
      <c r="K139">
        <f t="shared" si="6"/>
        <v>2.6286704941586279E-2</v>
      </c>
      <c r="L139">
        <f t="shared" si="7"/>
        <v>2.6286704941586279</v>
      </c>
      <c r="M139">
        <v>0.56999999999999995</v>
      </c>
    </row>
    <row r="140" spans="1:13" x14ac:dyDescent="0.2">
      <c r="A140" s="1">
        <v>44090</v>
      </c>
      <c r="B140">
        <v>47.049999</v>
      </c>
      <c r="C140">
        <v>47.5</v>
      </c>
      <c r="D140">
        <v>46.700001</v>
      </c>
      <c r="E140">
        <v>46.810001</v>
      </c>
      <c r="F140">
        <v>46.151386000000002</v>
      </c>
      <c r="G140">
        <v>26326900</v>
      </c>
      <c r="I140">
        <f t="shared" si="8"/>
        <v>7.5333065990270658E-3</v>
      </c>
      <c r="J140">
        <v>0</v>
      </c>
      <c r="K140">
        <f t="shared" si="6"/>
        <v>7.5333065990270658E-3</v>
      </c>
      <c r="L140">
        <f t="shared" si="7"/>
        <v>0.75333065990270653</v>
      </c>
      <c r="M140">
        <v>-0.39</v>
      </c>
    </row>
    <row r="141" spans="1:13" x14ac:dyDescent="0.2">
      <c r="A141" s="1">
        <v>44091</v>
      </c>
      <c r="B141">
        <v>45.939999</v>
      </c>
      <c r="C141">
        <v>46.43</v>
      </c>
      <c r="D141">
        <v>45.02</v>
      </c>
      <c r="E141">
        <v>45.580002</v>
      </c>
      <c r="F141">
        <v>44.938698000000002</v>
      </c>
      <c r="G141">
        <v>21253500</v>
      </c>
      <c r="I141">
        <f t="shared" si="8"/>
        <v>-2.6276307281432456E-2</v>
      </c>
      <c r="J141">
        <v>0</v>
      </c>
      <c r="K141">
        <f t="shared" si="6"/>
        <v>-2.6276307281432456E-2</v>
      </c>
      <c r="L141">
        <f t="shared" si="7"/>
        <v>-2.6276307281432456</v>
      </c>
      <c r="M141">
        <v>-0.85</v>
      </c>
    </row>
    <row r="142" spans="1:13" x14ac:dyDescent="0.2">
      <c r="A142" s="1">
        <v>44092</v>
      </c>
      <c r="B142">
        <v>45.48</v>
      </c>
      <c r="C142">
        <v>45.849997999999999</v>
      </c>
      <c r="D142">
        <v>44.290000999999997</v>
      </c>
      <c r="E142">
        <v>45.259998000000003</v>
      </c>
      <c r="F142">
        <v>44.623196</v>
      </c>
      <c r="G142">
        <v>39626000</v>
      </c>
      <c r="I142">
        <f t="shared" si="8"/>
        <v>-7.0207196479079598E-3</v>
      </c>
      <c r="J142">
        <v>0</v>
      </c>
      <c r="K142">
        <f t="shared" si="6"/>
        <v>-7.0207196479079598E-3</v>
      </c>
      <c r="L142">
        <f t="shared" si="7"/>
        <v>-0.70207196479079603</v>
      </c>
      <c r="M142">
        <v>-0.88</v>
      </c>
    </row>
    <row r="143" spans="1:13" x14ac:dyDescent="0.2">
      <c r="A143" s="1">
        <v>44095</v>
      </c>
      <c r="B143">
        <v>44.919998</v>
      </c>
      <c r="C143">
        <v>45.439999</v>
      </c>
      <c r="D143">
        <v>43.41</v>
      </c>
      <c r="E143">
        <v>44.68</v>
      </c>
      <c r="F143">
        <v>44.051357000000003</v>
      </c>
      <c r="G143">
        <v>32257700</v>
      </c>
      <c r="I143">
        <f t="shared" si="8"/>
        <v>-1.2814837377403382E-2</v>
      </c>
      <c r="J143">
        <v>0</v>
      </c>
      <c r="K143">
        <f t="shared" si="6"/>
        <v>-1.2814837377403382E-2</v>
      </c>
      <c r="L143">
        <f t="shared" si="7"/>
        <v>-1.2814837377403383</v>
      </c>
      <c r="M143">
        <v>-1.08</v>
      </c>
    </row>
    <row r="144" spans="1:13" x14ac:dyDescent="0.2">
      <c r="A144" s="1">
        <v>44096</v>
      </c>
      <c r="B144">
        <v>44.939999</v>
      </c>
      <c r="C144">
        <v>46.48</v>
      </c>
      <c r="D144">
        <v>44.84</v>
      </c>
      <c r="E144">
        <v>46.189999</v>
      </c>
      <c r="F144">
        <v>45.540115</v>
      </c>
      <c r="G144">
        <v>32899300</v>
      </c>
      <c r="I144">
        <f t="shared" si="8"/>
        <v>3.3795962290106001E-2</v>
      </c>
      <c r="J144">
        <v>0</v>
      </c>
      <c r="K144">
        <f t="shared" si="6"/>
        <v>3.3795962290106001E-2</v>
      </c>
      <c r="L144">
        <f t="shared" si="7"/>
        <v>3.3795962290106001</v>
      </c>
      <c r="M144">
        <v>1.02</v>
      </c>
    </row>
    <row r="145" spans="1:13" x14ac:dyDescent="0.2">
      <c r="A145" s="1">
        <v>44097</v>
      </c>
      <c r="B145">
        <v>46.200001</v>
      </c>
      <c r="C145">
        <v>46.380001</v>
      </c>
      <c r="D145">
        <v>45.25</v>
      </c>
      <c r="E145">
        <v>45.360000999999997</v>
      </c>
      <c r="F145">
        <v>44.721789999999999</v>
      </c>
      <c r="G145">
        <v>19671200</v>
      </c>
      <c r="I145">
        <f t="shared" si="8"/>
        <v>-1.7969322211856546E-2</v>
      </c>
      <c r="J145">
        <v>0</v>
      </c>
      <c r="K145">
        <f t="shared" si="6"/>
        <v>-1.7969322211856546E-2</v>
      </c>
      <c r="L145">
        <f t="shared" si="7"/>
        <v>-1.7969322211856547</v>
      </c>
      <c r="M145">
        <v>-2.48</v>
      </c>
    </row>
    <row r="146" spans="1:13" x14ac:dyDescent="0.2">
      <c r="A146" s="1">
        <v>44098</v>
      </c>
      <c r="B146">
        <v>45.189999</v>
      </c>
      <c r="C146">
        <v>46.080002</v>
      </c>
      <c r="D146">
        <v>44.91</v>
      </c>
      <c r="E146">
        <v>45.700001</v>
      </c>
      <c r="F146">
        <v>45.057006999999999</v>
      </c>
      <c r="G146">
        <v>14500600</v>
      </c>
      <c r="I146">
        <f t="shared" si="8"/>
        <v>7.4956078457503626E-3</v>
      </c>
      <c r="J146">
        <v>0</v>
      </c>
      <c r="K146">
        <f t="shared" si="6"/>
        <v>7.4956078457503626E-3</v>
      </c>
      <c r="L146">
        <f t="shared" si="7"/>
        <v>0.74956078457503628</v>
      </c>
      <c r="M146">
        <v>0.25</v>
      </c>
    </row>
    <row r="147" spans="1:13" x14ac:dyDescent="0.2">
      <c r="A147" s="1">
        <v>44099</v>
      </c>
      <c r="B147">
        <v>45.349997999999999</v>
      </c>
      <c r="C147">
        <v>46.330002</v>
      </c>
      <c r="D147">
        <v>45.220001000000003</v>
      </c>
      <c r="E147">
        <v>46.150002000000001</v>
      </c>
      <c r="F147">
        <v>45.500675000000001</v>
      </c>
      <c r="G147">
        <v>12556000</v>
      </c>
      <c r="I147">
        <f t="shared" si="8"/>
        <v>9.8468147251769833E-3</v>
      </c>
      <c r="J147">
        <v>0</v>
      </c>
      <c r="K147">
        <f t="shared" si="6"/>
        <v>9.8468147251769833E-3</v>
      </c>
      <c r="L147">
        <f t="shared" si="7"/>
        <v>0.98468147251769833</v>
      </c>
      <c r="M147">
        <v>1.72</v>
      </c>
    </row>
    <row r="148" spans="1:13" x14ac:dyDescent="0.2">
      <c r="A148" s="1">
        <v>44102</v>
      </c>
      <c r="B148">
        <v>46.889999000000003</v>
      </c>
      <c r="C148">
        <v>47.07</v>
      </c>
      <c r="D148">
        <v>46.240001999999997</v>
      </c>
      <c r="E148">
        <v>46.759998000000003</v>
      </c>
      <c r="F148">
        <v>46.102093000000004</v>
      </c>
      <c r="G148">
        <v>16208800</v>
      </c>
      <c r="I148">
        <f t="shared" si="8"/>
        <v>1.321778193400433E-2</v>
      </c>
      <c r="J148">
        <v>0</v>
      </c>
      <c r="K148">
        <f t="shared" si="6"/>
        <v>1.321778193400433E-2</v>
      </c>
      <c r="L148">
        <f t="shared" si="7"/>
        <v>1.3217781934004331</v>
      </c>
      <c r="M148">
        <v>1.66</v>
      </c>
    </row>
    <row r="149" spans="1:13" x14ac:dyDescent="0.2">
      <c r="A149" s="1">
        <v>44103</v>
      </c>
      <c r="B149">
        <v>46.849997999999999</v>
      </c>
      <c r="C149">
        <v>46.869999</v>
      </c>
      <c r="D149">
        <v>46.169998</v>
      </c>
      <c r="E149">
        <v>46.200001</v>
      </c>
      <c r="F149">
        <v>45.549973000000001</v>
      </c>
      <c r="G149">
        <v>11873800</v>
      </c>
      <c r="I149">
        <f t="shared" si="8"/>
        <v>-1.1976028940811909E-2</v>
      </c>
      <c r="J149">
        <v>0</v>
      </c>
      <c r="K149">
        <f t="shared" si="6"/>
        <v>-1.1976028940811909E-2</v>
      </c>
      <c r="L149">
        <f t="shared" si="7"/>
        <v>-1.1976028940811909</v>
      </c>
      <c r="M149">
        <v>-0.42</v>
      </c>
    </row>
    <row r="150" spans="1:13" x14ac:dyDescent="0.2">
      <c r="A150" s="1">
        <v>44104</v>
      </c>
      <c r="B150">
        <v>46.540000999999997</v>
      </c>
      <c r="C150">
        <v>46.720001000000003</v>
      </c>
      <c r="D150">
        <v>45.75</v>
      </c>
      <c r="E150">
        <v>46.259998000000003</v>
      </c>
      <c r="F150">
        <v>45.609127000000001</v>
      </c>
      <c r="G150">
        <v>27897300</v>
      </c>
      <c r="I150">
        <f t="shared" si="8"/>
        <v>1.298661582082595E-3</v>
      </c>
      <c r="J150">
        <v>0</v>
      </c>
      <c r="K150">
        <f t="shared" si="6"/>
        <v>1.298661582082595E-3</v>
      </c>
      <c r="L150">
        <f t="shared" si="7"/>
        <v>0.1298661582082595</v>
      </c>
      <c r="M150">
        <v>0.79</v>
      </c>
    </row>
    <row r="151" spans="1:13" x14ac:dyDescent="0.2">
      <c r="A151" s="1">
        <v>44105</v>
      </c>
      <c r="B151">
        <v>46.57</v>
      </c>
      <c r="C151">
        <v>46.77</v>
      </c>
      <c r="D151">
        <v>46.169998</v>
      </c>
      <c r="E151">
        <v>46.439999</v>
      </c>
      <c r="F151">
        <v>45.786594000000001</v>
      </c>
      <c r="G151">
        <v>15524400</v>
      </c>
      <c r="I151">
        <f t="shared" si="8"/>
        <v>3.891041369855644E-3</v>
      </c>
      <c r="J151">
        <v>0</v>
      </c>
      <c r="K151">
        <f t="shared" si="6"/>
        <v>3.891041369855644E-3</v>
      </c>
      <c r="L151">
        <f t="shared" si="7"/>
        <v>0.3891041369855644</v>
      </c>
      <c r="M151">
        <v>0.79</v>
      </c>
    </row>
    <row r="152" spans="1:13" x14ac:dyDescent="0.2">
      <c r="A152" s="1">
        <v>44106</v>
      </c>
      <c r="B152">
        <v>45.799999</v>
      </c>
      <c r="C152">
        <v>45.990001999999997</v>
      </c>
      <c r="D152">
        <v>45.110000999999997</v>
      </c>
      <c r="E152">
        <v>45.150002000000001</v>
      </c>
      <c r="F152">
        <v>44.514747999999997</v>
      </c>
      <c r="G152">
        <v>18103900</v>
      </c>
      <c r="I152">
        <f t="shared" si="8"/>
        <v>-2.7777694056037527E-2</v>
      </c>
      <c r="J152">
        <v>0</v>
      </c>
      <c r="K152">
        <f t="shared" si="6"/>
        <v>-2.7777694056037527E-2</v>
      </c>
      <c r="L152">
        <f t="shared" si="7"/>
        <v>-2.7777694056037525</v>
      </c>
      <c r="M152">
        <v>-0.96</v>
      </c>
    </row>
    <row r="153" spans="1:13" x14ac:dyDescent="0.2">
      <c r="A153" s="1">
        <v>44109</v>
      </c>
      <c r="B153">
        <v>45.299999</v>
      </c>
      <c r="C153">
        <v>45.93</v>
      </c>
      <c r="D153">
        <v>45.02</v>
      </c>
      <c r="E153">
        <v>45.810001</v>
      </c>
      <c r="F153">
        <v>45.165458999999998</v>
      </c>
      <c r="G153">
        <v>12599400</v>
      </c>
      <c r="I153">
        <f t="shared" si="8"/>
        <v>1.4617874507567722E-2</v>
      </c>
      <c r="J153">
        <v>0</v>
      </c>
      <c r="K153">
        <f t="shared" si="6"/>
        <v>1.4617874507567722E-2</v>
      </c>
      <c r="L153">
        <f t="shared" si="7"/>
        <v>1.4617874507567721</v>
      </c>
      <c r="M153">
        <v>1.93</v>
      </c>
    </row>
    <row r="154" spans="1:13" x14ac:dyDescent="0.2">
      <c r="A154" s="1">
        <v>44110</v>
      </c>
      <c r="B154">
        <v>45.279998999999997</v>
      </c>
      <c r="C154">
        <v>45.52</v>
      </c>
      <c r="D154">
        <v>44.369999</v>
      </c>
      <c r="E154">
        <v>44.509998000000003</v>
      </c>
      <c r="F154">
        <v>44.10519</v>
      </c>
      <c r="G154">
        <v>17911200</v>
      </c>
      <c r="I154">
        <f t="shared" si="8"/>
        <v>-2.3475218086458464E-2</v>
      </c>
      <c r="J154">
        <v>0</v>
      </c>
      <c r="K154">
        <f t="shared" si="6"/>
        <v>-2.3475218086458464E-2</v>
      </c>
      <c r="L154">
        <f t="shared" si="7"/>
        <v>-2.3475218086458463</v>
      </c>
      <c r="M154">
        <v>-1.28</v>
      </c>
    </row>
    <row r="155" spans="1:13" x14ac:dyDescent="0.2">
      <c r="A155" s="1">
        <v>44111</v>
      </c>
      <c r="B155">
        <v>45.029998999999997</v>
      </c>
      <c r="C155">
        <v>45.110000999999997</v>
      </c>
      <c r="D155">
        <v>44.259998000000003</v>
      </c>
      <c r="E155">
        <v>44.959999000000003</v>
      </c>
      <c r="F155">
        <v>44.551098000000003</v>
      </c>
      <c r="G155">
        <v>17829200</v>
      </c>
      <c r="I155">
        <f t="shared" si="8"/>
        <v>1.0110102688595217E-2</v>
      </c>
      <c r="J155">
        <v>0</v>
      </c>
      <c r="K155">
        <f t="shared" si="6"/>
        <v>1.0110102688595217E-2</v>
      </c>
      <c r="L155">
        <f t="shared" si="7"/>
        <v>1.0110102688595217</v>
      </c>
      <c r="M155">
        <v>1.84</v>
      </c>
    </row>
    <row r="156" spans="1:13" x14ac:dyDescent="0.2">
      <c r="A156" s="1">
        <v>44112</v>
      </c>
      <c r="B156">
        <v>45.09</v>
      </c>
      <c r="C156">
        <v>45.389999000000003</v>
      </c>
      <c r="D156">
        <v>44.830002</v>
      </c>
      <c r="E156">
        <v>45.299999</v>
      </c>
      <c r="F156">
        <v>44.888004000000002</v>
      </c>
      <c r="G156">
        <v>15366000</v>
      </c>
      <c r="I156">
        <f t="shared" si="8"/>
        <v>7.5622378599961562E-3</v>
      </c>
      <c r="J156">
        <v>0</v>
      </c>
      <c r="K156">
        <f t="shared" si="6"/>
        <v>7.5622378599961562E-3</v>
      </c>
      <c r="L156">
        <f t="shared" si="7"/>
        <v>0.75622378599961559</v>
      </c>
      <c r="M156">
        <v>0.8</v>
      </c>
    </row>
    <row r="157" spans="1:13" x14ac:dyDescent="0.2">
      <c r="A157" s="1">
        <v>44113</v>
      </c>
      <c r="B157">
        <v>45.380001</v>
      </c>
      <c r="C157">
        <v>45.630001</v>
      </c>
      <c r="D157">
        <v>44.68</v>
      </c>
      <c r="E157">
        <v>44.849997999999999</v>
      </c>
      <c r="F157">
        <v>44.442096999999997</v>
      </c>
      <c r="G157">
        <v>25103900</v>
      </c>
      <c r="I157">
        <f t="shared" si="8"/>
        <v>-9.9337676052605357E-3</v>
      </c>
      <c r="J157">
        <v>0</v>
      </c>
      <c r="K157">
        <f t="shared" si="6"/>
        <v>-9.9337676052605357E-3</v>
      </c>
      <c r="L157">
        <f t="shared" si="7"/>
        <v>-0.99337676052605361</v>
      </c>
      <c r="M157">
        <v>0.93</v>
      </c>
    </row>
    <row r="158" spans="1:13" x14ac:dyDescent="0.2">
      <c r="A158" s="1">
        <v>44116</v>
      </c>
      <c r="B158">
        <v>45.299999</v>
      </c>
      <c r="C158">
        <v>46.259998000000003</v>
      </c>
      <c r="D158">
        <v>44.919998</v>
      </c>
      <c r="E158">
        <v>45.990001999999997</v>
      </c>
      <c r="F158">
        <v>45.571731999999997</v>
      </c>
      <c r="G158">
        <v>19520100</v>
      </c>
      <c r="I158">
        <f t="shared" si="8"/>
        <v>2.5418130022082451E-2</v>
      </c>
      <c r="J158">
        <v>0</v>
      </c>
      <c r="K158">
        <f t="shared" si="6"/>
        <v>2.5418130022082451E-2</v>
      </c>
      <c r="L158">
        <f t="shared" si="7"/>
        <v>2.541813002208245</v>
      </c>
      <c r="M158">
        <v>1.53</v>
      </c>
    </row>
    <row r="159" spans="1:13" x14ac:dyDescent="0.2">
      <c r="A159" s="1">
        <v>44117</v>
      </c>
      <c r="B159">
        <v>46.130001</v>
      </c>
      <c r="C159">
        <v>46.310001</v>
      </c>
      <c r="D159">
        <v>45.380001</v>
      </c>
      <c r="E159">
        <v>45.889999000000003</v>
      </c>
      <c r="F159">
        <v>45.472641000000003</v>
      </c>
      <c r="G159">
        <v>13854400</v>
      </c>
      <c r="I159">
        <f t="shared" si="8"/>
        <v>-2.1743961805093183E-3</v>
      </c>
      <c r="J159">
        <v>0</v>
      </c>
      <c r="K159">
        <f t="shared" si="6"/>
        <v>-2.1743961805093183E-3</v>
      </c>
      <c r="L159">
        <f t="shared" si="7"/>
        <v>-0.21743961805093184</v>
      </c>
      <c r="M159">
        <v>-0.41</v>
      </c>
    </row>
    <row r="160" spans="1:13" x14ac:dyDescent="0.2">
      <c r="A160" s="1">
        <v>44118</v>
      </c>
      <c r="B160">
        <v>45.799999</v>
      </c>
      <c r="C160">
        <v>46.009998000000003</v>
      </c>
      <c r="D160">
        <v>44.990001999999997</v>
      </c>
      <c r="E160">
        <v>45.279998999999997</v>
      </c>
      <c r="F160">
        <v>44.868186999999999</v>
      </c>
      <c r="G160">
        <v>15326700</v>
      </c>
      <c r="I160">
        <f t="shared" si="8"/>
        <v>-1.3292696151076953E-2</v>
      </c>
      <c r="J160">
        <v>0</v>
      </c>
      <c r="K160">
        <f t="shared" si="6"/>
        <v>-1.3292696151076953E-2</v>
      </c>
      <c r="L160">
        <f t="shared" si="7"/>
        <v>-1.3292696151076953</v>
      </c>
      <c r="M160">
        <v>-0.65</v>
      </c>
    </row>
    <row r="161" spans="1:13" x14ac:dyDescent="0.2">
      <c r="A161" s="1">
        <v>44119</v>
      </c>
      <c r="B161">
        <v>45.029998999999997</v>
      </c>
      <c r="C161">
        <v>45.150002000000001</v>
      </c>
      <c r="D161">
        <v>44.529998999999997</v>
      </c>
      <c r="E161">
        <v>45.110000999999997</v>
      </c>
      <c r="F161">
        <v>44.699733999999999</v>
      </c>
      <c r="G161">
        <v>12904800</v>
      </c>
      <c r="I161">
        <f t="shared" si="8"/>
        <v>-3.7543972971316964E-3</v>
      </c>
      <c r="J161">
        <v>0</v>
      </c>
      <c r="K161">
        <f t="shared" si="6"/>
        <v>-3.7543972971316964E-3</v>
      </c>
      <c r="L161">
        <f t="shared" si="7"/>
        <v>-0.37543972971316963</v>
      </c>
      <c r="M161">
        <v>-0.08</v>
      </c>
    </row>
    <row r="162" spans="1:13" x14ac:dyDescent="0.2">
      <c r="A162" s="1">
        <v>44120</v>
      </c>
      <c r="B162">
        <v>45.23</v>
      </c>
      <c r="C162">
        <v>45.889999000000003</v>
      </c>
      <c r="D162">
        <v>44.900002000000001</v>
      </c>
      <c r="E162">
        <v>45.560001</v>
      </c>
      <c r="F162">
        <v>45.145645000000002</v>
      </c>
      <c r="G162">
        <v>13360900</v>
      </c>
      <c r="I162">
        <f t="shared" si="8"/>
        <v>9.9756969471004545E-3</v>
      </c>
      <c r="J162">
        <v>0</v>
      </c>
      <c r="K162">
        <f t="shared" si="6"/>
        <v>9.9756969471004545E-3</v>
      </c>
      <c r="L162">
        <f t="shared" si="7"/>
        <v>0.99756969471004542</v>
      </c>
      <c r="M162">
        <v>-0.06</v>
      </c>
    </row>
    <row r="163" spans="1:13" x14ac:dyDescent="0.2">
      <c r="A163" s="1">
        <v>44123</v>
      </c>
      <c r="B163">
        <v>45.560001</v>
      </c>
      <c r="C163">
        <v>45.759998000000003</v>
      </c>
      <c r="D163">
        <v>44.200001</v>
      </c>
      <c r="E163">
        <v>44.330002</v>
      </c>
      <c r="F163">
        <v>43.926830000000002</v>
      </c>
      <c r="G163">
        <v>17520400</v>
      </c>
      <c r="I163">
        <f t="shared" si="8"/>
        <v>-2.6997399195426253E-2</v>
      </c>
      <c r="J163">
        <v>0</v>
      </c>
      <c r="K163">
        <f t="shared" si="6"/>
        <v>-2.6997399195426253E-2</v>
      </c>
      <c r="L163">
        <f t="shared" si="7"/>
        <v>-2.6997399195426253</v>
      </c>
      <c r="M163">
        <v>-1.53</v>
      </c>
    </row>
    <row r="164" spans="1:13" x14ac:dyDescent="0.2">
      <c r="A164" s="1">
        <v>44124</v>
      </c>
      <c r="B164">
        <v>44.630001</v>
      </c>
      <c r="C164">
        <v>44.66</v>
      </c>
      <c r="D164">
        <v>44.130001</v>
      </c>
      <c r="E164">
        <v>44.27</v>
      </c>
      <c r="F164">
        <v>43.867370999999999</v>
      </c>
      <c r="G164">
        <v>13137400</v>
      </c>
      <c r="I164">
        <f t="shared" si="8"/>
        <v>-1.3535918708453107E-3</v>
      </c>
      <c r="J164">
        <v>0</v>
      </c>
      <c r="K164">
        <f t="shared" si="6"/>
        <v>-1.3535918708453107E-3</v>
      </c>
      <c r="L164">
        <f t="shared" si="7"/>
        <v>-0.13535918708453107</v>
      </c>
      <c r="M164">
        <v>0.34</v>
      </c>
    </row>
    <row r="165" spans="1:13" x14ac:dyDescent="0.2">
      <c r="A165" s="1">
        <v>44125</v>
      </c>
      <c r="B165">
        <v>44</v>
      </c>
      <c r="C165">
        <v>44.900002000000001</v>
      </c>
      <c r="D165">
        <v>43.970001000000003</v>
      </c>
      <c r="E165">
        <v>44.52</v>
      </c>
      <c r="F165">
        <v>44.115101000000003</v>
      </c>
      <c r="G165">
        <v>13198900</v>
      </c>
      <c r="I165">
        <f t="shared" si="8"/>
        <v>5.6472497519854618E-3</v>
      </c>
      <c r="J165">
        <v>0</v>
      </c>
      <c r="K165">
        <f t="shared" si="6"/>
        <v>5.6472497519854618E-3</v>
      </c>
      <c r="L165">
        <f t="shared" si="7"/>
        <v>0.56472497519854614</v>
      </c>
      <c r="M165">
        <v>-0.36</v>
      </c>
    </row>
    <row r="166" spans="1:13" x14ac:dyDescent="0.2">
      <c r="A166" s="1">
        <v>44126</v>
      </c>
      <c r="B166">
        <v>44.5</v>
      </c>
      <c r="C166">
        <v>45.240001999999997</v>
      </c>
      <c r="D166">
        <v>44.360000999999997</v>
      </c>
      <c r="E166">
        <v>45.110000999999997</v>
      </c>
      <c r="F166">
        <v>44.699733999999999</v>
      </c>
      <c r="G166">
        <v>15956600</v>
      </c>
      <c r="I166">
        <f t="shared" si="8"/>
        <v>1.3252446140835008E-2</v>
      </c>
      <c r="J166">
        <v>0</v>
      </c>
      <c r="K166">
        <f t="shared" si="6"/>
        <v>1.3252446140835008E-2</v>
      </c>
      <c r="L166">
        <f t="shared" si="7"/>
        <v>1.3252446140835008</v>
      </c>
      <c r="M166">
        <v>0.67</v>
      </c>
    </row>
    <row r="167" spans="1:13" x14ac:dyDescent="0.2">
      <c r="A167" s="1">
        <v>44127</v>
      </c>
      <c r="B167">
        <v>45.400002000000001</v>
      </c>
      <c r="C167">
        <v>45.549999</v>
      </c>
      <c r="D167">
        <v>44.599997999999999</v>
      </c>
      <c r="E167">
        <v>45.060001</v>
      </c>
      <c r="F167">
        <v>44.650188</v>
      </c>
      <c r="G167">
        <v>10529200</v>
      </c>
      <c r="I167">
        <f t="shared" si="8"/>
        <v>-1.1084182290659588E-3</v>
      </c>
      <c r="J167">
        <v>0</v>
      </c>
      <c r="K167">
        <f t="shared" si="6"/>
        <v>-1.1084182290659588E-3</v>
      </c>
      <c r="L167">
        <f t="shared" si="7"/>
        <v>-0.11084182290659589</v>
      </c>
      <c r="M167">
        <v>0.38</v>
      </c>
    </row>
    <row r="168" spans="1:13" x14ac:dyDescent="0.2">
      <c r="A168" s="1">
        <v>44130</v>
      </c>
      <c r="B168">
        <v>44.709999000000003</v>
      </c>
      <c r="C168">
        <v>44.82</v>
      </c>
      <c r="D168">
        <v>43.549999</v>
      </c>
      <c r="E168">
        <v>43.77</v>
      </c>
      <c r="F168">
        <v>43.371921999999998</v>
      </c>
      <c r="G168">
        <v>15634600</v>
      </c>
      <c r="I168">
        <f t="shared" si="8"/>
        <v>-2.8628457286674854E-2</v>
      </c>
      <c r="J168">
        <v>0</v>
      </c>
      <c r="K168">
        <f t="shared" si="6"/>
        <v>-2.8628457286674854E-2</v>
      </c>
      <c r="L168">
        <f t="shared" si="7"/>
        <v>-2.8628457286674855</v>
      </c>
      <c r="M168">
        <v>-1.85</v>
      </c>
    </row>
    <row r="169" spans="1:13" x14ac:dyDescent="0.2">
      <c r="A169" s="1">
        <v>44131</v>
      </c>
      <c r="B169">
        <v>43.599997999999999</v>
      </c>
      <c r="C169">
        <v>43.84</v>
      </c>
      <c r="D169">
        <v>43.360000999999997</v>
      </c>
      <c r="E169">
        <v>43.439999</v>
      </c>
      <c r="F169">
        <v>43.044918000000003</v>
      </c>
      <c r="G169">
        <v>11134900</v>
      </c>
      <c r="I169">
        <f t="shared" si="8"/>
        <v>-7.5395321424767663E-3</v>
      </c>
      <c r="J169">
        <v>0</v>
      </c>
      <c r="K169">
        <f t="shared" si="6"/>
        <v>-7.5395321424767663E-3</v>
      </c>
      <c r="L169">
        <f t="shared" si="7"/>
        <v>-0.75395321424767658</v>
      </c>
      <c r="M169">
        <v>-0.23</v>
      </c>
    </row>
    <row r="170" spans="1:13" x14ac:dyDescent="0.2">
      <c r="A170" s="1">
        <v>44132</v>
      </c>
      <c r="B170">
        <v>42.91</v>
      </c>
      <c r="C170">
        <v>43.080002</v>
      </c>
      <c r="D170">
        <v>41.91</v>
      </c>
      <c r="E170">
        <v>41.98</v>
      </c>
      <c r="F170">
        <v>41.598197999999996</v>
      </c>
      <c r="G170">
        <v>20256200</v>
      </c>
      <c r="I170">
        <f t="shared" si="8"/>
        <v>-3.3609542478394455E-2</v>
      </c>
      <c r="J170">
        <v>0</v>
      </c>
      <c r="K170">
        <f t="shared" si="6"/>
        <v>-3.3609542478394455E-2</v>
      </c>
      <c r="L170">
        <f t="shared" si="7"/>
        <v>-3.3609542478394454</v>
      </c>
      <c r="M170">
        <v>-3.41</v>
      </c>
    </row>
    <row r="171" spans="1:13" x14ac:dyDescent="0.2">
      <c r="A171" s="1">
        <v>44133</v>
      </c>
      <c r="B171">
        <v>42.080002</v>
      </c>
      <c r="C171">
        <v>43.689999</v>
      </c>
      <c r="D171">
        <v>41.889999000000003</v>
      </c>
      <c r="E171">
        <v>43.060001</v>
      </c>
      <c r="F171">
        <v>42.668380999999997</v>
      </c>
      <c r="G171">
        <v>20354400</v>
      </c>
      <c r="I171">
        <f t="shared" si="8"/>
        <v>2.5726667294578485E-2</v>
      </c>
      <c r="J171">
        <v>0</v>
      </c>
      <c r="K171">
        <f t="shared" si="6"/>
        <v>2.5726667294578485E-2</v>
      </c>
      <c r="L171">
        <f t="shared" si="7"/>
        <v>2.5726667294578487</v>
      </c>
      <c r="M171">
        <v>1.1299999999999999</v>
      </c>
    </row>
    <row r="172" spans="1:13" x14ac:dyDescent="0.2">
      <c r="A172" s="1">
        <v>44134</v>
      </c>
      <c r="B172">
        <v>42.470001000000003</v>
      </c>
      <c r="C172">
        <v>43.049999</v>
      </c>
      <c r="D172">
        <v>41.75</v>
      </c>
      <c r="E172">
        <v>42.240001999999997</v>
      </c>
      <c r="F172">
        <v>41.855839000000003</v>
      </c>
      <c r="G172">
        <v>22001800</v>
      </c>
      <c r="I172">
        <f t="shared" si="8"/>
        <v>-1.9043187975657981E-2</v>
      </c>
      <c r="J172">
        <v>0</v>
      </c>
      <c r="K172">
        <f t="shared" si="6"/>
        <v>-1.9043187975657981E-2</v>
      </c>
      <c r="L172">
        <f t="shared" si="7"/>
        <v>-1.904318797565798</v>
      </c>
      <c r="M172">
        <v>-1.45</v>
      </c>
    </row>
    <row r="173" spans="1:13" x14ac:dyDescent="0.2">
      <c r="A173" s="1">
        <v>44137</v>
      </c>
      <c r="B173">
        <v>42.75</v>
      </c>
      <c r="C173">
        <v>42.93</v>
      </c>
      <c r="D173">
        <v>40.970001000000003</v>
      </c>
      <c r="E173">
        <v>41.400002000000001</v>
      </c>
      <c r="F173">
        <v>41.023476000000002</v>
      </c>
      <c r="G173">
        <v>24480400</v>
      </c>
      <c r="I173">
        <f t="shared" si="8"/>
        <v>-1.9886424926280913E-2</v>
      </c>
      <c r="J173">
        <v>0</v>
      </c>
      <c r="K173">
        <f t="shared" si="6"/>
        <v>-1.9886424926280913E-2</v>
      </c>
      <c r="L173">
        <f t="shared" si="7"/>
        <v>-1.9886424926280912</v>
      </c>
      <c r="M173">
        <v>1.17</v>
      </c>
    </row>
    <row r="174" spans="1:13" x14ac:dyDescent="0.2">
      <c r="A174" s="1">
        <v>44138</v>
      </c>
      <c r="B174">
        <v>41.950001</v>
      </c>
      <c r="C174">
        <v>42.98</v>
      </c>
      <c r="D174">
        <v>41.75</v>
      </c>
      <c r="E174">
        <v>42.619999</v>
      </c>
      <c r="F174">
        <v>42.232379999999999</v>
      </c>
      <c r="G174">
        <v>20761600</v>
      </c>
      <c r="I174">
        <f t="shared" si="8"/>
        <v>2.9468590131172621E-2</v>
      </c>
      <c r="J174">
        <v>0</v>
      </c>
      <c r="K174">
        <f t="shared" si="6"/>
        <v>2.9468590131172621E-2</v>
      </c>
      <c r="L174">
        <f t="shared" si="7"/>
        <v>2.9468590131172623</v>
      </c>
      <c r="M174">
        <v>1.93</v>
      </c>
    </row>
    <row r="175" spans="1:13" x14ac:dyDescent="0.2">
      <c r="A175" s="1">
        <v>44139</v>
      </c>
      <c r="B175">
        <v>44.27</v>
      </c>
      <c r="C175">
        <v>44.610000999999997</v>
      </c>
      <c r="D175">
        <v>43.400002000000001</v>
      </c>
      <c r="E175">
        <v>43.700001</v>
      </c>
      <c r="F175">
        <v>43.302559000000002</v>
      </c>
      <c r="G175">
        <v>23064100</v>
      </c>
      <c r="I175">
        <f t="shared" si="8"/>
        <v>2.5340248406554477E-2</v>
      </c>
      <c r="J175">
        <v>0</v>
      </c>
      <c r="K175">
        <f t="shared" si="6"/>
        <v>2.5340248406554477E-2</v>
      </c>
      <c r="L175">
        <f t="shared" si="7"/>
        <v>2.5340248406554475</v>
      </c>
      <c r="M175">
        <v>2.25</v>
      </c>
    </row>
    <row r="176" spans="1:13" x14ac:dyDescent="0.2">
      <c r="A176" s="1">
        <v>44140</v>
      </c>
      <c r="B176">
        <v>44.580002</v>
      </c>
      <c r="C176">
        <v>44.810001</v>
      </c>
      <c r="D176">
        <v>44.209999000000003</v>
      </c>
      <c r="E176">
        <v>44.349997999999999</v>
      </c>
      <c r="F176">
        <v>43.946643999999999</v>
      </c>
      <c r="G176">
        <v>18897400</v>
      </c>
      <c r="I176">
        <f t="shared" si="8"/>
        <v>1.4874063216448637E-2</v>
      </c>
      <c r="J176">
        <v>0</v>
      </c>
      <c r="K176">
        <f t="shared" si="6"/>
        <v>1.4874063216448637E-2</v>
      </c>
      <c r="L176">
        <f t="shared" si="7"/>
        <v>1.4874063216448636</v>
      </c>
      <c r="M176">
        <v>2.13</v>
      </c>
    </row>
    <row r="177" spans="1:13" x14ac:dyDescent="0.2">
      <c r="A177" s="1">
        <v>44141</v>
      </c>
      <c r="B177">
        <v>44.57</v>
      </c>
      <c r="C177">
        <v>44.700001</v>
      </c>
      <c r="D177">
        <v>43.950001</v>
      </c>
      <c r="E177">
        <v>44.529998999999997</v>
      </c>
      <c r="F177">
        <v>44.125008000000001</v>
      </c>
      <c r="G177">
        <v>14129100</v>
      </c>
      <c r="I177">
        <f t="shared" si="8"/>
        <v>4.0586489380167907E-3</v>
      </c>
      <c r="J177">
        <v>0</v>
      </c>
      <c r="K177">
        <f t="shared" si="6"/>
        <v>4.0586489380167907E-3</v>
      </c>
      <c r="L177">
        <f t="shared" si="7"/>
        <v>0.40586489380167906</v>
      </c>
      <c r="M177">
        <v>0.01</v>
      </c>
    </row>
    <row r="178" spans="1:13" x14ac:dyDescent="0.2">
      <c r="A178" s="1">
        <v>44144</v>
      </c>
      <c r="B178">
        <v>47.599997999999999</v>
      </c>
      <c r="C178">
        <v>48.23</v>
      </c>
      <c r="D178">
        <v>46.720001000000003</v>
      </c>
      <c r="E178">
        <v>47.18</v>
      </c>
      <c r="F178">
        <v>46.750908000000003</v>
      </c>
      <c r="G178">
        <v>37456800</v>
      </c>
      <c r="I178">
        <f t="shared" si="8"/>
        <v>5.9510470796968501E-2</v>
      </c>
      <c r="J178">
        <v>0</v>
      </c>
      <c r="K178">
        <f t="shared" si="6"/>
        <v>5.9510470796968501E-2</v>
      </c>
      <c r="L178">
        <f t="shared" si="7"/>
        <v>5.95104707969685</v>
      </c>
      <c r="M178">
        <v>0.82</v>
      </c>
    </row>
    <row r="179" spans="1:13" x14ac:dyDescent="0.2">
      <c r="A179" s="1">
        <v>44145</v>
      </c>
      <c r="B179">
        <v>46.169998</v>
      </c>
      <c r="C179">
        <v>47.959999000000003</v>
      </c>
      <c r="D179">
        <v>45.950001</v>
      </c>
      <c r="E179">
        <v>47.77</v>
      </c>
      <c r="F179">
        <v>47.335545000000003</v>
      </c>
      <c r="G179">
        <v>21103100</v>
      </c>
      <c r="I179">
        <f t="shared" si="8"/>
        <v>1.2505361393194773E-2</v>
      </c>
      <c r="J179">
        <v>0</v>
      </c>
      <c r="K179">
        <f t="shared" si="6"/>
        <v>1.2505361393194773E-2</v>
      </c>
      <c r="L179">
        <f t="shared" si="7"/>
        <v>1.2505361393194774</v>
      </c>
      <c r="M179">
        <v>-0.17</v>
      </c>
    </row>
    <row r="180" spans="1:13" x14ac:dyDescent="0.2">
      <c r="A180" s="1">
        <v>44146</v>
      </c>
      <c r="B180">
        <v>47.779998999999997</v>
      </c>
      <c r="C180">
        <v>47.970001000000003</v>
      </c>
      <c r="D180">
        <v>47.119999</v>
      </c>
      <c r="E180">
        <v>47.669998</v>
      </c>
      <c r="F180">
        <v>47.236449999999998</v>
      </c>
      <c r="G180">
        <v>11840000</v>
      </c>
      <c r="I180">
        <f t="shared" si="8"/>
        <v>-2.0934585204417837E-3</v>
      </c>
      <c r="J180">
        <v>0</v>
      </c>
      <c r="K180">
        <f t="shared" si="6"/>
        <v>-2.0934585204417837E-3</v>
      </c>
      <c r="L180">
        <f t="shared" si="7"/>
        <v>-0.20934585204417838</v>
      </c>
      <c r="M180">
        <v>0.88</v>
      </c>
    </row>
    <row r="181" spans="1:13" x14ac:dyDescent="0.2">
      <c r="A181" s="1">
        <v>44147</v>
      </c>
      <c r="B181">
        <v>47.630001</v>
      </c>
      <c r="C181">
        <v>48.09</v>
      </c>
      <c r="D181">
        <v>47.25</v>
      </c>
      <c r="E181">
        <v>47.98</v>
      </c>
      <c r="F181">
        <v>47.543633</v>
      </c>
      <c r="G181">
        <v>20020400</v>
      </c>
      <c r="I181">
        <f t="shared" si="8"/>
        <v>6.5030924212128981E-3</v>
      </c>
      <c r="J181">
        <v>0</v>
      </c>
      <c r="K181">
        <f t="shared" si="6"/>
        <v>6.5030924212128981E-3</v>
      </c>
      <c r="L181">
        <f t="shared" si="7"/>
        <v>0.65030924212128982</v>
      </c>
      <c r="M181">
        <v>-0.94</v>
      </c>
    </row>
    <row r="182" spans="1:13" x14ac:dyDescent="0.2">
      <c r="A182" s="1">
        <v>44148</v>
      </c>
      <c r="B182">
        <v>47.810001</v>
      </c>
      <c r="C182">
        <v>49.25</v>
      </c>
      <c r="D182">
        <v>47.73</v>
      </c>
      <c r="E182">
        <v>49</v>
      </c>
      <c r="F182">
        <v>48.554352000000002</v>
      </c>
      <c r="G182">
        <v>17032600</v>
      </c>
      <c r="I182">
        <f t="shared" si="8"/>
        <v>2.1258766657566992E-2</v>
      </c>
      <c r="J182">
        <v>0</v>
      </c>
      <c r="K182">
        <f t="shared" si="6"/>
        <v>2.1258766657566992E-2</v>
      </c>
      <c r="L182">
        <f t="shared" si="7"/>
        <v>2.1258766657566994</v>
      </c>
      <c r="M182">
        <v>1.31</v>
      </c>
    </row>
    <row r="183" spans="1:13" x14ac:dyDescent="0.2">
      <c r="A183" s="1">
        <v>44151</v>
      </c>
      <c r="B183">
        <v>49.400002000000001</v>
      </c>
      <c r="C183">
        <v>49.75</v>
      </c>
      <c r="D183">
        <v>49.25</v>
      </c>
      <c r="E183">
        <v>49.540000999999997</v>
      </c>
      <c r="F183">
        <v>49.089447</v>
      </c>
      <c r="G183">
        <v>19426600</v>
      </c>
      <c r="I183">
        <f t="shared" si="8"/>
        <v>1.1020536325971322E-2</v>
      </c>
      <c r="J183">
        <v>0</v>
      </c>
      <c r="K183">
        <f t="shared" si="6"/>
        <v>1.1020536325971322E-2</v>
      </c>
      <c r="L183">
        <f t="shared" si="7"/>
        <v>1.1020536325971322</v>
      </c>
      <c r="M183">
        <v>1.22</v>
      </c>
    </row>
    <row r="184" spans="1:13" x14ac:dyDescent="0.2">
      <c r="A184" s="1">
        <v>44152</v>
      </c>
      <c r="B184">
        <v>49.189999</v>
      </c>
      <c r="C184">
        <v>49.990001999999997</v>
      </c>
      <c r="D184">
        <v>48.98</v>
      </c>
      <c r="E184">
        <v>49.779998999999997</v>
      </c>
      <c r="F184">
        <v>49.327258999999998</v>
      </c>
      <c r="G184">
        <v>19426000</v>
      </c>
      <c r="I184">
        <f t="shared" si="8"/>
        <v>4.8444628027689562E-3</v>
      </c>
      <c r="J184">
        <v>0</v>
      </c>
      <c r="K184">
        <f t="shared" si="6"/>
        <v>4.8444628027689562E-3</v>
      </c>
      <c r="L184">
        <f t="shared" si="7"/>
        <v>0.48444628027689562</v>
      </c>
      <c r="M184">
        <v>-0.19</v>
      </c>
    </row>
    <row r="185" spans="1:13" x14ac:dyDescent="0.2">
      <c r="A185" s="1">
        <v>44153</v>
      </c>
      <c r="B185">
        <v>49.599997999999999</v>
      </c>
      <c r="C185">
        <v>50.380001</v>
      </c>
      <c r="D185">
        <v>49.040000999999997</v>
      </c>
      <c r="E185">
        <v>49.139999000000003</v>
      </c>
      <c r="F185">
        <v>48.693080999999999</v>
      </c>
      <c r="G185">
        <v>18279200</v>
      </c>
      <c r="I185">
        <f t="shared" si="8"/>
        <v>-1.2856542464684661E-2</v>
      </c>
      <c r="J185">
        <v>0</v>
      </c>
      <c r="K185">
        <f t="shared" si="6"/>
        <v>-1.2856542464684661E-2</v>
      </c>
      <c r="L185">
        <f t="shared" si="7"/>
        <v>-1.2856542464684662</v>
      </c>
      <c r="M185">
        <v>-0.93</v>
      </c>
    </row>
    <row r="186" spans="1:13" x14ac:dyDescent="0.2">
      <c r="A186" s="1">
        <v>44154</v>
      </c>
      <c r="B186">
        <v>49.209999000000003</v>
      </c>
      <c r="C186">
        <v>49.740001999999997</v>
      </c>
      <c r="D186">
        <v>49</v>
      </c>
      <c r="E186">
        <v>49.48</v>
      </c>
      <c r="F186">
        <v>49.029986999999998</v>
      </c>
      <c r="G186">
        <v>13484500</v>
      </c>
      <c r="I186">
        <f t="shared" si="8"/>
        <v>6.9189706849726567E-3</v>
      </c>
      <c r="J186">
        <v>0</v>
      </c>
      <c r="K186">
        <f t="shared" si="6"/>
        <v>6.9189706849726567E-3</v>
      </c>
      <c r="L186">
        <f t="shared" si="7"/>
        <v>0.69189706849726562</v>
      </c>
      <c r="M186">
        <v>0.59</v>
      </c>
    </row>
    <row r="187" spans="1:13" x14ac:dyDescent="0.2">
      <c r="A187" s="1">
        <v>44155</v>
      </c>
      <c r="B187">
        <v>49.279998999999997</v>
      </c>
      <c r="C187">
        <v>49.68</v>
      </c>
      <c r="D187">
        <v>49.099997999999999</v>
      </c>
      <c r="E187">
        <v>49.169998</v>
      </c>
      <c r="F187">
        <v>48.722805000000001</v>
      </c>
      <c r="G187">
        <v>19830000</v>
      </c>
      <c r="I187">
        <f t="shared" si="8"/>
        <v>-6.2651862420440253E-3</v>
      </c>
      <c r="J187">
        <v>0</v>
      </c>
      <c r="K187">
        <f t="shared" si="6"/>
        <v>-6.2651862420440253E-3</v>
      </c>
      <c r="L187">
        <f t="shared" si="7"/>
        <v>-0.62651862420440252</v>
      </c>
      <c r="M187">
        <v>-0.51</v>
      </c>
    </row>
    <row r="188" spans="1:13" x14ac:dyDescent="0.2">
      <c r="A188" s="1">
        <v>44158</v>
      </c>
      <c r="B188">
        <v>49.09</v>
      </c>
      <c r="C188">
        <v>49.98</v>
      </c>
      <c r="D188">
        <v>48.790000999999997</v>
      </c>
      <c r="E188">
        <v>49.810001</v>
      </c>
      <c r="F188">
        <v>49.356986999999997</v>
      </c>
      <c r="G188">
        <v>14676800</v>
      </c>
      <c r="I188">
        <f t="shared" si="8"/>
        <v>1.3016122532354112E-2</v>
      </c>
      <c r="J188">
        <v>0</v>
      </c>
      <c r="K188">
        <f t="shared" si="6"/>
        <v>1.3016122532354112E-2</v>
      </c>
      <c r="L188">
        <f t="shared" si="7"/>
        <v>1.3016122532354113</v>
      </c>
      <c r="M188">
        <v>0.83</v>
      </c>
    </row>
    <row r="189" spans="1:13" x14ac:dyDescent="0.2">
      <c r="A189" s="1">
        <v>44159</v>
      </c>
      <c r="B189">
        <v>50</v>
      </c>
      <c r="C189">
        <v>52.490001999999997</v>
      </c>
      <c r="D189">
        <v>49.919998</v>
      </c>
      <c r="E189">
        <v>52.34</v>
      </c>
      <c r="F189">
        <v>51.863976000000001</v>
      </c>
      <c r="G189">
        <v>31754000</v>
      </c>
      <c r="I189">
        <f t="shared" si="8"/>
        <v>5.0792991071355396E-2</v>
      </c>
      <c r="J189">
        <v>0</v>
      </c>
      <c r="K189">
        <f t="shared" si="6"/>
        <v>5.0792991071355396E-2</v>
      </c>
      <c r="L189">
        <f t="shared" si="7"/>
        <v>5.0792991071355393</v>
      </c>
      <c r="M189">
        <v>1.56</v>
      </c>
    </row>
    <row r="190" spans="1:13" x14ac:dyDescent="0.2">
      <c r="A190" s="1">
        <v>44160</v>
      </c>
      <c r="B190">
        <v>52.169998</v>
      </c>
      <c r="C190">
        <v>52.200001</v>
      </c>
      <c r="D190">
        <v>50.779998999999997</v>
      </c>
      <c r="E190">
        <v>51.799999</v>
      </c>
      <c r="F190">
        <v>51.328887999999999</v>
      </c>
      <c r="G190">
        <v>19322100</v>
      </c>
      <c r="I190">
        <f t="shared" si="8"/>
        <v>-1.0317141902117218E-2</v>
      </c>
      <c r="J190">
        <v>0</v>
      </c>
      <c r="K190">
        <f t="shared" si="6"/>
        <v>-1.0317141902117218E-2</v>
      </c>
      <c r="L190">
        <f t="shared" si="7"/>
        <v>-1.0317141902117217</v>
      </c>
      <c r="M190">
        <v>0.03</v>
      </c>
    </row>
    <row r="191" spans="1:13" x14ac:dyDescent="0.2">
      <c r="A191" s="1">
        <v>44162</v>
      </c>
      <c r="B191">
        <v>51.310001</v>
      </c>
      <c r="C191">
        <v>52.209999000000003</v>
      </c>
      <c r="D191">
        <v>51.310001</v>
      </c>
      <c r="E191">
        <v>51.75</v>
      </c>
      <c r="F191">
        <v>51.279345999999997</v>
      </c>
      <c r="G191">
        <v>6243700</v>
      </c>
      <c r="I191">
        <f t="shared" si="8"/>
        <v>-9.6518747883262963E-4</v>
      </c>
      <c r="J191">
        <v>0</v>
      </c>
      <c r="K191">
        <f t="shared" si="6"/>
        <v>-9.6518747883262963E-4</v>
      </c>
      <c r="L191">
        <f t="shared" si="7"/>
        <v>-9.6518747883262965E-2</v>
      </c>
      <c r="M191">
        <v>0.43</v>
      </c>
    </row>
    <row r="192" spans="1:13" x14ac:dyDescent="0.2">
      <c r="A192" s="1">
        <v>44165</v>
      </c>
      <c r="B192">
        <v>51.130001</v>
      </c>
      <c r="C192">
        <v>51.48</v>
      </c>
      <c r="D192">
        <v>49.84</v>
      </c>
      <c r="E192">
        <v>50.240001999999997</v>
      </c>
      <c r="F192">
        <v>49.783076999999999</v>
      </c>
      <c r="G192">
        <v>34359800</v>
      </c>
      <c r="I192">
        <f t="shared" si="8"/>
        <v>-2.9178784768432855E-2</v>
      </c>
      <c r="J192">
        <v>0</v>
      </c>
      <c r="K192">
        <f t="shared" si="6"/>
        <v>-2.9178784768432855E-2</v>
      </c>
      <c r="L192">
        <f t="shared" si="7"/>
        <v>-2.9178784768432853</v>
      </c>
      <c r="M192">
        <v>-0.53</v>
      </c>
    </row>
    <row r="193" spans="1:13" x14ac:dyDescent="0.2">
      <c r="A193" s="1">
        <v>44166</v>
      </c>
      <c r="B193">
        <v>50.75</v>
      </c>
      <c r="C193">
        <v>51.27</v>
      </c>
      <c r="D193">
        <v>50.110000999999997</v>
      </c>
      <c r="E193">
        <v>51.02</v>
      </c>
      <c r="F193">
        <v>50.555984000000002</v>
      </c>
      <c r="G193">
        <v>14370000</v>
      </c>
      <c r="I193">
        <f t="shared" si="8"/>
        <v>1.5525496746615393E-2</v>
      </c>
      <c r="J193">
        <v>0</v>
      </c>
      <c r="K193">
        <f t="shared" si="6"/>
        <v>1.5525496746615393E-2</v>
      </c>
      <c r="L193">
        <f t="shared" si="7"/>
        <v>1.5525496746615393</v>
      </c>
      <c r="M193">
        <v>0.98</v>
      </c>
    </row>
    <row r="194" spans="1:13" x14ac:dyDescent="0.2">
      <c r="A194" s="1">
        <v>44167</v>
      </c>
      <c r="B194">
        <v>50.93</v>
      </c>
      <c r="C194">
        <v>51.34</v>
      </c>
      <c r="D194">
        <v>50.810001</v>
      </c>
      <c r="E194">
        <v>51.049999</v>
      </c>
      <c r="F194">
        <v>50.585709000000001</v>
      </c>
      <c r="G194">
        <v>14438000</v>
      </c>
      <c r="I194">
        <f t="shared" si="8"/>
        <v>5.8796205015016845E-4</v>
      </c>
      <c r="J194">
        <v>0</v>
      </c>
      <c r="K194">
        <f t="shared" si="6"/>
        <v>5.8796205015016845E-4</v>
      </c>
      <c r="L194">
        <f t="shared" si="7"/>
        <v>5.8796205015016846E-2</v>
      </c>
      <c r="M194">
        <v>0.11</v>
      </c>
    </row>
    <row r="195" spans="1:13" x14ac:dyDescent="0.2">
      <c r="A195" s="1">
        <v>44168</v>
      </c>
      <c r="B195">
        <v>50.77</v>
      </c>
      <c r="C195">
        <v>51.720001000000003</v>
      </c>
      <c r="D195">
        <v>50.68</v>
      </c>
      <c r="E195">
        <v>51.59</v>
      </c>
      <c r="F195">
        <v>51.120800000000003</v>
      </c>
      <c r="G195">
        <v>14677200</v>
      </c>
      <c r="I195">
        <f t="shared" si="8"/>
        <v>1.0577908476087611E-2</v>
      </c>
      <c r="J195">
        <v>0</v>
      </c>
      <c r="K195">
        <f t="shared" si="6"/>
        <v>1.0577908476087611E-2</v>
      </c>
      <c r="L195">
        <f t="shared" si="7"/>
        <v>1.0577908476087612</v>
      </c>
      <c r="M195">
        <v>0.18</v>
      </c>
    </row>
    <row r="196" spans="1:13" x14ac:dyDescent="0.2">
      <c r="A196" s="1">
        <v>44169</v>
      </c>
      <c r="B196">
        <v>51.75</v>
      </c>
      <c r="C196">
        <v>51.91</v>
      </c>
      <c r="D196">
        <v>51.490001999999997</v>
      </c>
      <c r="E196">
        <v>51.689999</v>
      </c>
      <c r="F196">
        <v>51.219887</v>
      </c>
      <c r="G196">
        <v>12258100</v>
      </c>
      <c r="I196">
        <f t="shared" si="8"/>
        <v>1.9382912630474729E-3</v>
      </c>
      <c r="J196">
        <v>0</v>
      </c>
      <c r="K196">
        <f t="shared" ref="K196:K252" si="9">I196-J196</f>
        <v>1.9382912630474729E-3</v>
      </c>
      <c r="L196">
        <f t="shared" ref="L196:L252" si="10">100*K196</f>
        <v>0.1938291263047473</v>
      </c>
      <c r="M196">
        <v>1.02</v>
      </c>
    </row>
    <row r="197" spans="1:13" x14ac:dyDescent="0.2">
      <c r="A197" s="1">
        <v>44172</v>
      </c>
      <c r="B197">
        <v>51.580002</v>
      </c>
      <c r="C197">
        <v>52.02</v>
      </c>
      <c r="D197">
        <v>51.240001999999997</v>
      </c>
      <c r="E197">
        <v>51.93</v>
      </c>
      <c r="F197">
        <v>51.457706000000002</v>
      </c>
      <c r="G197">
        <v>12195900</v>
      </c>
      <c r="I197">
        <f t="shared" ref="I197:I252" si="11">(F197-F196)/F196</f>
        <v>4.6430988807140824E-3</v>
      </c>
      <c r="J197">
        <v>0</v>
      </c>
      <c r="K197">
        <f t="shared" si="9"/>
        <v>4.6430988807140824E-3</v>
      </c>
      <c r="L197">
        <f t="shared" si="10"/>
        <v>0.46430988807140822</v>
      </c>
      <c r="M197">
        <v>0.03</v>
      </c>
    </row>
    <row r="198" spans="1:13" x14ac:dyDescent="0.2">
      <c r="A198" s="1">
        <v>44173</v>
      </c>
      <c r="B198">
        <v>51.299999</v>
      </c>
      <c r="C198">
        <v>51.799999</v>
      </c>
      <c r="D198">
        <v>51.209999000000003</v>
      </c>
      <c r="E198">
        <v>51.41</v>
      </c>
      <c r="F198">
        <v>50.942436000000001</v>
      </c>
      <c r="G198">
        <v>13352400</v>
      </c>
      <c r="I198">
        <f t="shared" si="11"/>
        <v>-1.0013466204653603E-2</v>
      </c>
      <c r="J198">
        <v>0</v>
      </c>
      <c r="K198">
        <f t="shared" si="9"/>
        <v>-1.0013466204653603E-2</v>
      </c>
      <c r="L198">
        <f t="shared" si="10"/>
        <v>-1.0013466204653603</v>
      </c>
      <c r="M198">
        <v>0.47</v>
      </c>
    </row>
    <row r="199" spans="1:13" x14ac:dyDescent="0.2">
      <c r="A199" s="1">
        <v>44174</v>
      </c>
      <c r="B199">
        <v>51.619999</v>
      </c>
      <c r="C199">
        <v>52.360000999999997</v>
      </c>
      <c r="D199">
        <v>51.150002000000001</v>
      </c>
      <c r="E199">
        <v>51.259998000000003</v>
      </c>
      <c r="F199">
        <v>50.793799999999997</v>
      </c>
      <c r="G199">
        <v>17327400</v>
      </c>
      <c r="I199">
        <f t="shared" si="11"/>
        <v>-2.9177246254969693E-3</v>
      </c>
      <c r="J199">
        <v>0</v>
      </c>
      <c r="K199">
        <f t="shared" si="9"/>
        <v>-2.9177246254969693E-3</v>
      </c>
      <c r="L199">
        <f t="shared" si="10"/>
        <v>-0.29177246254969691</v>
      </c>
      <c r="M199">
        <v>-1.03</v>
      </c>
    </row>
    <row r="200" spans="1:13" x14ac:dyDescent="0.2">
      <c r="A200" s="1">
        <v>44175</v>
      </c>
      <c r="B200">
        <v>51.279998999999997</v>
      </c>
      <c r="C200">
        <v>51.279998999999997</v>
      </c>
      <c r="D200">
        <v>50.25</v>
      </c>
      <c r="E200">
        <v>50.48</v>
      </c>
      <c r="F200">
        <v>50.020896999999998</v>
      </c>
      <c r="G200">
        <v>17304100</v>
      </c>
      <c r="I200">
        <f t="shared" si="11"/>
        <v>-1.5216483114080843E-2</v>
      </c>
      <c r="J200">
        <v>0</v>
      </c>
      <c r="K200">
        <f t="shared" si="9"/>
        <v>-1.5216483114080843E-2</v>
      </c>
      <c r="L200">
        <f t="shared" si="10"/>
        <v>-1.5216483114080843</v>
      </c>
      <c r="M200">
        <v>0.24</v>
      </c>
    </row>
    <row r="201" spans="1:13" x14ac:dyDescent="0.2">
      <c r="A201" s="1">
        <v>44176</v>
      </c>
      <c r="B201">
        <v>50.57</v>
      </c>
      <c r="C201">
        <v>51.110000999999997</v>
      </c>
      <c r="D201">
        <v>50.130001</v>
      </c>
      <c r="E201">
        <v>50.93</v>
      </c>
      <c r="F201">
        <v>50.466800999999997</v>
      </c>
      <c r="G201">
        <v>19640200</v>
      </c>
      <c r="I201">
        <f t="shared" si="11"/>
        <v>8.9143543347493109E-3</v>
      </c>
      <c r="J201">
        <v>0</v>
      </c>
      <c r="K201">
        <f t="shared" si="9"/>
        <v>8.9143543347493109E-3</v>
      </c>
      <c r="L201">
        <f t="shared" si="10"/>
        <v>0.89143543347493104</v>
      </c>
      <c r="M201">
        <v>-0.2</v>
      </c>
    </row>
    <row r="202" spans="1:13" x14ac:dyDescent="0.2">
      <c r="A202" s="1">
        <v>44179</v>
      </c>
      <c r="B202">
        <v>50.849997999999999</v>
      </c>
      <c r="C202">
        <v>51.27</v>
      </c>
      <c r="D202">
        <v>50.75</v>
      </c>
      <c r="E202">
        <v>50.990001999999997</v>
      </c>
      <c r="F202">
        <v>50.526257000000001</v>
      </c>
      <c r="G202">
        <v>14005700</v>
      </c>
      <c r="I202">
        <f t="shared" si="11"/>
        <v>1.1781210384229504E-3</v>
      </c>
      <c r="J202">
        <v>0</v>
      </c>
      <c r="K202">
        <f t="shared" si="9"/>
        <v>1.1781210384229504E-3</v>
      </c>
      <c r="L202">
        <f t="shared" si="10"/>
        <v>0.11781210384229504</v>
      </c>
      <c r="M202">
        <v>-0.28000000000000003</v>
      </c>
    </row>
    <row r="203" spans="1:13" x14ac:dyDescent="0.2">
      <c r="A203" s="1">
        <v>44180</v>
      </c>
      <c r="B203">
        <v>51.380001</v>
      </c>
      <c r="C203">
        <v>52.099997999999999</v>
      </c>
      <c r="D203">
        <v>51.299999</v>
      </c>
      <c r="E203">
        <v>51.509998000000003</v>
      </c>
      <c r="F203">
        <v>51.041522999999998</v>
      </c>
      <c r="G203">
        <v>18870100</v>
      </c>
      <c r="I203">
        <f t="shared" si="11"/>
        <v>1.0197984782446816E-2</v>
      </c>
      <c r="J203">
        <v>0</v>
      </c>
      <c r="K203">
        <f t="shared" si="9"/>
        <v>1.0197984782446816E-2</v>
      </c>
      <c r="L203">
        <f t="shared" si="10"/>
        <v>1.0197984782446816</v>
      </c>
      <c r="M203">
        <v>1.28</v>
      </c>
    </row>
    <row r="204" spans="1:13" x14ac:dyDescent="0.2">
      <c r="A204" s="1">
        <v>44181</v>
      </c>
      <c r="B204">
        <v>51.68</v>
      </c>
      <c r="C204">
        <v>52.07</v>
      </c>
      <c r="D204">
        <v>51.009998000000003</v>
      </c>
      <c r="E204">
        <v>51.43</v>
      </c>
      <c r="F204">
        <v>50.962257000000001</v>
      </c>
      <c r="G204">
        <v>13129800</v>
      </c>
      <c r="I204">
        <f t="shared" si="11"/>
        <v>-1.5529709017498743E-3</v>
      </c>
      <c r="J204">
        <v>0</v>
      </c>
      <c r="K204">
        <f t="shared" si="9"/>
        <v>-1.5529709017498743E-3</v>
      </c>
      <c r="L204">
        <f t="shared" si="10"/>
        <v>-0.15529709017498744</v>
      </c>
      <c r="M204">
        <v>0.17</v>
      </c>
    </row>
    <row r="205" spans="1:13" x14ac:dyDescent="0.2">
      <c r="A205" s="1">
        <v>44182</v>
      </c>
      <c r="B205">
        <v>51.540000999999997</v>
      </c>
      <c r="C205">
        <v>51.880001</v>
      </c>
      <c r="D205">
        <v>51.080002</v>
      </c>
      <c r="E205">
        <v>51.360000999999997</v>
      </c>
      <c r="F205">
        <v>50.892890999999999</v>
      </c>
      <c r="G205">
        <v>13464900</v>
      </c>
      <c r="I205">
        <f t="shared" si="11"/>
        <v>-1.3611249595951423E-3</v>
      </c>
      <c r="J205">
        <v>0</v>
      </c>
      <c r="K205">
        <f t="shared" si="9"/>
        <v>-1.3611249595951423E-3</v>
      </c>
      <c r="L205">
        <f t="shared" si="10"/>
        <v>-0.13611249595951422</v>
      </c>
      <c r="M205">
        <v>0.79</v>
      </c>
    </row>
    <row r="206" spans="1:13" x14ac:dyDescent="0.2">
      <c r="A206" s="1">
        <v>44183</v>
      </c>
      <c r="B206">
        <v>51.560001</v>
      </c>
      <c r="C206">
        <v>51.599997999999999</v>
      </c>
      <c r="D206">
        <v>50.400002000000001</v>
      </c>
      <c r="E206">
        <v>50.900002000000001</v>
      </c>
      <c r="F206">
        <v>50.437077000000002</v>
      </c>
      <c r="G206">
        <v>31640400</v>
      </c>
      <c r="I206">
        <f t="shared" si="11"/>
        <v>-8.9563393048352584E-3</v>
      </c>
      <c r="J206">
        <v>0</v>
      </c>
      <c r="K206">
        <f t="shared" si="9"/>
        <v>-8.9563393048352584E-3</v>
      </c>
      <c r="L206">
        <f t="shared" si="10"/>
        <v>-0.8956339304835258</v>
      </c>
      <c r="M206">
        <v>-0.12</v>
      </c>
    </row>
    <row r="207" spans="1:13" x14ac:dyDescent="0.2">
      <c r="A207" s="1">
        <v>44186</v>
      </c>
      <c r="B207">
        <v>50.52</v>
      </c>
      <c r="C207">
        <v>50.650002000000001</v>
      </c>
      <c r="D207">
        <v>49.48</v>
      </c>
      <c r="E207">
        <v>50.369999</v>
      </c>
      <c r="F207">
        <v>49.911892000000002</v>
      </c>
      <c r="G207">
        <v>19672400</v>
      </c>
      <c r="I207">
        <f t="shared" si="11"/>
        <v>-1.0412677166045931E-2</v>
      </c>
      <c r="J207">
        <v>0</v>
      </c>
      <c r="K207">
        <f t="shared" si="9"/>
        <v>-1.0412677166045931E-2</v>
      </c>
      <c r="L207">
        <f t="shared" si="10"/>
        <v>-1.0412677166045932</v>
      </c>
      <c r="M207">
        <v>-0.23</v>
      </c>
    </row>
    <row r="208" spans="1:13" x14ac:dyDescent="0.2">
      <c r="A208" s="1">
        <v>44187</v>
      </c>
      <c r="B208">
        <v>50</v>
      </c>
      <c r="C208">
        <v>50.310001</v>
      </c>
      <c r="D208">
        <v>49.799999</v>
      </c>
      <c r="E208">
        <v>50.02</v>
      </c>
      <c r="F208">
        <v>49.565078999999997</v>
      </c>
      <c r="G208">
        <v>13739800</v>
      </c>
      <c r="I208">
        <f t="shared" si="11"/>
        <v>-6.9485043764721333E-3</v>
      </c>
      <c r="J208">
        <v>0</v>
      </c>
      <c r="K208">
        <f t="shared" si="9"/>
        <v>-6.9485043764721333E-3</v>
      </c>
      <c r="L208">
        <f t="shared" si="10"/>
        <v>-0.69485043764721333</v>
      </c>
      <c r="M208">
        <v>0.06</v>
      </c>
    </row>
    <row r="209" spans="1:13" x14ac:dyDescent="0.2">
      <c r="A209" s="1">
        <v>44188</v>
      </c>
      <c r="B209">
        <v>50.150002000000001</v>
      </c>
      <c r="C209">
        <v>50.27</v>
      </c>
      <c r="D209">
        <v>49.650002000000001</v>
      </c>
      <c r="E209">
        <v>50.040000999999997</v>
      </c>
      <c r="F209">
        <v>49.584896000000001</v>
      </c>
      <c r="G209">
        <v>12934200</v>
      </c>
      <c r="I209">
        <f t="shared" si="11"/>
        <v>3.9981778300006958E-4</v>
      </c>
      <c r="J209">
        <v>0</v>
      </c>
      <c r="K209">
        <f t="shared" si="9"/>
        <v>3.9981778300006958E-4</v>
      </c>
      <c r="L209">
        <f t="shared" si="10"/>
        <v>3.9981778300006959E-2</v>
      </c>
      <c r="M209">
        <v>0.1</v>
      </c>
    </row>
    <row r="210" spans="1:13" x14ac:dyDescent="0.2">
      <c r="A210" s="1">
        <v>44189</v>
      </c>
      <c r="B210">
        <v>50.200001</v>
      </c>
      <c r="C210">
        <v>50.439999</v>
      </c>
      <c r="D210">
        <v>50.09</v>
      </c>
      <c r="E210">
        <v>50.380001</v>
      </c>
      <c r="F210">
        <v>49.921805999999997</v>
      </c>
      <c r="G210">
        <v>3875300</v>
      </c>
      <c r="I210">
        <f t="shared" si="11"/>
        <v>6.7946093907305166E-3</v>
      </c>
      <c r="J210">
        <v>0</v>
      </c>
      <c r="K210">
        <f t="shared" si="9"/>
        <v>6.7946093907305166E-3</v>
      </c>
      <c r="L210">
        <f t="shared" si="10"/>
        <v>0.67946093907305161</v>
      </c>
      <c r="M210">
        <v>0.21</v>
      </c>
    </row>
    <row r="211" spans="1:13" x14ac:dyDescent="0.2">
      <c r="A211" s="1">
        <v>44193</v>
      </c>
      <c r="B211">
        <v>50.779998999999997</v>
      </c>
      <c r="C211">
        <v>51.360000999999997</v>
      </c>
      <c r="D211">
        <v>50.529998999999997</v>
      </c>
      <c r="E211">
        <v>51.110000999999997</v>
      </c>
      <c r="F211">
        <v>50.645167999999998</v>
      </c>
      <c r="G211">
        <v>13510700</v>
      </c>
      <c r="I211">
        <f t="shared" si="11"/>
        <v>1.4489900465540082E-2</v>
      </c>
      <c r="J211">
        <v>0</v>
      </c>
      <c r="K211">
        <f t="shared" si="9"/>
        <v>1.4489900465540082E-2</v>
      </c>
      <c r="L211">
        <f t="shared" si="10"/>
        <v>1.4489900465540082</v>
      </c>
      <c r="M211">
        <v>0.46</v>
      </c>
    </row>
    <row r="212" spans="1:13" x14ac:dyDescent="0.2">
      <c r="A212" s="1">
        <v>44194</v>
      </c>
      <c r="B212">
        <v>51.16</v>
      </c>
      <c r="C212">
        <v>51.73</v>
      </c>
      <c r="D212">
        <v>51.040000999999997</v>
      </c>
      <c r="E212">
        <v>51.549999</v>
      </c>
      <c r="F212">
        <v>51.081161000000002</v>
      </c>
      <c r="G212">
        <v>11245200</v>
      </c>
      <c r="I212">
        <f t="shared" si="11"/>
        <v>8.6087778403658062E-3</v>
      </c>
      <c r="J212">
        <v>0</v>
      </c>
      <c r="K212">
        <f t="shared" si="9"/>
        <v>8.6087778403658062E-3</v>
      </c>
      <c r="L212">
        <f t="shared" si="10"/>
        <v>0.86087778403658066</v>
      </c>
      <c r="M212">
        <v>-0.4</v>
      </c>
    </row>
    <row r="213" spans="1:13" x14ac:dyDescent="0.2">
      <c r="A213" s="1">
        <v>44195</v>
      </c>
      <c r="B213">
        <v>51.689999</v>
      </c>
      <c r="C213">
        <v>51.93</v>
      </c>
      <c r="D213">
        <v>51.189999</v>
      </c>
      <c r="E213">
        <v>51.209999000000003</v>
      </c>
      <c r="F213">
        <v>50.744255000000003</v>
      </c>
      <c r="G213">
        <v>9954000</v>
      </c>
      <c r="I213">
        <f t="shared" si="11"/>
        <v>-6.5955039667167908E-3</v>
      </c>
      <c r="J213">
        <v>0</v>
      </c>
      <c r="K213">
        <f t="shared" si="9"/>
        <v>-6.5955039667167908E-3</v>
      </c>
      <c r="L213">
        <f t="shared" si="10"/>
        <v>-0.65955039667167903</v>
      </c>
      <c r="M213">
        <v>0.27</v>
      </c>
    </row>
    <row r="214" spans="1:13" x14ac:dyDescent="0.2">
      <c r="A214" s="1">
        <v>44196</v>
      </c>
      <c r="B214">
        <v>51.360000999999997</v>
      </c>
      <c r="C214">
        <v>52.48</v>
      </c>
      <c r="D214">
        <v>51.240001999999997</v>
      </c>
      <c r="E214">
        <v>52.400002000000001</v>
      </c>
      <c r="F214">
        <v>51.923434999999998</v>
      </c>
      <c r="G214">
        <v>11651200</v>
      </c>
      <c r="I214">
        <f t="shared" si="11"/>
        <v>2.3237704445557339E-2</v>
      </c>
      <c r="J214">
        <v>0</v>
      </c>
      <c r="K214">
        <f t="shared" si="9"/>
        <v>2.3237704445557339E-2</v>
      </c>
      <c r="L214">
        <f t="shared" si="10"/>
        <v>2.3237704445557341</v>
      </c>
      <c r="M214">
        <v>0.39</v>
      </c>
    </row>
    <row r="215" spans="1:13" x14ac:dyDescent="0.2">
      <c r="A215" s="1">
        <v>44200</v>
      </c>
      <c r="B215">
        <v>52.279998999999997</v>
      </c>
      <c r="C215">
        <v>52.400002000000001</v>
      </c>
      <c r="D215">
        <v>49.619999</v>
      </c>
      <c r="E215">
        <v>50.509998000000003</v>
      </c>
      <c r="F215">
        <v>50.050621</v>
      </c>
      <c r="G215">
        <v>22302100</v>
      </c>
      <c r="I215">
        <f t="shared" si="11"/>
        <v>-3.60687616295031E-2</v>
      </c>
      <c r="J215">
        <v>0</v>
      </c>
      <c r="K215">
        <f t="shared" si="9"/>
        <v>-3.60687616295031E-2</v>
      </c>
      <c r="L215">
        <f t="shared" si="10"/>
        <v>-3.6068761629503099</v>
      </c>
      <c r="M215">
        <v>-1.41</v>
      </c>
    </row>
    <row r="216" spans="1:13" x14ac:dyDescent="0.2">
      <c r="A216" s="1">
        <v>44201</v>
      </c>
      <c r="B216">
        <v>50.16</v>
      </c>
      <c r="C216">
        <v>50.299999</v>
      </c>
      <c r="D216">
        <v>49.200001</v>
      </c>
      <c r="E216">
        <v>49.98</v>
      </c>
      <c r="F216">
        <v>49.751990999999997</v>
      </c>
      <c r="G216">
        <v>17854600</v>
      </c>
      <c r="I216">
        <f t="shared" si="11"/>
        <v>-5.9665593359971066E-3</v>
      </c>
      <c r="J216">
        <v>0</v>
      </c>
      <c r="K216">
        <f t="shared" si="9"/>
        <v>-5.9665593359971066E-3</v>
      </c>
      <c r="L216">
        <f t="shared" si="10"/>
        <v>-0.5966559335997107</v>
      </c>
      <c r="M216">
        <v>0.86</v>
      </c>
    </row>
    <row r="217" spans="1:13" x14ac:dyDescent="0.2">
      <c r="A217" s="1">
        <v>44202</v>
      </c>
      <c r="B217">
        <v>49.119999</v>
      </c>
      <c r="C217">
        <v>50.77</v>
      </c>
      <c r="D217">
        <v>49.099997999999999</v>
      </c>
      <c r="E217">
        <v>50.560001</v>
      </c>
      <c r="F217">
        <v>50.329346000000001</v>
      </c>
      <c r="G217">
        <v>22552600</v>
      </c>
      <c r="I217">
        <f t="shared" si="11"/>
        <v>1.1604661208432931E-2</v>
      </c>
      <c r="J217">
        <v>0</v>
      </c>
      <c r="K217">
        <f t="shared" si="9"/>
        <v>1.1604661208432931E-2</v>
      </c>
      <c r="L217">
        <f t="shared" si="10"/>
        <v>1.1604661208432931</v>
      </c>
      <c r="M217">
        <v>0.79</v>
      </c>
    </row>
    <row r="218" spans="1:13" x14ac:dyDescent="0.2">
      <c r="A218" s="1">
        <v>44203</v>
      </c>
      <c r="B218">
        <v>50.200001</v>
      </c>
      <c r="C218">
        <v>50.98</v>
      </c>
      <c r="D218">
        <v>50.099997999999999</v>
      </c>
      <c r="E218">
        <v>50.66</v>
      </c>
      <c r="F218">
        <v>50.428885999999999</v>
      </c>
      <c r="G218">
        <v>20230800</v>
      </c>
      <c r="I218">
        <f t="shared" si="11"/>
        <v>1.9777725703011822E-3</v>
      </c>
      <c r="J218">
        <v>0</v>
      </c>
      <c r="K218">
        <f t="shared" si="9"/>
        <v>1.9777725703011822E-3</v>
      </c>
      <c r="L218">
        <f t="shared" si="10"/>
        <v>0.19777725703011823</v>
      </c>
      <c r="M218">
        <v>1.76</v>
      </c>
    </row>
    <row r="219" spans="1:13" x14ac:dyDescent="0.2">
      <c r="A219" s="1">
        <v>44204</v>
      </c>
      <c r="B219">
        <v>50.360000999999997</v>
      </c>
      <c r="C219">
        <v>51.66</v>
      </c>
      <c r="D219">
        <v>50.310001</v>
      </c>
      <c r="E219">
        <v>51.540000999999997</v>
      </c>
      <c r="F219">
        <v>51.304873999999998</v>
      </c>
      <c r="G219">
        <v>22140400</v>
      </c>
      <c r="I219">
        <f t="shared" si="11"/>
        <v>1.7370758497421489E-2</v>
      </c>
      <c r="J219">
        <v>0</v>
      </c>
      <c r="K219">
        <f t="shared" si="9"/>
        <v>1.7370758497421489E-2</v>
      </c>
      <c r="L219">
        <f t="shared" si="10"/>
        <v>1.737075849742149</v>
      </c>
      <c r="M219">
        <v>0.51</v>
      </c>
    </row>
    <row r="220" spans="1:13" x14ac:dyDescent="0.2">
      <c r="A220" s="1">
        <v>44207</v>
      </c>
      <c r="B220">
        <v>51.740001999999997</v>
      </c>
      <c r="C220">
        <v>51.740001999999997</v>
      </c>
      <c r="D220">
        <v>50.73</v>
      </c>
      <c r="E220">
        <v>51.52</v>
      </c>
      <c r="F220">
        <v>51.284965999999997</v>
      </c>
      <c r="G220">
        <v>18795700</v>
      </c>
      <c r="I220">
        <f t="shared" si="11"/>
        <v>-3.8803330849230671E-4</v>
      </c>
      <c r="J220">
        <v>0</v>
      </c>
      <c r="K220">
        <f t="shared" si="9"/>
        <v>-3.8803330849230671E-4</v>
      </c>
      <c r="L220">
        <f t="shared" si="10"/>
        <v>-3.8803330849230669E-2</v>
      </c>
      <c r="M220">
        <v>-0.51</v>
      </c>
    </row>
    <row r="221" spans="1:13" x14ac:dyDescent="0.2">
      <c r="A221" s="1">
        <v>44208</v>
      </c>
      <c r="B221">
        <v>51.290000999999997</v>
      </c>
      <c r="C221">
        <v>51.549999</v>
      </c>
      <c r="D221">
        <v>49.610000999999997</v>
      </c>
      <c r="E221">
        <v>50.009998000000003</v>
      </c>
      <c r="F221">
        <v>49.781852999999998</v>
      </c>
      <c r="G221">
        <v>20999500</v>
      </c>
      <c r="I221">
        <f t="shared" si="11"/>
        <v>-2.9309037662226374E-2</v>
      </c>
      <c r="J221">
        <v>0</v>
      </c>
      <c r="K221">
        <f t="shared" si="9"/>
        <v>-2.9309037662226374E-2</v>
      </c>
      <c r="L221">
        <f t="shared" si="10"/>
        <v>-2.9309037662226376</v>
      </c>
      <c r="M221">
        <v>0.38</v>
      </c>
    </row>
    <row r="222" spans="1:13" x14ac:dyDescent="0.2">
      <c r="A222" s="1">
        <v>44209</v>
      </c>
      <c r="B222">
        <v>49.619999</v>
      </c>
      <c r="C222">
        <v>50.380001</v>
      </c>
      <c r="D222">
        <v>49.52</v>
      </c>
      <c r="E222">
        <v>50.16</v>
      </c>
      <c r="F222">
        <v>49.931168</v>
      </c>
      <c r="G222">
        <v>16227000</v>
      </c>
      <c r="I222">
        <f t="shared" si="11"/>
        <v>2.9993861417734174E-3</v>
      </c>
      <c r="J222">
        <v>0</v>
      </c>
      <c r="K222">
        <f t="shared" si="9"/>
        <v>2.9993861417734174E-3</v>
      </c>
      <c r="L222">
        <f t="shared" si="10"/>
        <v>0.29993861417734174</v>
      </c>
      <c r="M222">
        <v>7.0000000000000007E-2</v>
      </c>
    </row>
    <row r="223" spans="1:13" x14ac:dyDescent="0.2">
      <c r="A223" s="1">
        <v>44210</v>
      </c>
      <c r="B223">
        <v>50.16</v>
      </c>
      <c r="C223">
        <v>50.27</v>
      </c>
      <c r="D223">
        <v>49.439999</v>
      </c>
      <c r="E223">
        <v>49.580002</v>
      </c>
      <c r="F223">
        <v>49.353816999999999</v>
      </c>
      <c r="G223">
        <v>18806000</v>
      </c>
      <c r="I223">
        <f t="shared" si="11"/>
        <v>-1.1562938002972416E-2</v>
      </c>
      <c r="J223">
        <v>0</v>
      </c>
      <c r="K223">
        <f t="shared" si="9"/>
        <v>-1.1562938002972416E-2</v>
      </c>
      <c r="L223">
        <f t="shared" si="10"/>
        <v>-1.1562938002972416</v>
      </c>
      <c r="M223">
        <v>-0.11</v>
      </c>
    </row>
    <row r="224" spans="1:13" x14ac:dyDescent="0.2">
      <c r="A224" s="1">
        <v>44211</v>
      </c>
      <c r="B224">
        <v>49.209999000000003</v>
      </c>
      <c r="C224">
        <v>49.259998000000003</v>
      </c>
      <c r="D224">
        <v>48.150002000000001</v>
      </c>
      <c r="E224">
        <v>48.689999</v>
      </c>
      <c r="F224">
        <v>48.467872999999997</v>
      </c>
      <c r="G224">
        <v>25973100</v>
      </c>
      <c r="I224">
        <f t="shared" si="11"/>
        <v>-1.7950870952899187E-2</v>
      </c>
      <c r="J224">
        <v>0</v>
      </c>
      <c r="K224">
        <f t="shared" si="9"/>
        <v>-1.7950870952899187E-2</v>
      </c>
      <c r="L224">
        <f t="shared" si="10"/>
        <v>-1.7950870952899187</v>
      </c>
      <c r="M224">
        <v>-0.86</v>
      </c>
    </row>
    <row r="225" spans="1:13" x14ac:dyDescent="0.2">
      <c r="A225" s="1">
        <v>44215</v>
      </c>
      <c r="B225">
        <v>48.669998</v>
      </c>
      <c r="C225">
        <v>49.09</v>
      </c>
      <c r="D225">
        <v>48.310001</v>
      </c>
      <c r="E225">
        <v>48.849997999999999</v>
      </c>
      <c r="F225">
        <v>48.627144000000001</v>
      </c>
      <c r="G225">
        <v>18946300</v>
      </c>
      <c r="I225">
        <f t="shared" si="11"/>
        <v>3.2861149074976726E-3</v>
      </c>
      <c r="J225">
        <v>0</v>
      </c>
      <c r="K225">
        <f t="shared" si="9"/>
        <v>3.2861149074976726E-3</v>
      </c>
      <c r="L225">
        <f t="shared" si="10"/>
        <v>0.32861149074976725</v>
      </c>
      <c r="M225">
        <v>0.91</v>
      </c>
    </row>
    <row r="226" spans="1:13" x14ac:dyDescent="0.2">
      <c r="A226" s="1">
        <v>44216</v>
      </c>
      <c r="B226">
        <v>48.990001999999997</v>
      </c>
      <c r="C226">
        <v>49.169998</v>
      </c>
      <c r="D226">
        <v>48.66</v>
      </c>
      <c r="E226">
        <v>48.880001</v>
      </c>
      <c r="F226">
        <v>48.657009000000002</v>
      </c>
      <c r="G226">
        <v>15814200</v>
      </c>
      <c r="I226">
        <f t="shared" si="11"/>
        <v>6.1416315134610658E-4</v>
      </c>
      <c r="J226">
        <v>0</v>
      </c>
      <c r="K226">
        <f t="shared" si="9"/>
        <v>6.1416315134610658E-4</v>
      </c>
      <c r="L226">
        <f t="shared" si="10"/>
        <v>6.1416315134610655E-2</v>
      </c>
      <c r="M226">
        <v>1.26</v>
      </c>
    </row>
    <row r="227" spans="1:13" x14ac:dyDescent="0.2">
      <c r="A227" s="1">
        <v>44217</v>
      </c>
      <c r="B227">
        <v>48.5</v>
      </c>
      <c r="C227">
        <v>49.27</v>
      </c>
      <c r="D227">
        <v>48.240001999999997</v>
      </c>
      <c r="E227">
        <v>49.130001</v>
      </c>
      <c r="F227">
        <v>48.905869000000003</v>
      </c>
      <c r="G227">
        <v>22605200</v>
      </c>
      <c r="I227">
        <f t="shared" si="11"/>
        <v>5.1145766070413521E-3</v>
      </c>
      <c r="J227">
        <v>0</v>
      </c>
      <c r="K227">
        <f t="shared" si="9"/>
        <v>5.1145766070413521E-3</v>
      </c>
      <c r="L227">
        <f t="shared" si="10"/>
        <v>0.51145766070413523</v>
      </c>
      <c r="M227">
        <v>-0.04</v>
      </c>
    </row>
    <row r="228" spans="1:13" x14ac:dyDescent="0.2">
      <c r="A228" s="1">
        <v>44218</v>
      </c>
      <c r="B228">
        <v>48.84</v>
      </c>
      <c r="C228">
        <v>48.939999</v>
      </c>
      <c r="D228">
        <v>48.259998000000003</v>
      </c>
      <c r="E228">
        <v>48.68</v>
      </c>
      <c r="F228">
        <v>48.457920000000001</v>
      </c>
      <c r="G228">
        <v>13960700</v>
      </c>
      <c r="I228">
        <f t="shared" si="11"/>
        <v>-9.1594119307030659E-3</v>
      </c>
      <c r="J228">
        <v>0</v>
      </c>
      <c r="K228">
        <f t="shared" si="9"/>
        <v>-9.1594119307030659E-3</v>
      </c>
      <c r="L228">
        <f t="shared" si="10"/>
        <v>-0.91594119307030664</v>
      </c>
      <c r="M228">
        <v>-7.0000000000000007E-2</v>
      </c>
    </row>
    <row r="229" spans="1:13" x14ac:dyDescent="0.2">
      <c r="A229" s="1">
        <v>44221</v>
      </c>
      <c r="B229">
        <v>48.5</v>
      </c>
      <c r="C229">
        <v>49.130001</v>
      </c>
      <c r="D229">
        <v>48.32</v>
      </c>
      <c r="E229">
        <v>48.970001000000003</v>
      </c>
      <c r="F229">
        <v>48.746597000000001</v>
      </c>
      <c r="G229">
        <v>16328400</v>
      </c>
      <c r="I229">
        <f t="shared" si="11"/>
        <v>5.9572717937542482E-3</v>
      </c>
      <c r="J229">
        <v>0</v>
      </c>
      <c r="K229">
        <f t="shared" si="9"/>
        <v>5.9572717937542482E-3</v>
      </c>
      <c r="L229">
        <f t="shared" si="10"/>
        <v>0.59572717937542485</v>
      </c>
      <c r="M229">
        <v>0.28000000000000003</v>
      </c>
    </row>
    <row r="230" spans="1:13" x14ac:dyDescent="0.2">
      <c r="A230" s="1">
        <v>44222</v>
      </c>
      <c r="B230">
        <v>49.150002000000001</v>
      </c>
      <c r="C230">
        <v>50.209999000000003</v>
      </c>
      <c r="D230">
        <v>48.880001</v>
      </c>
      <c r="E230">
        <v>50.09</v>
      </c>
      <c r="F230">
        <v>49.861488000000001</v>
      </c>
      <c r="G230">
        <v>23562200</v>
      </c>
      <c r="I230">
        <f t="shared" si="11"/>
        <v>2.2871155498300735E-2</v>
      </c>
      <c r="J230">
        <v>0</v>
      </c>
      <c r="K230">
        <f t="shared" si="9"/>
        <v>2.2871155498300735E-2</v>
      </c>
      <c r="L230">
        <f t="shared" si="10"/>
        <v>2.2871155498300735</v>
      </c>
      <c r="M230">
        <v>-0.32</v>
      </c>
    </row>
    <row r="231" spans="1:13" x14ac:dyDescent="0.2">
      <c r="A231" s="1">
        <v>44223</v>
      </c>
      <c r="B231">
        <v>49.470001000000003</v>
      </c>
      <c r="C231">
        <v>50.23</v>
      </c>
      <c r="D231">
        <v>48.32</v>
      </c>
      <c r="E231">
        <v>48.419998</v>
      </c>
      <c r="F231">
        <v>48.199103999999998</v>
      </c>
      <c r="G231">
        <v>24670000</v>
      </c>
      <c r="I231">
        <f t="shared" si="11"/>
        <v>-3.3340039912166337E-2</v>
      </c>
      <c r="J231">
        <v>0</v>
      </c>
      <c r="K231">
        <f t="shared" si="9"/>
        <v>-3.3340039912166337E-2</v>
      </c>
      <c r="L231">
        <f t="shared" si="10"/>
        <v>-3.3340039912166337</v>
      </c>
      <c r="M231">
        <v>-2.5299999999999998</v>
      </c>
    </row>
    <row r="232" spans="1:13" x14ac:dyDescent="0.2">
      <c r="A232" s="1">
        <v>44224</v>
      </c>
      <c r="B232">
        <v>50</v>
      </c>
      <c r="C232">
        <v>52.290000999999997</v>
      </c>
      <c r="D232">
        <v>49.779998999999997</v>
      </c>
      <c r="E232">
        <v>51.599997999999999</v>
      </c>
      <c r="F232">
        <v>51.364597000000003</v>
      </c>
      <c r="G232">
        <v>29163100</v>
      </c>
      <c r="I232">
        <f t="shared" si="11"/>
        <v>6.5675349483675149E-2</v>
      </c>
      <c r="J232">
        <v>0</v>
      </c>
      <c r="K232">
        <f t="shared" si="9"/>
        <v>6.5675349483675149E-2</v>
      </c>
      <c r="L232">
        <f t="shared" si="10"/>
        <v>6.5675349483675145</v>
      </c>
      <c r="M232">
        <v>0.92</v>
      </c>
    </row>
    <row r="233" spans="1:13" x14ac:dyDescent="0.2">
      <c r="A233" s="1">
        <v>44225</v>
      </c>
      <c r="B233">
        <v>50.310001</v>
      </c>
      <c r="C233">
        <v>51.200001</v>
      </c>
      <c r="D233">
        <v>49.490001999999997</v>
      </c>
      <c r="E233">
        <v>49.57</v>
      </c>
      <c r="F233">
        <v>49.343860999999997</v>
      </c>
      <c r="G233">
        <v>27479500</v>
      </c>
      <c r="I233">
        <f t="shared" si="11"/>
        <v>-3.9341027050207492E-2</v>
      </c>
      <c r="J233">
        <v>0</v>
      </c>
      <c r="K233">
        <f t="shared" si="9"/>
        <v>-3.9341027050207492E-2</v>
      </c>
      <c r="L233">
        <f t="shared" si="10"/>
        <v>-3.9341027050207491</v>
      </c>
      <c r="M233">
        <v>-1.84</v>
      </c>
    </row>
    <row r="234" spans="1:13" x14ac:dyDescent="0.2">
      <c r="A234" s="1">
        <v>44228</v>
      </c>
      <c r="B234">
        <v>49.860000999999997</v>
      </c>
      <c r="C234">
        <v>50.360000999999997</v>
      </c>
      <c r="D234">
        <v>49.099997999999999</v>
      </c>
      <c r="E234">
        <v>50.150002000000001</v>
      </c>
      <c r="F234">
        <v>49.921214999999997</v>
      </c>
      <c r="G234">
        <v>16865700</v>
      </c>
      <c r="I234">
        <f t="shared" si="11"/>
        <v>1.1700624724117144E-2</v>
      </c>
      <c r="J234">
        <v>0</v>
      </c>
      <c r="K234">
        <f t="shared" si="9"/>
        <v>1.1700624724117144E-2</v>
      </c>
      <c r="L234">
        <f t="shared" si="10"/>
        <v>1.1700624724117143</v>
      </c>
      <c r="M234">
        <v>1.73</v>
      </c>
    </row>
    <row r="235" spans="1:13" x14ac:dyDescent="0.2">
      <c r="A235" s="1">
        <v>44229</v>
      </c>
      <c r="B235">
        <v>50.349997999999999</v>
      </c>
      <c r="C235">
        <v>51.48</v>
      </c>
      <c r="D235">
        <v>50.07</v>
      </c>
      <c r="E235">
        <v>51.18</v>
      </c>
      <c r="F235">
        <v>50.946517999999998</v>
      </c>
      <c r="G235">
        <v>17361400</v>
      </c>
      <c r="I235">
        <f t="shared" si="11"/>
        <v>2.0538422392163351E-2</v>
      </c>
      <c r="J235">
        <v>0</v>
      </c>
      <c r="K235">
        <f t="shared" si="9"/>
        <v>2.0538422392163351E-2</v>
      </c>
      <c r="L235">
        <f t="shared" si="10"/>
        <v>2.0538422392163351</v>
      </c>
      <c r="M235">
        <v>1.48</v>
      </c>
    </row>
    <row r="236" spans="1:13" x14ac:dyDescent="0.2">
      <c r="A236" s="1">
        <v>44230</v>
      </c>
      <c r="B236">
        <v>51.25</v>
      </c>
      <c r="C236">
        <v>51.529998999999997</v>
      </c>
      <c r="D236">
        <v>50.419998</v>
      </c>
      <c r="E236">
        <v>50.470001000000003</v>
      </c>
      <c r="F236">
        <v>50.239758000000002</v>
      </c>
      <c r="G236">
        <v>17253300</v>
      </c>
      <c r="I236">
        <f t="shared" si="11"/>
        <v>-1.3872586935185553E-2</v>
      </c>
      <c r="J236">
        <v>0</v>
      </c>
      <c r="K236">
        <f t="shared" si="9"/>
        <v>-1.3872586935185553E-2</v>
      </c>
      <c r="L236">
        <f t="shared" si="10"/>
        <v>-1.3872586935185554</v>
      </c>
      <c r="M236">
        <v>0.16</v>
      </c>
    </row>
    <row r="237" spans="1:13" x14ac:dyDescent="0.2">
      <c r="A237" s="1">
        <v>44231</v>
      </c>
      <c r="B237">
        <v>50.330002</v>
      </c>
      <c r="C237">
        <v>51.5</v>
      </c>
      <c r="D237">
        <v>50.23</v>
      </c>
      <c r="E237">
        <v>51.450001</v>
      </c>
      <c r="F237">
        <v>51.215285999999999</v>
      </c>
      <c r="G237">
        <v>18708100</v>
      </c>
      <c r="I237">
        <f t="shared" si="11"/>
        <v>1.9417450219405854E-2</v>
      </c>
      <c r="J237">
        <v>0</v>
      </c>
      <c r="K237">
        <f t="shared" si="9"/>
        <v>1.9417450219405854E-2</v>
      </c>
      <c r="L237">
        <f t="shared" si="10"/>
        <v>1.9417450219405854</v>
      </c>
      <c r="M237">
        <v>1.23</v>
      </c>
    </row>
    <row r="238" spans="1:13" x14ac:dyDescent="0.2">
      <c r="A238" s="1">
        <v>44232</v>
      </c>
      <c r="B238">
        <v>51.860000999999997</v>
      </c>
      <c r="C238">
        <v>52.07</v>
      </c>
      <c r="D238">
        <v>50.939999</v>
      </c>
      <c r="E238">
        <v>51.110000999999997</v>
      </c>
      <c r="F238">
        <v>50.876835</v>
      </c>
      <c r="G238">
        <v>14202100</v>
      </c>
      <c r="I238">
        <f t="shared" si="11"/>
        <v>-6.6083981255127457E-3</v>
      </c>
      <c r="J238">
        <v>0</v>
      </c>
      <c r="K238">
        <f t="shared" si="9"/>
        <v>-6.6083981255127457E-3</v>
      </c>
      <c r="L238">
        <f t="shared" si="10"/>
        <v>-0.66083981255127455</v>
      </c>
      <c r="M238">
        <v>0.57999999999999996</v>
      </c>
    </row>
    <row r="239" spans="1:13" x14ac:dyDescent="0.2">
      <c r="A239" s="1">
        <v>44235</v>
      </c>
      <c r="B239">
        <v>51.060001</v>
      </c>
      <c r="C239">
        <v>52.080002</v>
      </c>
      <c r="D239">
        <v>51.02</v>
      </c>
      <c r="E239">
        <v>51.849997999999999</v>
      </c>
      <c r="F239">
        <v>51.613456999999997</v>
      </c>
      <c r="G239">
        <v>14767100</v>
      </c>
      <c r="I239">
        <f t="shared" si="11"/>
        <v>1.4478534287755852E-2</v>
      </c>
      <c r="J239">
        <v>0</v>
      </c>
      <c r="K239">
        <f t="shared" si="9"/>
        <v>1.4478534287755852E-2</v>
      </c>
      <c r="L239">
        <f t="shared" si="10"/>
        <v>1.4478534287755851</v>
      </c>
      <c r="M239">
        <v>0.96</v>
      </c>
    </row>
    <row r="240" spans="1:13" x14ac:dyDescent="0.2">
      <c r="A240" s="1">
        <v>44236</v>
      </c>
      <c r="B240">
        <v>52</v>
      </c>
      <c r="C240">
        <v>52.990001999999997</v>
      </c>
      <c r="D240">
        <v>51.360000999999997</v>
      </c>
      <c r="E240">
        <v>52.720001000000003</v>
      </c>
      <c r="F240">
        <v>52.479492</v>
      </c>
      <c r="G240">
        <v>15090000</v>
      </c>
      <c r="I240">
        <f t="shared" si="11"/>
        <v>1.6779248094155052E-2</v>
      </c>
      <c r="J240">
        <v>0</v>
      </c>
      <c r="K240">
        <f t="shared" si="9"/>
        <v>1.6779248094155052E-2</v>
      </c>
      <c r="L240">
        <f t="shared" si="10"/>
        <v>1.6779248094155053</v>
      </c>
      <c r="M240">
        <v>0.05</v>
      </c>
    </row>
    <row r="241" spans="1:13" x14ac:dyDescent="0.2">
      <c r="A241" s="1">
        <v>44237</v>
      </c>
      <c r="B241">
        <v>53.040000999999997</v>
      </c>
      <c r="C241">
        <v>53.060001</v>
      </c>
      <c r="D241">
        <v>52.040000999999997</v>
      </c>
      <c r="E241">
        <v>52.75</v>
      </c>
      <c r="F241">
        <v>52.509354000000002</v>
      </c>
      <c r="G241">
        <v>16432700</v>
      </c>
      <c r="I241">
        <f t="shared" si="11"/>
        <v>5.6902227635895154E-4</v>
      </c>
      <c r="J241">
        <v>0</v>
      </c>
      <c r="K241">
        <f t="shared" si="9"/>
        <v>5.6902227635895154E-4</v>
      </c>
      <c r="L241">
        <f t="shared" si="10"/>
        <v>5.6902227635895156E-2</v>
      </c>
      <c r="M241">
        <v>-7.0000000000000007E-2</v>
      </c>
    </row>
    <row r="242" spans="1:13" x14ac:dyDescent="0.2">
      <c r="A242" s="1">
        <v>44238</v>
      </c>
      <c r="B242">
        <v>52.919998</v>
      </c>
      <c r="C242">
        <v>53.310001</v>
      </c>
      <c r="D242">
        <v>52.509998000000003</v>
      </c>
      <c r="E242">
        <v>53.23</v>
      </c>
      <c r="F242">
        <v>52.987164</v>
      </c>
      <c r="G242">
        <v>11175900</v>
      </c>
      <c r="I242">
        <f t="shared" si="11"/>
        <v>9.0995215823831705E-3</v>
      </c>
      <c r="J242">
        <v>0</v>
      </c>
      <c r="K242">
        <f t="shared" si="9"/>
        <v>9.0995215823831705E-3</v>
      </c>
      <c r="L242">
        <f t="shared" si="10"/>
        <v>0.9099521582383171</v>
      </c>
      <c r="M242">
        <v>0.19</v>
      </c>
    </row>
    <row r="243" spans="1:13" x14ac:dyDescent="0.2">
      <c r="A243" s="1">
        <v>44239</v>
      </c>
      <c r="B243">
        <v>53.32</v>
      </c>
      <c r="C243">
        <v>53.599997999999999</v>
      </c>
      <c r="D243">
        <v>52.950001</v>
      </c>
      <c r="E243">
        <v>53.23</v>
      </c>
      <c r="F243">
        <v>52.987164</v>
      </c>
      <c r="G243">
        <v>10112600</v>
      </c>
      <c r="I243">
        <f t="shared" si="11"/>
        <v>0</v>
      </c>
      <c r="J243">
        <v>0</v>
      </c>
      <c r="K243">
        <f t="shared" si="9"/>
        <v>0</v>
      </c>
      <c r="L243">
        <f t="shared" si="10"/>
        <v>0</v>
      </c>
      <c r="M243">
        <v>0.49</v>
      </c>
    </row>
    <row r="244" spans="1:13" x14ac:dyDescent="0.2">
      <c r="A244" s="1">
        <v>44243</v>
      </c>
      <c r="B244">
        <v>53</v>
      </c>
      <c r="C244">
        <v>53.23</v>
      </c>
      <c r="D244">
        <v>52.540000999999997</v>
      </c>
      <c r="E244">
        <v>52.84</v>
      </c>
      <c r="F244">
        <v>52.598942000000001</v>
      </c>
      <c r="G244">
        <v>10818000</v>
      </c>
      <c r="I244">
        <f t="shared" si="11"/>
        <v>-7.3267178443443201E-3</v>
      </c>
      <c r="J244">
        <v>0</v>
      </c>
      <c r="K244">
        <f t="shared" si="9"/>
        <v>-7.3267178443443201E-3</v>
      </c>
      <c r="L244">
        <f t="shared" si="10"/>
        <v>-0.73267178443443204</v>
      </c>
      <c r="M244">
        <v>-0.14000000000000001</v>
      </c>
    </row>
    <row r="245" spans="1:13" x14ac:dyDescent="0.2">
      <c r="A245" s="1">
        <v>44244</v>
      </c>
      <c r="B245">
        <v>52.73</v>
      </c>
      <c r="C245">
        <v>53.25</v>
      </c>
      <c r="D245">
        <v>52.41</v>
      </c>
      <c r="E245">
        <v>52.990001999999997</v>
      </c>
      <c r="F245">
        <v>52.748260000000002</v>
      </c>
      <c r="G245">
        <v>10978500</v>
      </c>
      <c r="I245">
        <f t="shared" si="11"/>
        <v>2.8388023470130056E-3</v>
      </c>
      <c r="J245">
        <v>0</v>
      </c>
      <c r="K245">
        <f t="shared" si="9"/>
        <v>2.8388023470130056E-3</v>
      </c>
      <c r="L245">
        <f t="shared" si="10"/>
        <v>0.28388023470130058</v>
      </c>
      <c r="M245">
        <v>-0.2</v>
      </c>
    </row>
    <row r="246" spans="1:13" x14ac:dyDescent="0.2">
      <c r="A246" s="1">
        <v>44245</v>
      </c>
      <c r="B246">
        <v>52.68</v>
      </c>
      <c r="C246">
        <v>52.869999</v>
      </c>
      <c r="D246">
        <v>52.259998000000003</v>
      </c>
      <c r="E246">
        <v>52.560001</v>
      </c>
      <c r="F246">
        <v>52.320220999999997</v>
      </c>
      <c r="G246">
        <v>14533500</v>
      </c>
      <c r="I246">
        <f t="shared" si="11"/>
        <v>-8.1147510837325312E-3</v>
      </c>
      <c r="J246">
        <v>0</v>
      </c>
      <c r="K246">
        <f t="shared" si="9"/>
        <v>-8.1147510837325312E-3</v>
      </c>
      <c r="L246">
        <f t="shared" si="10"/>
        <v>-0.8114751083732531</v>
      </c>
      <c r="M246">
        <v>-0.63</v>
      </c>
    </row>
    <row r="247" spans="1:13" x14ac:dyDescent="0.2">
      <c r="A247" s="1">
        <v>44246</v>
      </c>
      <c r="B247">
        <v>52.41</v>
      </c>
      <c r="C247">
        <v>52.599997999999999</v>
      </c>
      <c r="D247">
        <v>51.77</v>
      </c>
      <c r="E247">
        <v>52.099997999999999</v>
      </c>
      <c r="F247">
        <v>51.862316</v>
      </c>
      <c r="G247">
        <v>15143500</v>
      </c>
      <c r="I247">
        <f t="shared" si="11"/>
        <v>-8.7519699123594433E-3</v>
      </c>
      <c r="J247">
        <v>0</v>
      </c>
      <c r="K247">
        <f t="shared" si="9"/>
        <v>-8.7519699123594433E-3</v>
      </c>
      <c r="L247">
        <f t="shared" si="10"/>
        <v>-0.8751969912359443</v>
      </c>
      <c r="M247">
        <v>0.16</v>
      </c>
    </row>
    <row r="248" spans="1:13" x14ac:dyDescent="0.2">
      <c r="A248" s="1">
        <v>44249</v>
      </c>
      <c r="B248">
        <v>51.970001000000003</v>
      </c>
      <c r="C248">
        <v>52.860000999999997</v>
      </c>
      <c r="D248">
        <v>51.810001</v>
      </c>
      <c r="E248">
        <v>52.5</v>
      </c>
      <c r="F248">
        <v>52.260494000000001</v>
      </c>
      <c r="G248">
        <v>13478300</v>
      </c>
      <c r="I248">
        <f t="shared" si="11"/>
        <v>7.6775977378256977E-3</v>
      </c>
      <c r="J248">
        <v>0</v>
      </c>
      <c r="K248">
        <f t="shared" si="9"/>
        <v>7.6775977378256977E-3</v>
      </c>
      <c r="L248">
        <f t="shared" si="10"/>
        <v>0.76775977378256977</v>
      </c>
      <c r="M248">
        <v>-1.1200000000000001</v>
      </c>
    </row>
    <row r="249" spans="1:13" x14ac:dyDescent="0.2">
      <c r="A249" s="1">
        <v>44250</v>
      </c>
      <c r="B249">
        <v>52.799999</v>
      </c>
      <c r="C249">
        <v>53.419998</v>
      </c>
      <c r="D249">
        <v>52.080002</v>
      </c>
      <c r="E249">
        <v>53.34</v>
      </c>
      <c r="F249">
        <v>53.096660999999997</v>
      </c>
      <c r="G249">
        <v>18276000</v>
      </c>
      <c r="I249">
        <f t="shared" si="11"/>
        <v>1.5999982702038677E-2</v>
      </c>
      <c r="J249">
        <v>0</v>
      </c>
      <c r="K249">
        <f t="shared" si="9"/>
        <v>1.5999982702038677E-2</v>
      </c>
      <c r="L249">
        <f t="shared" si="10"/>
        <v>1.5999982702038678</v>
      </c>
      <c r="M249">
        <v>-0.15</v>
      </c>
    </row>
    <row r="250" spans="1:13" x14ac:dyDescent="0.2">
      <c r="A250" s="1">
        <v>44251</v>
      </c>
      <c r="B250">
        <v>52.57</v>
      </c>
      <c r="C250">
        <v>53.529998999999997</v>
      </c>
      <c r="D250">
        <v>52.57</v>
      </c>
      <c r="E250">
        <v>53.400002000000001</v>
      </c>
      <c r="F250">
        <v>53.156390999999999</v>
      </c>
      <c r="G250">
        <v>19295800</v>
      </c>
      <c r="I250">
        <f t="shared" si="11"/>
        <v>1.1249294941541022E-3</v>
      </c>
      <c r="J250">
        <v>0</v>
      </c>
      <c r="K250">
        <f t="shared" si="9"/>
        <v>1.1249294941541022E-3</v>
      </c>
      <c r="L250">
        <f t="shared" si="10"/>
        <v>0.11249294941541021</v>
      </c>
      <c r="M250">
        <v>1.1499999999999999</v>
      </c>
    </row>
    <row r="251" spans="1:13" x14ac:dyDescent="0.2">
      <c r="A251" s="1">
        <v>44252</v>
      </c>
      <c r="B251">
        <v>53.09</v>
      </c>
      <c r="C251">
        <v>53.41</v>
      </c>
      <c r="D251">
        <v>51.950001</v>
      </c>
      <c r="E251">
        <v>52.240001999999997</v>
      </c>
      <c r="F251">
        <v>52.001682000000002</v>
      </c>
      <c r="G251">
        <v>22603700</v>
      </c>
      <c r="I251">
        <f t="shared" si="11"/>
        <v>-2.1722863013781294E-2</v>
      </c>
      <c r="J251">
        <v>0</v>
      </c>
      <c r="K251">
        <f t="shared" si="9"/>
        <v>-2.1722863013781294E-2</v>
      </c>
      <c r="L251">
        <f t="shared" si="10"/>
        <v>-2.1722863013781293</v>
      </c>
      <c r="M251">
        <v>-2.73</v>
      </c>
    </row>
    <row r="252" spans="1:13" x14ac:dyDescent="0.2">
      <c r="A252" s="1">
        <v>44253</v>
      </c>
      <c r="B252">
        <v>52.27</v>
      </c>
      <c r="C252">
        <v>53.459999000000003</v>
      </c>
      <c r="D252">
        <v>51.889999000000003</v>
      </c>
      <c r="E252">
        <v>52.720001000000003</v>
      </c>
      <c r="F252">
        <v>52.479492</v>
      </c>
      <c r="G252">
        <v>22780500</v>
      </c>
      <c r="I252">
        <f t="shared" si="11"/>
        <v>9.1883566381563975E-3</v>
      </c>
      <c r="J252">
        <v>0</v>
      </c>
      <c r="K252">
        <f t="shared" si="9"/>
        <v>9.1883566381563975E-3</v>
      </c>
      <c r="L252">
        <f t="shared" si="10"/>
        <v>0.91883566381563975</v>
      </c>
      <c r="M252">
        <v>-0.28000000000000003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Sheet1</vt:lpstr>
      <vt:lpstr>CMCSA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2021-04-29T13:51:32Z</dcterms:created>
  <dcterms:modified xsi:type="dcterms:W3CDTF">2021-04-29T16:01:23Z</dcterms:modified>
</cp:coreProperties>
</file>