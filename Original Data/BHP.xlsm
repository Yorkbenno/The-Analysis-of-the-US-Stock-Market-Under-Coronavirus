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xiaohongyu/Desktop/"/>
    </mc:Choice>
  </mc:AlternateContent>
  <xr:revisionPtr revIDLastSave="0" documentId="8_{A7AE3557-9F3E-B848-9D34-8743EAEC1DA6}" xr6:coauthVersionLast="46" xr6:coauthVersionMax="46" xr10:uidLastSave="{00000000-0000-0000-0000-000000000000}"/>
  <bookViews>
    <workbookView xWindow="1180" yWindow="1460" windowWidth="27240" windowHeight="15320"/>
  </bookViews>
  <sheets>
    <sheet name="BHP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52" i="1" l="1"/>
  <c r="K252" i="1" s="1"/>
  <c r="L252" i="1" s="1"/>
  <c r="I251" i="1"/>
  <c r="K251" i="1" s="1"/>
  <c r="L251" i="1" s="1"/>
  <c r="I250" i="1"/>
  <c r="K250" i="1" s="1"/>
  <c r="L250" i="1" s="1"/>
  <c r="I249" i="1"/>
  <c r="K249" i="1" s="1"/>
  <c r="L249" i="1" s="1"/>
  <c r="I248" i="1"/>
  <c r="K248" i="1" s="1"/>
  <c r="L248" i="1" s="1"/>
  <c r="I247" i="1"/>
  <c r="K247" i="1" s="1"/>
  <c r="L247" i="1" s="1"/>
  <c r="I246" i="1"/>
  <c r="K246" i="1" s="1"/>
  <c r="L246" i="1" s="1"/>
  <c r="I245" i="1"/>
  <c r="K245" i="1" s="1"/>
  <c r="L245" i="1" s="1"/>
  <c r="I244" i="1"/>
  <c r="K244" i="1" s="1"/>
  <c r="L244" i="1" s="1"/>
  <c r="I243" i="1"/>
  <c r="K243" i="1" s="1"/>
  <c r="L243" i="1" s="1"/>
  <c r="I242" i="1"/>
  <c r="K242" i="1" s="1"/>
  <c r="L242" i="1" s="1"/>
  <c r="I241" i="1"/>
  <c r="K241" i="1" s="1"/>
  <c r="L241" i="1" s="1"/>
  <c r="I240" i="1"/>
  <c r="K240" i="1" s="1"/>
  <c r="L240" i="1" s="1"/>
  <c r="I239" i="1"/>
  <c r="K239" i="1" s="1"/>
  <c r="L239" i="1" s="1"/>
  <c r="I238" i="1"/>
  <c r="K238" i="1" s="1"/>
  <c r="L238" i="1" s="1"/>
  <c r="I237" i="1"/>
  <c r="K237" i="1" s="1"/>
  <c r="L237" i="1" s="1"/>
  <c r="I236" i="1"/>
  <c r="K236" i="1" s="1"/>
  <c r="L236" i="1" s="1"/>
  <c r="I235" i="1"/>
  <c r="K235" i="1" s="1"/>
  <c r="L235" i="1" s="1"/>
  <c r="I234" i="1"/>
  <c r="K234" i="1" s="1"/>
  <c r="L234" i="1" s="1"/>
  <c r="I233" i="1"/>
  <c r="K233" i="1" s="1"/>
  <c r="L233" i="1" s="1"/>
  <c r="I232" i="1"/>
  <c r="K232" i="1" s="1"/>
  <c r="L232" i="1" s="1"/>
  <c r="I231" i="1"/>
  <c r="K231" i="1" s="1"/>
  <c r="L231" i="1" s="1"/>
  <c r="I230" i="1"/>
  <c r="K230" i="1" s="1"/>
  <c r="L230" i="1" s="1"/>
  <c r="I229" i="1"/>
  <c r="K229" i="1" s="1"/>
  <c r="L229" i="1" s="1"/>
  <c r="I228" i="1"/>
  <c r="K228" i="1" s="1"/>
  <c r="L228" i="1" s="1"/>
  <c r="I227" i="1"/>
  <c r="K227" i="1" s="1"/>
  <c r="L227" i="1" s="1"/>
  <c r="K226" i="1"/>
  <c r="L226" i="1" s="1"/>
  <c r="I226" i="1"/>
  <c r="I225" i="1"/>
  <c r="K225" i="1" s="1"/>
  <c r="L225" i="1" s="1"/>
  <c r="I224" i="1"/>
  <c r="K224" i="1" s="1"/>
  <c r="L224" i="1" s="1"/>
  <c r="I223" i="1"/>
  <c r="K223" i="1" s="1"/>
  <c r="L223" i="1" s="1"/>
  <c r="I222" i="1"/>
  <c r="K222" i="1" s="1"/>
  <c r="L222" i="1" s="1"/>
  <c r="I221" i="1"/>
  <c r="K221" i="1" s="1"/>
  <c r="L221" i="1" s="1"/>
  <c r="I220" i="1"/>
  <c r="K220" i="1" s="1"/>
  <c r="L220" i="1" s="1"/>
  <c r="I219" i="1"/>
  <c r="K219" i="1" s="1"/>
  <c r="L219" i="1" s="1"/>
  <c r="I218" i="1"/>
  <c r="K218" i="1" s="1"/>
  <c r="L218" i="1" s="1"/>
  <c r="I217" i="1"/>
  <c r="K217" i="1" s="1"/>
  <c r="L217" i="1" s="1"/>
  <c r="I216" i="1"/>
  <c r="K216" i="1" s="1"/>
  <c r="L216" i="1" s="1"/>
  <c r="I215" i="1"/>
  <c r="K215" i="1" s="1"/>
  <c r="L215" i="1" s="1"/>
  <c r="I214" i="1"/>
  <c r="K214" i="1" s="1"/>
  <c r="L214" i="1" s="1"/>
  <c r="I213" i="1"/>
  <c r="K213" i="1" s="1"/>
  <c r="L213" i="1" s="1"/>
  <c r="I212" i="1"/>
  <c r="K212" i="1" s="1"/>
  <c r="L212" i="1" s="1"/>
  <c r="I211" i="1"/>
  <c r="K211" i="1" s="1"/>
  <c r="L211" i="1" s="1"/>
  <c r="I210" i="1"/>
  <c r="K210" i="1" s="1"/>
  <c r="L210" i="1" s="1"/>
  <c r="I209" i="1"/>
  <c r="K209" i="1" s="1"/>
  <c r="L209" i="1" s="1"/>
  <c r="I208" i="1"/>
  <c r="K208" i="1" s="1"/>
  <c r="L208" i="1" s="1"/>
  <c r="I207" i="1"/>
  <c r="K207" i="1" s="1"/>
  <c r="L207" i="1" s="1"/>
  <c r="I206" i="1"/>
  <c r="K206" i="1" s="1"/>
  <c r="L206" i="1" s="1"/>
  <c r="I205" i="1"/>
  <c r="K205" i="1" s="1"/>
  <c r="L205" i="1" s="1"/>
  <c r="I204" i="1"/>
  <c r="K204" i="1" s="1"/>
  <c r="L204" i="1" s="1"/>
  <c r="I203" i="1"/>
  <c r="K203" i="1" s="1"/>
  <c r="L203" i="1" s="1"/>
  <c r="I202" i="1"/>
  <c r="K202" i="1" s="1"/>
  <c r="L202" i="1" s="1"/>
  <c r="I201" i="1"/>
  <c r="K201" i="1" s="1"/>
  <c r="L201" i="1" s="1"/>
  <c r="I200" i="1"/>
  <c r="K200" i="1" s="1"/>
  <c r="L200" i="1" s="1"/>
  <c r="I199" i="1"/>
  <c r="K199" i="1" s="1"/>
  <c r="L199" i="1" s="1"/>
  <c r="I198" i="1"/>
  <c r="K198" i="1" s="1"/>
  <c r="L198" i="1" s="1"/>
  <c r="I197" i="1"/>
  <c r="K197" i="1" s="1"/>
  <c r="L197" i="1" s="1"/>
  <c r="I196" i="1"/>
  <c r="K196" i="1" s="1"/>
  <c r="L196" i="1" s="1"/>
  <c r="I195" i="1"/>
  <c r="K195" i="1" s="1"/>
  <c r="L195" i="1" s="1"/>
  <c r="I194" i="1"/>
  <c r="K194" i="1" s="1"/>
  <c r="L194" i="1" s="1"/>
  <c r="I193" i="1"/>
  <c r="K193" i="1" s="1"/>
  <c r="L193" i="1" s="1"/>
  <c r="I192" i="1"/>
  <c r="K192" i="1" s="1"/>
  <c r="L192" i="1" s="1"/>
  <c r="I191" i="1"/>
  <c r="K191" i="1" s="1"/>
  <c r="L191" i="1" s="1"/>
  <c r="I190" i="1"/>
  <c r="K190" i="1" s="1"/>
  <c r="L190" i="1" s="1"/>
  <c r="I189" i="1"/>
  <c r="K189" i="1" s="1"/>
  <c r="L189" i="1" s="1"/>
  <c r="I188" i="1"/>
  <c r="K188" i="1" s="1"/>
  <c r="L188" i="1" s="1"/>
  <c r="I187" i="1"/>
  <c r="K187" i="1" s="1"/>
  <c r="L187" i="1" s="1"/>
  <c r="I186" i="1"/>
  <c r="K186" i="1" s="1"/>
  <c r="L186" i="1" s="1"/>
  <c r="I185" i="1"/>
  <c r="K185" i="1" s="1"/>
  <c r="L185" i="1" s="1"/>
  <c r="I184" i="1"/>
  <c r="K184" i="1" s="1"/>
  <c r="L184" i="1" s="1"/>
  <c r="I183" i="1"/>
  <c r="K183" i="1" s="1"/>
  <c r="L183" i="1" s="1"/>
  <c r="I182" i="1"/>
  <c r="K182" i="1" s="1"/>
  <c r="L182" i="1" s="1"/>
  <c r="I181" i="1"/>
  <c r="K181" i="1" s="1"/>
  <c r="L181" i="1" s="1"/>
  <c r="I180" i="1"/>
  <c r="K180" i="1" s="1"/>
  <c r="L180" i="1" s="1"/>
  <c r="I179" i="1"/>
  <c r="K179" i="1" s="1"/>
  <c r="L179" i="1" s="1"/>
  <c r="I178" i="1"/>
  <c r="K178" i="1" s="1"/>
  <c r="L178" i="1" s="1"/>
  <c r="I177" i="1"/>
  <c r="K177" i="1" s="1"/>
  <c r="L177" i="1" s="1"/>
  <c r="I176" i="1"/>
  <c r="K176" i="1" s="1"/>
  <c r="L176" i="1" s="1"/>
  <c r="I175" i="1"/>
  <c r="K175" i="1" s="1"/>
  <c r="L175" i="1" s="1"/>
  <c r="I174" i="1"/>
  <c r="K174" i="1" s="1"/>
  <c r="L174" i="1" s="1"/>
  <c r="I173" i="1"/>
  <c r="K173" i="1" s="1"/>
  <c r="L173" i="1" s="1"/>
  <c r="I172" i="1"/>
  <c r="K172" i="1" s="1"/>
  <c r="L172" i="1" s="1"/>
  <c r="I171" i="1"/>
  <c r="K171" i="1" s="1"/>
  <c r="L171" i="1" s="1"/>
  <c r="I170" i="1"/>
  <c r="K170" i="1" s="1"/>
  <c r="L170" i="1" s="1"/>
  <c r="I169" i="1"/>
  <c r="K169" i="1" s="1"/>
  <c r="L169" i="1" s="1"/>
  <c r="I168" i="1"/>
  <c r="K168" i="1" s="1"/>
  <c r="L168" i="1" s="1"/>
  <c r="I167" i="1"/>
  <c r="K167" i="1" s="1"/>
  <c r="L167" i="1" s="1"/>
  <c r="I166" i="1"/>
  <c r="K166" i="1" s="1"/>
  <c r="L166" i="1" s="1"/>
  <c r="I165" i="1"/>
  <c r="K165" i="1" s="1"/>
  <c r="L165" i="1" s="1"/>
  <c r="I164" i="1"/>
  <c r="K164" i="1" s="1"/>
  <c r="L164" i="1" s="1"/>
  <c r="I163" i="1"/>
  <c r="K163" i="1" s="1"/>
  <c r="L163" i="1" s="1"/>
  <c r="I162" i="1"/>
  <c r="K162" i="1" s="1"/>
  <c r="L162" i="1" s="1"/>
  <c r="I161" i="1"/>
  <c r="K161" i="1" s="1"/>
  <c r="L161" i="1" s="1"/>
  <c r="I160" i="1"/>
  <c r="K160" i="1" s="1"/>
  <c r="L160" i="1" s="1"/>
  <c r="I159" i="1"/>
  <c r="K159" i="1" s="1"/>
  <c r="L159" i="1" s="1"/>
  <c r="I158" i="1"/>
  <c r="K158" i="1" s="1"/>
  <c r="L158" i="1" s="1"/>
  <c r="I157" i="1"/>
  <c r="K157" i="1" s="1"/>
  <c r="L157" i="1" s="1"/>
  <c r="I156" i="1"/>
  <c r="K156" i="1" s="1"/>
  <c r="L156" i="1" s="1"/>
  <c r="I155" i="1"/>
  <c r="K155" i="1" s="1"/>
  <c r="L155" i="1" s="1"/>
  <c r="I154" i="1"/>
  <c r="K154" i="1" s="1"/>
  <c r="L154" i="1" s="1"/>
  <c r="I153" i="1"/>
  <c r="K153" i="1" s="1"/>
  <c r="L153" i="1" s="1"/>
  <c r="I152" i="1"/>
  <c r="K152" i="1" s="1"/>
  <c r="L152" i="1" s="1"/>
  <c r="I151" i="1"/>
  <c r="K151" i="1" s="1"/>
  <c r="L151" i="1" s="1"/>
  <c r="I150" i="1"/>
  <c r="K150" i="1" s="1"/>
  <c r="L150" i="1" s="1"/>
  <c r="I149" i="1"/>
  <c r="K149" i="1" s="1"/>
  <c r="L149" i="1" s="1"/>
  <c r="I148" i="1"/>
  <c r="K148" i="1" s="1"/>
  <c r="L148" i="1" s="1"/>
  <c r="I147" i="1"/>
  <c r="K147" i="1" s="1"/>
  <c r="L147" i="1" s="1"/>
  <c r="I146" i="1"/>
  <c r="K146" i="1" s="1"/>
  <c r="L146" i="1" s="1"/>
  <c r="I145" i="1"/>
  <c r="K145" i="1" s="1"/>
  <c r="L145" i="1" s="1"/>
  <c r="I144" i="1"/>
  <c r="K144" i="1" s="1"/>
  <c r="L144" i="1" s="1"/>
  <c r="I143" i="1"/>
  <c r="K143" i="1" s="1"/>
  <c r="L143" i="1" s="1"/>
  <c r="I142" i="1"/>
  <c r="K142" i="1" s="1"/>
  <c r="L142" i="1" s="1"/>
  <c r="I141" i="1"/>
  <c r="K141" i="1" s="1"/>
  <c r="L141" i="1" s="1"/>
  <c r="I140" i="1"/>
  <c r="K140" i="1" s="1"/>
  <c r="L140" i="1" s="1"/>
  <c r="I139" i="1"/>
  <c r="K139" i="1" s="1"/>
  <c r="L139" i="1" s="1"/>
  <c r="I138" i="1"/>
  <c r="K138" i="1" s="1"/>
  <c r="L138" i="1" s="1"/>
  <c r="I137" i="1"/>
  <c r="K137" i="1" s="1"/>
  <c r="L137" i="1" s="1"/>
  <c r="I136" i="1"/>
  <c r="K136" i="1" s="1"/>
  <c r="L136" i="1" s="1"/>
  <c r="I135" i="1"/>
  <c r="K135" i="1" s="1"/>
  <c r="L135" i="1" s="1"/>
  <c r="I134" i="1"/>
  <c r="K134" i="1" s="1"/>
  <c r="L134" i="1" s="1"/>
  <c r="I133" i="1"/>
  <c r="K133" i="1" s="1"/>
  <c r="L133" i="1" s="1"/>
  <c r="I132" i="1"/>
  <c r="K132" i="1" s="1"/>
  <c r="L132" i="1" s="1"/>
  <c r="I131" i="1"/>
  <c r="K131" i="1" s="1"/>
  <c r="L131" i="1" s="1"/>
  <c r="I130" i="1"/>
  <c r="K130" i="1" s="1"/>
  <c r="L130" i="1" s="1"/>
  <c r="I129" i="1"/>
  <c r="K129" i="1" s="1"/>
  <c r="L129" i="1" s="1"/>
  <c r="I128" i="1"/>
  <c r="K128" i="1" s="1"/>
  <c r="L128" i="1" s="1"/>
  <c r="I127" i="1"/>
  <c r="K127" i="1" s="1"/>
  <c r="L127" i="1" s="1"/>
  <c r="I126" i="1"/>
  <c r="K126" i="1" s="1"/>
  <c r="L126" i="1" s="1"/>
  <c r="I125" i="1"/>
  <c r="K125" i="1" s="1"/>
  <c r="L125" i="1" s="1"/>
  <c r="I124" i="1"/>
  <c r="K124" i="1" s="1"/>
  <c r="L124" i="1" s="1"/>
  <c r="I123" i="1"/>
  <c r="K123" i="1" s="1"/>
  <c r="L123" i="1" s="1"/>
  <c r="I122" i="1"/>
  <c r="K122" i="1" s="1"/>
  <c r="L122" i="1" s="1"/>
  <c r="I121" i="1"/>
  <c r="K121" i="1" s="1"/>
  <c r="L121" i="1" s="1"/>
  <c r="I120" i="1"/>
  <c r="K120" i="1" s="1"/>
  <c r="L120" i="1" s="1"/>
  <c r="I119" i="1"/>
  <c r="K119" i="1" s="1"/>
  <c r="L119" i="1" s="1"/>
  <c r="I118" i="1"/>
  <c r="K118" i="1" s="1"/>
  <c r="L118" i="1" s="1"/>
  <c r="I117" i="1"/>
  <c r="K117" i="1" s="1"/>
  <c r="L117" i="1" s="1"/>
  <c r="I116" i="1"/>
  <c r="K116" i="1" s="1"/>
  <c r="L116" i="1" s="1"/>
  <c r="I115" i="1"/>
  <c r="K115" i="1" s="1"/>
  <c r="L115" i="1" s="1"/>
  <c r="I114" i="1"/>
  <c r="K114" i="1" s="1"/>
  <c r="L114" i="1" s="1"/>
  <c r="I113" i="1"/>
  <c r="K113" i="1" s="1"/>
  <c r="L113" i="1" s="1"/>
  <c r="I112" i="1"/>
  <c r="K112" i="1" s="1"/>
  <c r="L112" i="1" s="1"/>
  <c r="I111" i="1"/>
  <c r="K111" i="1" s="1"/>
  <c r="L111" i="1" s="1"/>
  <c r="I110" i="1"/>
  <c r="K110" i="1" s="1"/>
  <c r="L110" i="1" s="1"/>
  <c r="I109" i="1"/>
  <c r="K109" i="1" s="1"/>
  <c r="L109" i="1" s="1"/>
  <c r="I108" i="1"/>
  <c r="K108" i="1" s="1"/>
  <c r="L108" i="1" s="1"/>
  <c r="I107" i="1"/>
  <c r="K107" i="1" s="1"/>
  <c r="L107" i="1" s="1"/>
  <c r="K106" i="1"/>
  <c r="L106" i="1" s="1"/>
  <c r="I106" i="1"/>
  <c r="I105" i="1"/>
  <c r="K105" i="1" s="1"/>
  <c r="L105" i="1" s="1"/>
  <c r="I104" i="1"/>
  <c r="K104" i="1" s="1"/>
  <c r="L104" i="1" s="1"/>
  <c r="I103" i="1"/>
  <c r="K103" i="1" s="1"/>
  <c r="L103" i="1" s="1"/>
  <c r="I102" i="1"/>
  <c r="K102" i="1" s="1"/>
  <c r="L102" i="1" s="1"/>
  <c r="I101" i="1"/>
  <c r="K101" i="1" s="1"/>
  <c r="L101" i="1" s="1"/>
  <c r="I100" i="1"/>
  <c r="K100" i="1" s="1"/>
  <c r="L100" i="1" s="1"/>
  <c r="I99" i="1"/>
  <c r="K99" i="1" s="1"/>
  <c r="L99" i="1" s="1"/>
  <c r="I98" i="1"/>
  <c r="K98" i="1" s="1"/>
  <c r="L98" i="1" s="1"/>
  <c r="I97" i="1"/>
  <c r="K97" i="1" s="1"/>
  <c r="L97" i="1" s="1"/>
  <c r="I96" i="1"/>
  <c r="K96" i="1" s="1"/>
  <c r="L96" i="1" s="1"/>
  <c r="I95" i="1"/>
  <c r="K95" i="1" s="1"/>
  <c r="L95" i="1" s="1"/>
  <c r="I94" i="1"/>
  <c r="K94" i="1" s="1"/>
  <c r="L94" i="1" s="1"/>
  <c r="I93" i="1"/>
  <c r="K93" i="1" s="1"/>
  <c r="L93" i="1" s="1"/>
  <c r="I92" i="1"/>
  <c r="K92" i="1" s="1"/>
  <c r="L92" i="1" s="1"/>
  <c r="I91" i="1"/>
  <c r="K91" i="1" s="1"/>
  <c r="L91" i="1" s="1"/>
  <c r="I90" i="1"/>
  <c r="K90" i="1" s="1"/>
  <c r="L90" i="1" s="1"/>
  <c r="I89" i="1"/>
  <c r="K89" i="1" s="1"/>
  <c r="L89" i="1" s="1"/>
  <c r="I88" i="1"/>
  <c r="K88" i="1" s="1"/>
  <c r="L88" i="1" s="1"/>
  <c r="I87" i="1"/>
  <c r="K87" i="1" s="1"/>
  <c r="L87" i="1" s="1"/>
  <c r="I86" i="1"/>
  <c r="K86" i="1" s="1"/>
  <c r="L86" i="1" s="1"/>
  <c r="I85" i="1"/>
  <c r="K85" i="1" s="1"/>
  <c r="L85" i="1" s="1"/>
  <c r="I84" i="1"/>
  <c r="K84" i="1" s="1"/>
  <c r="L84" i="1" s="1"/>
  <c r="I83" i="1"/>
  <c r="K83" i="1" s="1"/>
  <c r="L83" i="1" s="1"/>
  <c r="I82" i="1"/>
  <c r="K82" i="1" s="1"/>
  <c r="L82" i="1" s="1"/>
  <c r="I81" i="1"/>
  <c r="K81" i="1" s="1"/>
  <c r="L81" i="1" s="1"/>
  <c r="I80" i="1"/>
  <c r="K80" i="1" s="1"/>
  <c r="L80" i="1" s="1"/>
  <c r="I79" i="1"/>
  <c r="K79" i="1" s="1"/>
  <c r="L79" i="1" s="1"/>
  <c r="I78" i="1"/>
  <c r="K78" i="1" s="1"/>
  <c r="L78" i="1" s="1"/>
  <c r="I77" i="1"/>
  <c r="K77" i="1" s="1"/>
  <c r="L77" i="1" s="1"/>
  <c r="I76" i="1"/>
  <c r="K76" i="1" s="1"/>
  <c r="L76" i="1" s="1"/>
  <c r="I75" i="1"/>
  <c r="K75" i="1" s="1"/>
  <c r="L75" i="1" s="1"/>
  <c r="I74" i="1"/>
  <c r="K74" i="1" s="1"/>
  <c r="L74" i="1" s="1"/>
  <c r="I73" i="1"/>
  <c r="K73" i="1" s="1"/>
  <c r="L73" i="1" s="1"/>
  <c r="I72" i="1"/>
  <c r="K72" i="1" s="1"/>
  <c r="L72" i="1" s="1"/>
  <c r="I71" i="1"/>
  <c r="K71" i="1" s="1"/>
  <c r="L71" i="1" s="1"/>
  <c r="I70" i="1"/>
  <c r="K70" i="1" s="1"/>
  <c r="L70" i="1" s="1"/>
  <c r="I69" i="1"/>
  <c r="K69" i="1" s="1"/>
  <c r="L69" i="1" s="1"/>
  <c r="I68" i="1"/>
  <c r="K68" i="1" s="1"/>
  <c r="L68" i="1" s="1"/>
  <c r="I67" i="1"/>
  <c r="K67" i="1" s="1"/>
  <c r="L67" i="1" s="1"/>
  <c r="I66" i="1"/>
  <c r="K66" i="1" s="1"/>
  <c r="L66" i="1" s="1"/>
  <c r="I65" i="1"/>
  <c r="K65" i="1" s="1"/>
  <c r="L65" i="1" s="1"/>
  <c r="I64" i="1"/>
  <c r="K64" i="1" s="1"/>
  <c r="L64" i="1" s="1"/>
  <c r="I63" i="1"/>
  <c r="K63" i="1" s="1"/>
  <c r="L63" i="1" s="1"/>
  <c r="I62" i="1"/>
  <c r="K62" i="1" s="1"/>
  <c r="L62" i="1" s="1"/>
  <c r="I61" i="1"/>
  <c r="K61" i="1" s="1"/>
  <c r="L61" i="1" s="1"/>
  <c r="I60" i="1"/>
  <c r="K60" i="1" s="1"/>
  <c r="L60" i="1" s="1"/>
  <c r="I59" i="1"/>
  <c r="K59" i="1" s="1"/>
  <c r="L59" i="1" s="1"/>
  <c r="I58" i="1"/>
  <c r="K58" i="1" s="1"/>
  <c r="L58" i="1" s="1"/>
  <c r="I57" i="1"/>
  <c r="K57" i="1" s="1"/>
  <c r="L57" i="1" s="1"/>
  <c r="I56" i="1"/>
  <c r="K56" i="1" s="1"/>
  <c r="L56" i="1" s="1"/>
  <c r="I55" i="1"/>
  <c r="K55" i="1" s="1"/>
  <c r="L55" i="1" s="1"/>
  <c r="I54" i="1"/>
  <c r="K54" i="1" s="1"/>
  <c r="L54" i="1" s="1"/>
  <c r="I53" i="1"/>
  <c r="K53" i="1" s="1"/>
  <c r="L53" i="1" s="1"/>
  <c r="I52" i="1"/>
  <c r="K52" i="1" s="1"/>
  <c r="L52" i="1" s="1"/>
  <c r="I51" i="1"/>
  <c r="K51" i="1" s="1"/>
  <c r="L51" i="1" s="1"/>
  <c r="I50" i="1"/>
  <c r="K50" i="1" s="1"/>
  <c r="L50" i="1" s="1"/>
  <c r="I49" i="1"/>
  <c r="K49" i="1" s="1"/>
  <c r="L49" i="1" s="1"/>
  <c r="I48" i="1"/>
  <c r="K48" i="1" s="1"/>
  <c r="L48" i="1" s="1"/>
  <c r="I47" i="1"/>
  <c r="K47" i="1" s="1"/>
  <c r="L47" i="1" s="1"/>
  <c r="I46" i="1"/>
  <c r="K46" i="1" s="1"/>
  <c r="L46" i="1" s="1"/>
  <c r="I45" i="1"/>
  <c r="K45" i="1" s="1"/>
  <c r="L45" i="1" s="1"/>
  <c r="I44" i="1"/>
  <c r="K44" i="1" s="1"/>
  <c r="L44" i="1" s="1"/>
  <c r="I43" i="1"/>
  <c r="K43" i="1" s="1"/>
  <c r="L43" i="1" s="1"/>
  <c r="I42" i="1"/>
  <c r="K42" i="1" s="1"/>
  <c r="L42" i="1" s="1"/>
  <c r="I41" i="1"/>
  <c r="K41" i="1" s="1"/>
  <c r="L41" i="1" s="1"/>
  <c r="I40" i="1"/>
  <c r="K40" i="1" s="1"/>
  <c r="L40" i="1" s="1"/>
  <c r="I39" i="1"/>
  <c r="K39" i="1" s="1"/>
  <c r="L39" i="1" s="1"/>
  <c r="I38" i="1"/>
  <c r="K38" i="1" s="1"/>
  <c r="L38" i="1" s="1"/>
  <c r="I37" i="1"/>
  <c r="K37" i="1" s="1"/>
  <c r="L37" i="1" s="1"/>
  <c r="I36" i="1"/>
  <c r="K36" i="1" s="1"/>
  <c r="L36" i="1" s="1"/>
  <c r="I35" i="1"/>
  <c r="K35" i="1" s="1"/>
  <c r="L35" i="1" s="1"/>
  <c r="I34" i="1"/>
  <c r="K34" i="1" s="1"/>
  <c r="L34" i="1" s="1"/>
  <c r="I33" i="1"/>
  <c r="K33" i="1" s="1"/>
  <c r="L33" i="1" s="1"/>
  <c r="I32" i="1"/>
  <c r="K32" i="1" s="1"/>
  <c r="L32" i="1" s="1"/>
  <c r="I31" i="1"/>
  <c r="K31" i="1" s="1"/>
  <c r="L31" i="1" s="1"/>
  <c r="I30" i="1"/>
  <c r="K30" i="1" s="1"/>
  <c r="L30" i="1" s="1"/>
  <c r="I29" i="1"/>
  <c r="K29" i="1" s="1"/>
  <c r="L29" i="1" s="1"/>
  <c r="I28" i="1"/>
  <c r="K28" i="1" s="1"/>
  <c r="L28" i="1" s="1"/>
  <c r="I27" i="1"/>
  <c r="K27" i="1" s="1"/>
  <c r="L27" i="1" s="1"/>
  <c r="I26" i="1"/>
  <c r="K26" i="1" s="1"/>
  <c r="L26" i="1" s="1"/>
  <c r="I25" i="1"/>
  <c r="K25" i="1" s="1"/>
  <c r="L25" i="1" s="1"/>
  <c r="I24" i="1"/>
  <c r="K24" i="1" s="1"/>
  <c r="L24" i="1" s="1"/>
  <c r="I23" i="1"/>
  <c r="K23" i="1" s="1"/>
  <c r="L23" i="1" s="1"/>
  <c r="I22" i="1"/>
  <c r="K22" i="1" s="1"/>
  <c r="L22" i="1" s="1"/>
  <c r="I21" i="1"/>
  <c r="K21" i="1" s="1"/>
  <c r="L21" i="1" s="1"/>
  <c r="I20" i="1"/>
  <c r="K20" i="1" s="1"/>
  <c r="L20" i="1" s="1"/>
  <c r="I19" i="1"/>
  <c r="K19" i="1" s="1"/>
  <c r="L19" i="1" s="1"/>
  <c r="I18" i="1"/>
  <c r="K18" i="1" s="1"/>
  <c r="L18" i="1" s="1"/>
  <c r="I17" i="1"/>
  <c r="K17" i="1" s="1"/>
  <c r="L17" i="1" s="1"/>
  <c r="I16" i="1"/>
  <c r="K16" i="1" s="1"/>
  <c r="L16" i="1" s="1"/>
  <c r="I15" i="1"/>
  <c r="K15" i="1" s="1"/>
  <c r="L15" i="1" s="1"/>
  <c r="I14" i="1"/>
  <c r="K14" i="1" s="1"/>
  <c r="L14" i="1" s="1"/>
  <c r="I13" i="1"/>
  <c r="K13" i="1" s="1"/>
  <c r="L13" i="1" s="1"/>
  <c r="I12" i="1"/>
  <c r="K12" i="1" s="1"/>
  <c r="L12" i="1" s="1"/>
  <c r="I11" i="1"/>
  <c r="K11" i="1" s="1"/>
  <c r="L11" i="1" s="1"/>
  <c r="I10" i="1"/>
  <c r="K10" i="1" s="1"/>
  <c r="L10" i="1" s="1"/>
  <c r="I9" i="1"/>
  <c r="K9" i="1" s="1"/>
  <c r="L9" i="1" s="1"/>
  <c r="I8" i="1"/>
  <c r="K8" i="1" s="1"/>
  <c r="L8" i="1" s="1"/>
  <c r="I7" i="1"/>
  <c r="K7" i="1" s="1"/>
  <c r="L7" i="1" s="1"/>
  <c r="I6" i="1"/>
  <c r="K6" i="1" s="1"/>
  <c r="L6" i="1" s="1"/>
  <c r="I5" i="1"/>
  <c r="K5" i="1" s="1"/>
  <c r="L5" i="1" s="1"/>
  <c r="I4" i="1"/>
  <c r="K4" i="1" s="1"/>
  <c r="L4" i="1" s="1"/>
  <c r="I3" i="1"/>
  <c r="K3" i="1" s="1"/>
  <c r="L3" i="1" s="1"/>
</calcChain>
</file>

<file path=xl/sharedStrings.xml><?xml version="1.0" encoding="utf-8"?>
<sst xmlns="http://schemas.openxmlformats.org/spreadsheetml/2006/main" count="12" uniqueCount="12">
  <si>
    <t>Date</t>
  </si>
  <si>
    <t>Open</t>
  </si>
  <si>
    <t>High</t>
  </si>
  <si>
    <t>Low</t>
  </si>
  <si>
    <t>Close</t>
  </si>
  <si>
    <t>Adj Close</t>
  </si>
  <si>
    <t>Volume</t>
  </si>
  <si>
    <t>Daily Return</t>
  </si>
  <si>
    <t>RF rate</t>
  </si>
  <si>
    <t>Mkt-RF</t>
  </si>
  <si>
    <t>Excess Return for BHP</t>
  </si>
  <si>
    <t xml:space="preserve">BHP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</si>
</sst>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52"/>
  <sheetViews>
    <sheetView tabSelected="1" workbookViewId="0">
      <selection activeCell="N6" sqref="N6"/>
    </sheetView>
  </sheetViews>
  <sheetFormatPr baseColWidth="10" defaultRowHeight="16" x14ac:dyDescent="0.2"/>
  <cols>
    <col min="9" max="9" width="13.33203125" bestFit="1" customWidth="1"/>
    <col min="10" max="10" width="11.83203125" customWidth="1"/>
    <col min="11" max="11" width="20.1640625" bestFit="1" customWidth="1"/>
    <col min="12" max="12" width="13.332031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t="s">
        <v>7</v>
      </c>
      <c r="J1" t="s">
        <v>8</v>
      </c>
      <c r="K1" t="s">
        <v>10</v>
      </c>
      <c r="L1" t="s">
        <v>11</v>
      </c>
      <c r="M1" t="s">
        <v>9</v>
      </c>
    </row>
    <row r="2" spans="1:13" x14ac:dyDescent="0.2">
      <c r="A2" s="1">
        <v>43892</v>
      </c>
      <c r="B2">
        <v>43.41</v>
      </c>
      <c r="C2">
        <v>44.32</v>
      </c>
      <c r="D2">
        <v>42.959999000000003</v>
      </c>
      <c r="E2">
        <v>44.25</v>
      </c>
      <c r="F2">
        <v>42.154625000000003</v>
      </c>
      <c r="G2">
        <v>4770600</v>
      </c>
      <c r="J2">
        <v>6.0000000000000001E-3</v>
      </c>
      <c r="M2">
        <v>4.3099999999999996</v>
      </c>
    </row>
    <row r="3" spans="1:13" x14ac:dyDescent="0.2">
      <c r="A3" s="1">
        <v>43893</v>
      </c>
      <c r="B3">
        <v>44.91</v>
      </c>
      <c r="C3">
        <v>45.439999</v>
      </c>
      <c r="D3">
        <v>43.720001000000003</v>
      </c>
      <c r="E3">
        <v>43.939999</v>
      </c>
      <c r="F3">
        <v>41.859302999999997</v>
      </c>
      <c r="G3">
        <v>5652000</v>
      </c>
      <c r="I3">
        <f>(F3-F2)/F2</f>
        <v>-7.0056844296445724E-3</v>
      </c>
      <c r="J3">
        <v>6.0000000000000001E-3</v>
      </c>
      <c r="K3">
        <f>I3-J3</f>
        <v>-1.3005684429644573E-2</v>
      </c>
      <c r="L3">
        <f>100*K3</f>
        <v>-1.3005684429644573</v>
      </c>
      <c r="M3">
        <v>-2.79</v>
      </c>
    </row>
    <row r="4" spans="1:13" x14ac:dyDescent="0.2">
      <c r="A4" s="1">
        <v>43894</v>
      </c>
      <c r="B4">
        <v>45.080002</v>
      </c>
      <c r="C4">
        <v>45.82</v>
      </c>
      <c r="D4">
        <v>44.759998000000003</v>
      </c>
      <c r="E4">
        <v>45.779998999999997</v>
      </c>
      <c r="F4">
        <v>43.612175000000001</v>
      </c>
      <c r="G4">
        <v>2785600</v>
      </c>
      <c r="I4">
        <f t="shared" ref="I4:I67" si="0">(F4-F3)/F3</f>
        <v>4.1875326973313524E-2</v>
      </c>
      <c r="J4">
        <v>6.0000000000000001E-3</v>
      </c>
      <c r="K4">
        <f t="shared" ref="K4:K67" si="1">I4-J4</f>
        <v>3.5875326973313526E-2</v>
      </c>
      <c r="L4">
        <f t="shared" ref="L4:L67" si="2">100*K4</f>
        <v>3.5875326973313526</v>
      </c>
      <c r="M4">
        <v>4.03</v>
      </c>
    </row>
    <row r="5" spans="1:13" x14ac:dyDescent="0.2">
      <c r="A5" s="1">
        <v>43895</v>
      </c>
      <c r="B5">
        <v>43.310001</v>
      </c>
      <c r="C5">
        <v>43.5</v>
      </c>
      <c r="D5">
        <v>42.75</v>
      </c>
      <c r="E5">
        <v>43.099997999999999</v>
      </c>
      <c r="F5">
        <v>42.259098000000002</v>
      </c>
      <c r="G5">
        <v>3400000</v>
      </c>
      <c r="I5">
        <f t="shared" si="0"/>
        <v>-3.1025212569655125E-2</v>
      </c>
      <c r="J5">
        <v>6.0000000000000001E-3</v>
      </c>
      <c r="K5">
        <f t="shared" si="1"/>
        <v>-3.7025212569655123E-2</v>
      </c>
      <c r="L5">
        <f t="shared" si="2"/>
        <v>-3.7025212569655124</v>
      </c>
      <c r="M5">
        <v>-3.38</v>
      </c>
    </row>
    <row r="6" spans="1:13" x14ac:dyDescent="0.2">
      <c r="A6" s="1">
        <v>43896</v>
      </c>
      <c r="B6">
        <v>41.639999000000003</v>
      </c>
      <c r="C6">
        <v>42.23</v>
      </c>
      <c r="D6">
        <v>41.099997999999999</v>
      </c>
      <c r="E6">
        <v>41.75</v>
      </c>
      <c r="F6">
        <v>40.93544</v>
      </c>
      <c r="G6">
        <v>3986500</v>
      </c>
      <c r="I6">
        <f t="shared" si="0"/>
        <v>-3.1322438543293134E-2</v>
      </c>
      <c r="J6">
        <v>6.0000000000000001E-3</v>
      </c>
      <c r="K6">
        <f t="shared" si="1"/>
        <v>-3.7322438543293132E-2</v>
      </c>
      <c r="L6">
        <f t="shared" si="2"/>
        <v>-3.732243854329313</v>
      </c>
      <c r="M6">
        <v>-1.78</v>
      </c>
    </row>
    <row r="7" spans="1:13" x14ac:dyDescent="0.2">
      <c r="A7" s="1">
        <v>43899</v>
      </c>
      <c r="B7">
        <v>35.139999000000003</v>
      </c>
      <c r="C7">
        <v>36.369999</v>
      </c>
      <c r="D7">
        <v>34.520000000000003</v>
      </c>
      <c r="E7">
        <v>34.869999</v>
      </c>
      <c r="F7">
        <v>34.189670999999997</v>
      </c>
      <c r="G7">
        <v>5827500</v>
      </c>
      <c r="I7">
        <f t="shared" si="0"/>
        <v>-0.16479043586681866</v>
      </c>
      <c r="J7">
        <v>6.0000000000000001E-3</v>
      </c>
      <c r="K7">
        <f t="shared" si="1"/>
        <v>-0.17079043586681866</v>
      </c>
      <c r="L7">
        <f t="shared" si="2"/>
        <v>-17.079043586681866</v>
      </c>
      <c r="M7">
        <v>-7.79</v>
      </c>
    </row>
    <row r="8" spans="1:13" x14ac:dyDescent="0.2">
      <c r="A8" s="1">
        <v>43900</v>
      </c>
      <c r="B8">
        <v>37.770000000000003</v>
      </c>
      <c r="C8">
        <v>37.810001</v>
      </c>
      <c r="D8">
        <v>36.349997999999999</v>
      </c>
      <c r="E8">
        <v>37.759998000000003</v>
      </c>
      <c r="F8">
        <v>37.023285000000001</v>
      </c>
      <c r="G8">
        <v>8259500</v>
      </c>
      <c r="I8">
        <f t="shared" si="0"/>
        <v>8.2879241511274113E-2</v>
      </c>
      <c r="J8">
        <v>6.0000000000000001E-3</v>
      </c>
      <c r="K8">
        <f t="shared" si="1"/>
        <v>7.6879241511274107E-2</v>
      </c>
      <c r="L8">
        <f t="shared" si="2"/>
        <v>7.6879241511274108</v>
      </c>
      <c r="M8">
        <v>4.74</v>
      </c>
    </row>
    <row r="9" spans="1:13" x14ac:dyDescent="0.2">
      <c r="A9" s="1">
        <v>43901</v>
      </c>
      <c r="B9">
        <v>36</v>
      </c>
      <c r="C9">
        <v>36.439999</v>
      </c>
      <c r="D9">
        <v>34.93</v>
      </c>
      <c r="E9">
        <v>35.450001</v>
      </c>
      <c r="F9">
        <v>34.758353999999997</v>
      </c>
      <c r="G9">
        <v>10381700</v>
      </c>
      <c r="I9">
        <f t="shared" si="0"/>
        <v>-6.1175851899689729E-2</v>
      </c>
      <c r="J9">
        <v>6.0000000000000001E-3</v>
      </c>
      <c r="K9">
        <f t="shared" si="1"/>
        <v>-6.7175851899689734E-2</v>
      </c>
      <c r="L9">
        <f t="shared" si="2"/>
        <v>-6.7175851899689736</v>
      </c>
      <c r="M9">
        <v>-5.05</v>
      </c>
    </row>
    <row r="10" spans="1:13" x14ac:dyDescent="0.2">
      <c r="A10" s="1">
        <v>43902</v>
      </c>
      <c r="B10">
        <v>31.629999000000002</v>
      </c>
      <c r="C10">
        <v>31.93</v>
      </c>
      <c r="D10">
        <v>29.780000999999999</v>
      </c>
      <c r="E10">
        <v>30.93</v>
      </c>
      <c r="F10">
        <v>30.326542</v>
      </c>
      <c r="G10">
        <v>9929000</v>
      </c>
      <c r="I10">
        <f t="shared" si="0"/>
        <v>-0.12750350606360697</v>
      </c>
      <c r="J10">
        <v>6.0000000000000001E-3</v>
      </c>
      <c r="K10">
        <f t="shared" si="1"/>
        <v>-0.13350350606360697</v>
      </c>
      <c r="L10">
        <f t="shared" si="2"/>
        <v>-13.350350606360697</v>
      </c>
      <c r="M10">
        <v>-9.6300000000000008</v>
      </c>
    </row>
    <row r="11" spans="1:13" x14ac:dyDescent="0.2">
      <c r="A11" s="1">
        <v>43903</v>
      </c>
      <c r="B11">
        <v>34.060001</v>
      </c>
      <c r="C11">
        <v>34.439999</v>
      </c>
      <c r="D11">
        <v>31.82</v>
      </c>
      <c r="E11">
        <v>34.290000999999997</v>
      </c>
      <c r="F11">
        <v>33.620987</v>
      </c>
      <c r="G11">
        <v>9947900</v>
      </c>
      <c r="I11">
        <f t="shared" si="0"/>
        <v>0.10863239864274667</v>
      </c>
      <c r="J11">
        <v>6.0000000000000001E-3</v>
      </c>
      <c r="K11">
        <f t="shared" si="1"/>
        <v>0.10263239864274666</v>
      </c>
      <c r="L11">
        <f t="shared" si="2"/>
        <v>10.263239864274667</v>
      </c>
      <c r="M11">
        <v>8.9600000000000009</v>
      </c>
    </row>
    <row r="12" spans="1:13" x14ac:dyDescent="0.2">
      <c r="A12" s="1">
        <v>43906</v>
      </c>
      <c r="B12">
        <v>30.77</v>
      </c>
      <c r="C12">
        <v>32.650002000000001</v>
      </c>
      <c r="D12">
        <v>30.16</v>
      </c>
      <c r="E12">
        <v>31.549999</v>
      </c>
      <c r="F12">
        <v>30.934443999999999</v>
      </c>
      <c r="G12">
        <v>9652200</v>
      </c>
      <c r="I12">
        <f t="shared" si="0"/>
        <v>-7.9906726117231486E-2</v>
      </c>
      <c r="J12">
        <v>6.0000000000000001E-3</v>
      </c>
      <c r="K12">
        <f t="shared" si="1"/>
        <v>-8.5906726117231491E-2</v>
      </c>
      <c r="L12">
        <f t="shared" si="2"/>
        <v>-8.59067261172315</v>
      </c>
      <c r="M12">
        <v>-12</v>
      </c>
    </row>
    <row r="13" spans="1:13" x14ac:dyDescent="0.2">
      <c r="A13" s="1">
        <v>43907</v>
      </c>
      <c r="B13">
        <v>32.990001999999997</v>
      </c>
      <c r="C13">
        <v>35.220001000000003</v>
      </c>
      <c r="D13">
        <v>32.68</v>
      </c>
      <c r="E13">
        <v>34.869999</v>
      </c>
      <c r="F13">
        <v>34.189670999999997</v>
      </c>
      <c r="G13">
        <v>7322100</v>
      </c>
      <c r="I13">
        <f t="shared" si="0"/>
        <v>0.10522985316949604</v>
      </c>
      <c r="J13">
        <v>6.0000000000000001E-3</v>
      </c>
      <c r="K13">
        <f t="shared" si="1"/>
        <v>9.9229853169496035E-2</v>
      </c>
      <c r="L13">
        <f t="shared" si="2"/>
        <v>9.9229853169496032</v>
      </c>
      <c r="M13">
        <v>5.87</v>
      </c>
    </row>
    <row r="14" spans="1:13" x14ac:dyDescent="0.2">
      <c r="A14" s="1">
        <v>43908</v>
      </c>
      <c r="B14">
        <v>31.9</v>
      </c>
      <c r="C14">
        <v>33.07</v>
      </c>
      <c r="D14">
        <v>30.059999000000001</v>
      </c>
      <c r="E14">
        <v>30.950001</v>
      </c>
      <c r="F14">
        <v>30.346153000000001</v>
      </c>
      <c r="G14">
        <v>6422000</v>
      </c>
      <c r="I14">
        <f t="shared" si="0"/>
        <v>-0.11241751931453205</v>
      </c>
      <c r="J14">
        <v>6.0000000000000001E-3</v>
      </c>
      <c r="K14">
        <f t="shared" si="1"/>
        <v>-0.11841751931453205</v>
      </c>
      <c r="L14">
        <f t="shared" si="2"/>
        <v>-11.841751931453205</v>
      </c>
      <c r="M14">
        <v>-5.56</v>
      </c>
    </row>
    <row r="15" spans="1:13" x14ac:dyDescent="0.2">
      <c r="A15" s="1">
        <v>43909</v>
      </c>
      <c r="B15">
        <v>31.459999</v>
      </c>
      <c r="C15">
        <v>33.049999</v>
      </c>
      <c r="D15">
        <v>30.58</v>
      </c>
      <c r="E15">
        <v>32.349997999999999</v>
      </c>
      <c r="F15">
        <v>31.718836</v>
      </c>
      <c r="G15">
        <v>6095300</v>
      </c>
      <c r="I15">
        <f t="shared" si="0"/>
        <v>4.5234168561662444E-2</v>
      </c>
      <c r="J15">
        <v>6.0000000000000001E-3</v>
      </c>
      <c r="K15">
        <f t="shared" si="1"/>
        <v>3.9234168561662446E-2</v>
      </c>
      <c r="L15">
        <f t="shared" si="2"/>
        <v>3.9234168561662446</v>
      </c>
      <c r="M15">
        <v>1.31</v>
      </c>
    </row>
    <row r="16" spans="1:13" x14ac:dyDescent="0.2">
      <c r="A16" s="1">
        <v>43910</v>
      </c>
      <c r="B16">
        <v>33.18</v>
      </c>
      <c r="C16">
        <v>33.770000000000003</v>
      </c>
      <c r="D16">
        <v>31.33</v>
      </c>
      <c r="E16">
        <v>31.469999000000001</v>
      </c>
      <c r="F16">
        <v>30.856005</v>
      </c>
      <c r="G16">
        <v>6989300</v>
      </c>
      <c r="I16">
        <f t="shared" si="0"/>
        <v>-2.7202479939680002E-2</v>
      </c>
      <c r="J16">
        <v>6.0000000000000001E-3</v>
      </c>
      <c r="K16">
        <f t="shared" si="1"/>
        <v>-3.320247993968E-2</v>
      </c>
      <c r="L16">
        <f t="shared" si="2"/>
        <v>-3.3202479939680001</v>
      </c>
      <c r="M16">
        <v>-4.1500000000000004</v>
      </c>
    </row>
    <row r="17" spans="1:13" x14ac:dyDescent="0.2">
      <c r="A17" s="1">
        <v>43913</v>
      </c>
      <c r="B17">
        <v>31.73</v>
      </c>
      <c r="C17">
        <v>32.840000000000003</v>
      </c>
      <c r="D17">
        <v>31.35</v>
      </c>
      <c r="E17">
        <v>31.719999000000001</v>
      </c>
      <c r="F17">
        <v>31.101127999999999</v>
      </c>
      <c r="G17">
        <v>6054500</v>
      </c>
      <c r="I17">
        <f t="shared" si="0"/>
        <v>7.9440938643871601E-3</v>
      </c>
      <c r="J17">
        <v>6.0000000000000001E-3</v>
      </c>
      <c r="K17">
        <f t="shared" si="1"/>
        <v>1.94409386438716E-3</v>
      </c>
      <c r="L17">
        <f t="shared" si="2"/>
        <v>0.194409386438716</v>
      </c>
      <c r="M17">
        <v>-2.5499999999999998</v>
      </c>
    </row>
    <row r="18" spans="1:13" x14ac:dyDescent="0.2">
      <c r="A18" s="1">
        <v>43914</v>
      </c>
      <c r="B18">
        <v>36.409999999999997</v>
      </c>
      <c r="C18">
        <v>36.959999000000003</v>
      </c>
      <c r="D18">
        <v>35.259998000000003</v>
      </c>
      <c r="E18">
        <v>36.459999000000003</v>
      </c>
      <c r="F18">
        <v>35.748649999999998</v>
      </c>
      <c r="G18">
        <v>7786200</v>
      </c>
      <c r="I18">
        <f t="shared" si="0"/>
        <v>0.14943258649654118</v>
      </c>
      <c r="J18">
        <v>6.0000000000000001E-3</v>
      </c>
      <c r="K18">
        <f t="shared" si="1"/>
        <v>0.14343258649654117</v>
      </c>
      <c r="L18">
        <f t="shared" si="2"/>
        <v>14.343258649654118</v>
      </c>
      <c r="M18">
        <v>9.34</v>
      </c>
    </row>
    <row r="19" spans="1:13" x14ac:dyDescent="0.2">
      <c r="A19" s="1">
        <v>43915</v>
      </c>
      <c r="B19">
        <v>37.740001999999997</v>
      </c>
      <c r="C19">
        <v>38.740001999999997</v>
      </c>
      <c r="D19">
        <v>36.810001</v>
      </c>
      <c r="E19">
        <v>37.32</v>
      </c>
      <c r="F19">
        <v>36.591869000000003</v>
      </c>
      <c r="G19">
        <v>6434100</v>
      </c>
      <c r="I19">
        <f t="shared" si="0"/>
        <v>2.3587436168918403E-2</v>
      </c>
      <c r="J19">
        <v>6.0000000000000001E-3</v>
      </c>
      <c r="K19">
        <f t="shared" si="1"/>
        <v>1.7587436168918405E-2</v>
      </c>
      <c r="L19">
        <f t="shared" si="2"/>
        <v>1.7587436168918404</v>
      </c>
      <c r="M19">
        <v>1.18</v>
      </c>
    </row>
    <row r="20" spans="1:13" x14ac:dyDescent="0.2">
      <c r="A20" s="1">
        <v>43916</v>
      </c>
      <c r="B20">
        <v>37.700001</v>
      </c>
      <c r="C20">
        <v>38.139999000000003</v>
      </c>
      <c r="D20">
        <v>37.009998000000003</v>
      </c>
      <c r="E20">
        <v>37.849997999999999</v>
      </c>
      <c r="F20">
        <v>37.111525999999998</v>
      </c>
      <c r="G20">
        <v>4581800</v>
      </c>
      <c r="I20">
        <f t="shared" si="0"/>
        <v>1.4201433657296793E-2</v>
      </c>
      <c r="J20">
        <v>6.0000000000000001E-3</v>
      </c>
      <c r="K20">
        <f t="shared" si="1"/>
        <v>8.2014336572967927E-3</v>
      </c>
      <c r="L20">
        <f t="shared" si="2"/>
        <v>0.82014336572967927</v>
      </c>
      <c r="M20">
        <v>6.02</v>
      </c>
    </row>
    <row r="21" spans="1:13" x14ac:dyDescent="0.2">
      <c r="A21" s="1">
        <v>43917</v>
      </c>
      <c r="B21">
        <v>35.700001</v>
      </c>
      <c r="C21">
        <v>36.520000000000003</v>
      </c>
      <c r="D21">
        <v>35.409999999999997</v>
      </c>
      <c r="E21">
        <v>35.590000000000003</v>
      </c>
      <c r="F21">
        <v>34.895622000000003</v>
      </c>
      <c r="G21">
        <v>4014000</v>
      </c>
      <c r="I21">
        <f t="shared" si="0"/>
        <v>-5.9709320495201272E-2</v>
      </c>
      <c r="J21">
        <v>6.0000000000000001E-3</v>
      </c>
      <c r="K21">
        <f t="shared" si="1"/>
        <v>-6.570932049520127E-2</v>
      </c>
      <c r="L21">
        <f t="shared" si="2"/>
        <v>-6.5709320495201267</v>
      </c>
      <c r="M21">
        <v>-3.48</v>
      </c>
    </row>
    <row r="22" spans="1:13" x14ac:dyDescent="0.2">
      <c r="A22" s="1">
        <v>43920</v>
      </c>
      <c r="B22">
        <v>36.900002000000001</v>
      </c>
      <c r="C22">
        <v>37.279998999999997</v>
      </c>
      <c r="D22">
        <v>36.32</v>
      </c>
      <c r="E22">
        <v>37.049999</v>
      </c>
      <c r="F22">
        <v>36.327137</v>
      </c>
      <c r="G22">
        <v>3190300</v>
      </c>
      <c r="I22">
        <f t="shared" si="0"/>
        <v>4.1022767841765291E-2</v>
      </c>
      <c r="J22">
        <v>6.0000000000000001E-3</v>
      </c>
      <c r="K22">
        <f t="shared" si="1"/>
        <v>3.5022767841765293E-2</v>
      </c>
      <c r="L22">
        <f t="shared" si="2"/>
        <v>3.5022767841765292</v>
      </c>
      <c r="M22">
        <v>3.16</v>
      </c>
    </row>
    <row r="23" spans="1:13" x14ac:dyDescent="0.2">
      <c r="A23" s="1">
        <v>43921</v>
      </c>
      <c r="B23">
        <v>37.099997999999999</v>
      </c>
      <c r="C23">
        <v>38.020000000000003</v>
      </c>
      <c r="D23">
        <v>36.389999000000003</v>
      </c>
      <c r="E23">
        <v>36.689999</v>
      </c>
      <c r="F23">
        <v>35.974159</v>
      </c>
      <c r="G23">
        <v>4877700</v>
      </c>
      <c r="I23">
        <f t="shared" si="0"/>
        <v>-9.7166479153036542E-3</v>
      </c>
      <c r="J23">
        <v>6.0000000000000001E-3</v>
      </c>
      <c r="K23">
        <f t="shared" si="1"/>
        <v>-1.5716647915303653E-2</v>
      </c>
      <c r="L23">
        <f t="shared" si="2"/>
        <v>-1.5716647915303652</v>
      </c>
      <c r="M23">
        <v>-1.44</v>
      </c>
    </row>
    <row r="24" spans="1:13" x14ac:dyDescent="0.2">
      <c r="A24" s="1">
        <v>43922</v>
      </c>
      <c r="B24">
        <v>36.340000000000003</v>
      </c>
      <c r="C24">
        <v>37.130001</v>
      </c>
      <c r="D24">
        <v>35.68</v>
      </c>
      <c r="E24">
        <v>35.869999</v>
      </c>
      <c r="F24">
        <v>35.170158000000001</v>
      </c>
      <c r="G24">
        <v>3714300</v>
      </c>
      <c r="I24">
        <f t="shared" si="0"/>
        <v>-2.2349403637205237E-2</v>
      </c>
      <c r="J24">
        <v>0</v>
      </c>
      <c r="K24">
        <f t="shared" si="1"/>
        <v>-2.2349403637205237E-2</v>
      </c>
      <c r="L24">
        <f t="shared" si="2"/>
        <v>-2.2349403637205238</v>
      </c>
      <c r="M24">
        <v>-4.51</v>
      </c>
    </row>
    <row r="25" spans="1:13" x14ac:dyDescent="0.2">
      <c r="A25" s="1">
        <v>43923</v>
      </c>
      <c r="B25">
        <v>37.130001</v>
      </c>
      <c r="C25">
        <v>38.159999999999997</v>
      </c>
      <c r="D25">
        <v>36.349997999999999</v>
      </c>
      <c r="E25">
        <v>37.900002000000001</v>
      </c>
      <c r="F25">
        <v>37.160556999999997</v>
      </c>
      <c r="G25">
        <v>4847300</v>
      </c>
      <c r="I25">
        <f t="shared" si="0"/>
        <v>5.659340512487878E-2</v>
      </c>
      <c r="J25">
        <v>0</v>
      </c>
      <c r="K25">
        <f t="shared" si="1"/>
        <v>5.659340512487878E-2</v>
      </c>
      <c r="L25">
        <f t="shared" si="2"/>
        <v>5.6593405124878782</v>
      </c>
      <c r="M25">
        <v>2.1</v>
      </c>
    </row>
    <row r="26" spans="1:13" x14ac:dyDescent="0.2">
      <c r="A26" s="1">
        <v>43924</v>
      </c>
      <c r="B26">
        <v>37.119999</v>
      </c>
      <c r="C26">
        <v>37.849997999999999</v>
      </c>
      <c r="D26">
        <v>36.139999000000003</v>
      </c>
      <c r="E26">
        <v>36.590000000000003</v>
      </c>
      <c r="F26">
        <v>35.876114000000001</v>
      </c>
      <c r="G26">
        <v>4072700</v>
      </c>
      <c r="I26">
        <f t="shared" si="0"/>
        <v>-3.4564686422757229E-2</v>
      </c>
      <c r="J26">
        <v>0</v>
      </c>
      <c r="K26">
        <f t="shared" si="1"/>
        <v>-3.4564686422757229E-2</v>
      </c>
      <c r="L26">
        <f t="shared" si="2"/>
        <v>-3.4564686422757229</v>
      </c>
      <c r="M26">
        <v>-1.64</v>
      </c>
    </row>
    <row r="27" spans="1:13" x14ac:dyDescent="0.2">
      <c r="A27" s="1">
        <v>43927</v>
      </c>
      <c r="B27">
        <v>38.580002</v>
      </c>
      <c r="C27">
        <v>39.029998999999997</v>
      </c>
      <c r="D27">
        <v>38.200001</v>
      </c>
      <c r="E27">
        <v>38.900002000000001</v>
      </c>
      <c r="F27">
        <v>38.141044999999998</v>
      </c>
      <c r="G27">
        <v>3551300</v>
      </c>
      <c r="I27">
        <f t="shared" si="0"/>
        <v>6.3132004765064489E-2</v>
      </c>
      <c r="J27">
        <v>0</v>
      </c>
      <c r="K27">
        <f t="shared" si="1"/>
        <v>6.3132004765064489E-2</v>
      </c>
      <c r="L27">
        <f t="shared" si="2"/>
        <v>6.3132004765064487</v>
      </c>
      <c r="M27">
        <v>7.06</v>
      </c>
    </row>
    <row r="28" spans="1:13" x14ac:dyDescent="0.2">
      <c r="A28" s="1">
        <v>43928</v>
      </c>
      <c r="B28">
        <v>40.279998999999997</v>
      </c>
      <c r="C28">
        <v>40.380001</v>
      </c>
      <c r="D28">
        <v>38.490001999999997</v>
      </c>
      <c r="E28">
        <v>38.520000000000003</v>
      </c>
      <c r="F28">
        <v>37.768459</v>
      </c>
      <c r="G28">
        <v>3027900</v>
      </c>
      <c r="I28">
        <f t="shared" si="0"/>
        <v>-9.768636386339135E-3</v>
      </c>
      <c r="J28">
        <v>0</v>
      </c>
      <c r="K28">
        <f t="shared" si="1"/>
        <v>-9.768636386339135E-3</v>
      </c>
      <c r="L28">
        <f t="shared" si="2"/>
        <v>-0.97686363863391346</v>
      </c>
      <c r="M28">
        <v>-0.11</v>
      </c>
    </row>
    <row r="29" spans="1:13" x14ac:dyDescent="0.2">
      <c r="A29" s="1">
        <v>43929</v>
      </c>
      <c r="B29">
        <v>38.860000999999997</v>
      </c>
      <c r="C29">
        <v>39.380001</v>
      </c>
      <c r="D29">
        <v>38.229999999999997</v>
      </c>
      <c r="E29">
        <v>39.310001</v>
      </c>
      <c r="F29">
        <v>38.543044999999999</v>
      </c>
      <c r="G29">
        <v>2620300</v>
      </c>
      <c r="I29">
        <f t="shared" si="0"/>
        <v>2.0508806038393022E-2</v>
      </c>
      <c r="J29">
        <v>0</v>
      </c>
      <c r="K29">
        <f t="shared" si="1"/>
        <v>2.0508806038393022E-2</v>
      </c>
      <c r="L29">
        <f t="shared" si="2"/>
        <v>2.0508806038393024</v>
      </c>
      <c r="M29">
        <v>3.4</v>
      </c>
    </row>
    <row r="30" spans="1:13" x14ac:dyDescent="0.2">
      <c r="A30" s="1">
        <v>43930</v>
      </c>
      <c r="B30">
        <v>39.389999000000003</v>
      </c>
      <c r="C30">
        <v>40.529998999999997</v>
      </c>
      <c r="D30">
        <v>39.029998999999997</v>
      </c>
      <c r="E30">
        <v>39.509998000000003</v>
      </c>
      <c r="F30">
        <v>38.739139999999999</v>
      </c>
      <c r="G30">
        <v>3232300</v>
      </c>
      <c r="I30">
        <f t="shared" si="0"/>
        <v>5.087688323535405E-3</v>
      </c>
      <c r="J30">
        <v>0</v>
      </c>
      <c r="K30">
        <f t="shared" si="1"/>
        <v>5.087688323535405E-3</v>
      </c>
      <c r="L30">
        <f t="shared" si="2"/>
        <v>0.50876883235354053</v>
      </c>
      <c r="M30">
        <v>1.59</v>
      </c>
    </row>
    <row r="31" spans="1:13" x14ac:dyDescent="0.2">
      <c r="A31" s="1">
        <v>43934</v>
      </c>
      <c r="B31">
        <v>39.790000999999997</v>
      </c>
      <c r="C31">
        <v>39.849997999999999</v>
      </c>
      <c r="D31">
        <v>39</v>
      </c>
      <c r="E31">
        <v>39.610000999999997</v>
      </c>
      <c r="F31">
        <v>38.837192999999999</v>
      </c>
      <c r="G31">
        <v>2396000</v>
      </c>
      <c r="I31">
        <f t="shared" si="0"/>
        <v>2.5311093638113848E-3</v>
      </c>
      <c r="J31">
        <v>0</v>
      </c>
      <c r="K31">
        <f t="shared" si="1"/>
        <v>2.5311093638113848E-3</v>
      </c>
      <c r="L31">
        <f t="shared" si="2"/>
        <v>0.25311093638113846</v>
      </c>
      <c r="M31">
        <v>-0.92</v>
      </c>
    </row>
    <row r="32" spans="1:13" x14ac:dyDescent="0.2">
      <c r="A32" s="1">
        <v>43935</v>
      </c>
      <c r="B32">
        <v>40.299999</v>
      </c>
      <c r="C32">
        <v>40.689999</v>
      </c>
      <c r="D32">
        <v>39.919998</v>
      </c>
      <c r="E32">
        <v>40.360000999999997</v>
      </c>
      <c r="F32">
        <v>39.572558999999998</v>
      </c>
      <c r="G32">
        <v>2458500</v>
      </c>
      <c r="I32">
        <f t="shared" si="0"/>
        <v>1.893458160068363E-2</v>
      </c>
      <c r="J32">
        <v>0</v>
      </c>
      <c r="K32">
        <f t="shared" si="1"/>
        <v>1.893458160068363E-2</v>
      </c>
      <c r="L32">
        <f t="shared" si="2"/>
        <v>1.8934581600683631</v>
      </c>
      <c r="M32">
        <v>3.02</v>
      </c>
    </row>
    <row r="33" spans="1:13" x14ac:dyDescent="0.2">
      <c r="A33" s="1">
        <v>43936</v>
      </c>
      <c r="B33">
        <v>38.439999</v>
      </c>
      <c r="C33">
        <v>38.639999000000003</v>
      </c>
      <c r="D33">
        <v>37.950001</v>
      </c>
      <c r="E33">
        <v>38.409999999999997</v>
      </c>
      <c r="F33">
        <v>37.660603000000002</v>
      </c>
      <c r="G33">
        <v>3444300</v>
      </c>
      <c r="I33">
        <f t="shared" si="0"/>
        <v>-4.8315197407375061E-2</v>
      </c>
      <c r="J33">
        <v>0</v>
      </c>
      <c r="K33">
        <f t="shared" si="1"/>
        <v>-4.8315197407375061E-2</v>
      </c>
      <c r="L33">
        <f t="shared" si="2"/>
        <v>-4.8315197407375061</v>
      </c>
      <c r="M33">
        <v>-2.15</v>
      </c>
    </row>
    <row r="34" spans="1:13" x14ac:dyDescent="0.2">
      <c r="A34" s="1">
        <v>43937</v>
      </c>
      <c r="B34">
        <v>38.869999</v>
      </c>
      <c r="C34">
        <v>38.869999</v>
      </c>
      <c r="D34">
        <v>38.009998000000003</v>
      </c>
      <c r="E34">
        <v>38.610000999999997</v>
      </c>
      <c r="F34">
        <v>37.856701000000001</v>
      </c>
      <c r="G34">
        <v>3068700</v>
      </c>
      <c r="I34">
        <f t="shared" si="0"/>
        <v>5.2069798245131449E-3</v>
      </c>
      <c r="J34">
        <v>0</v>
      </c>
      <c r="K34">
        <f t="shared" si="1"/>
        <v>5.2069798245131449E-3</v>
      </c>
      <c r="L34">
        <f t="shared" si="2"/>
        <v>0.52069798245131449</v>
      </c>
      <c r="M34">
        <v>0.62</v>
      </c>
    </row>
    <row r="35" spans="1:13" x14ac:dyDescent="0.2">
      <c r="A35" s="1">
        <v>43938</v>
      </c>
      <c r="B35">
        <v>39.909999999999997</v>
      </c>
      <c r="C35">
        <v>40.119999</v>
      </c>
      <c r="D35">
        <v>39.439999</v>
      </c>
      <c r="E35">
        <v>40.020000000000003</v>
      </c>
      <c r="F35">
        <v>39.239193</v>
      </c>
      <c r="G35">
        <v>2759200</v>
      </c>
      <c r="I35">
        <f t="shared" si="0"/>
        <v>3.6519082843483881E-2</v>
      </c>
      <c r="J35">
        <v>0</v>
      </c>
      <c r="K35">
        <f t="shared" si="1"/>
        <v>3.6519082843483881E-2</v>
      </c>
      <c r="L35">
        <f t="shared" si="2"/>
        <v>3.6519082843483881</v>
      </c>
      <c r="M35">
        <v>2.72</v>
      </c>
    </row>
    <row r="36" spans="1:13" x14ac:dyDescent="0.2">
      <c r="A36" s="1">
        <v>43941</v>
      </c>
      <c r="B36">
        <v>38.950001</v>
      </c>
      <c r="C36">
        <v>39.830002</v>
      </c>
      <c r="D36">
        <v>38.659999999999997</v>
      </c>
      <c r="E36">
        <v>38.770000000000003</v>
      </c>
      <c r="F36">
        <v>38.013579999999997</v>
      </c>
      <c r="G36">
        <v>2498200</v>
      </c>
      <c r="I36">
        <f t="shared" si="0"/>
        <v>-3.1234408923751383E-2</v>
      </c>
      <c r="J36">
        <v>0</v>
      </c>
      <c r="K36">
        <f t="shared" si="1"/>
        <v>-3.1234408923751383E-2</v>
      </c>
      <c r="L36">
        <f t="shared" si="2"/>
        <v>-3.1234408923751382</v>
      </c>
      <c r="M36">
        <v>-1.56</v>
      </c>
    </row>
    <row r="37" spans="1:13" x14ac:dyDescent="0.2">
      <c r="A37" s="1">
        <v>43942</v>
      </c>
      <c r="B37">
        <v>37</v>
      </c>
      <c r="C37">
        <v>37.659999999999997</v>
      </c>
      <c r="D37">
        <v>36.540000999999997</v>
      </c>
      <c r="E37">
        <v>36.830002</v>
      </c>
      <c r="F37">
        <v>36.111431000000003</v>
      </c>
      <c r="G37">
        <v>2304200</v>
      </c>
      <c r="I37">
        <f t="shared" si="0"/>
        <v>-5.0038670390949613E-2</v>
      </c>
      <c r="J37">
        <v>0</v>
      </c>
      <c r="K37">
        <f t="shared" si="1"/>
        <v>-5.0038670390949613E-2</v>
      </c>
      <c r="L37">
        <f t="shared" si="2"/>
        <v>-5.0038670390949616</v>
      </c>
      <c r="M37">
        <v>-3.08</v>
      </c>
    </row>
    <row r="38" spans="1:13" x14ac:dyDescent="0.2">
      <c r="A38" s="1">
        <v>43943</v>
      </c>
      <c r="B38">
        <v>37.650002000000001</v>
      </c>
      <c r="C38">
        <v>37.950001</v>
      </c>
      <c r="D38">
        <v>37.459999000000003</v>
      </c>
      <c r="E38">
        <v>37.75</v>
      </c>
      <c r="F38">
        <v>37.013480999999999</v>
      </c>
      <c r="G38">
        <v>2023100</v>
      </c>
      <c r="I38">
        <f t="shared" si="0"/>
        <v>2.4979624872799849E-2</v>
      </c>
      <c r="J38">
        <v>0</v>
      </c>
      <c r="K38">
        <f t="shared" si="1"/>
        <v>2.4979624872799849E-2</v>
      </c>
      <c r="L38">
        <f t="shared" si="2"/>
        <v>2.497962487279985</v>
      </c>
      <c r="M38">
        <v>2.31</v>
      </c>
    </row>
    <row r="39" spans="1:13" x14ac:dyDescent="0.2">
      <c r="A39" s="1">
        <v>43944</v>
      </c>
      <c r="B39">
        <v>38.209999000000003</v>
      </c>
      <c r="C39">
        <v>39.229999999999997</v>
      </c>
      <c r="D39">
        <v>38.200001</v>
      </c>
      <c r="E39">
        <v>38.349997999999999</v>
      </c>
      <c r="F39">
        <v>37.601771999999997</v>
      </c>
      <c r="G39">
        <v>2915000</v>
      </c>
      <c r="I39">
        <f t="shared" si="0"/>
        <v>1.5893965768850493E-2</v>
      </c>
      <c r="J39">
        <v>0</v>
      </c>
      <c r="K39">
        <f t="shared" si="1"/>
        <v>1.5893965768850493E-2</v>
      </c>
      <c r="L39">
        <f t="shared" si="2"/>
        <v>1.5893965768850493</v>
      </c>
      <c r="M39">
        <v>0.13</v>
      </c>
    </row>
    <row r="40" spans="1:13" x14ac:dyDescent="0.2">
      <c r="A40" s="1">
        <v>43945</v>
      </c>
      <c r="B40">
        <v>39.209999000000003</v>
      </c>
      <c r="C40">
        <v>39.209999000000003</v>
      </c>
      <c r="D40">
        <v>38.490001999999997</v>
      </c>
      <c r="E40">
        <v>39.07</v>
      </c>
      <c r="F40">
        <v>38.307727999999997</v>
      </c>
      <c r="G40">
        <v>1731500</v>
      </c>
      <c r="I40">
        <f t="shared" si="0"/>
        <v>1.8774540731750635E-2</v>
      </c>
      <c r="J40">
        <v>0</v>
      </c>
      <c r="K40">
        <f t="shared" si="1"/>
        <v>1.8774540731750635E-2</v>
      </c>
      <c r="L40">
        <f t="shared" si="2"/>
        <v>1.8774540731750635</v>
      </c>
      <c r="M40">
        <v>1.44</v>
      </c>
    </row>
    <row r="41" spans="1:13" x14ac:dyDescent="0.2">
      <c r="A41" s="1">
        <v>43948</v>
      </c>
      <c r="B41">
        <v>39.299999</v>
      </c>
      <c r="C41">
        <v>39.68</v>
      </c>
      <c r="D41">
        <v>39.099997999999999</v>
      </c>
      <c r="E41">
        <v>39.5</v>
      </c>
      <c r="F41">
        <v>38.729336000000004</v>
      </c>
      <c r="G41">
        <v>1572900</v>
      </c>
      <c r="I41">
        <f t="shared" si="0"/>
        <v>1.1005821070881735E-2</v>
      </c>
      <c r="J41">
        <v>0</v>
      </c>
      <c r="K41">
        <f t="shared" si="1"/>
        <v>1.1005821070881735E-2</v>
      </c>
      <c r="L41">
        <f t="shared" si="2"/>
        <v>1.1005821070881736</v>
      </c>
      <c r="M41">
        <v>1.73</v>
      </c>
    </row>
    <row r="42" spans="1:13" x14ac:dyDescent="0.2">
      <c r="A42" s="1">
        <v>43949</v>
      </c>
      <c r="B42">
        <v>40.279998999999997</v>
      </c>
      <c r="C42">
        <v>40.5</v>
      </c>
      <c r="D42">
        <v>39.82</v>
      </c>
      <c r="E42">
        <v>39.939999</v>
      </c>
      <c r="F42">
        <v>39.160750999999998</v>
      </c>
      <c r="G42">
        <v>2295300</v>
      </c>
      <c r="I42">
        <f t="shared" si="0"/>
        <v>1.1139230478931889E-2</v>
      </c>
      <c r="J42">
        <v>0</v>
      </c>
      <c r="K42">
        <f t="shared" si="1"/>
        <v>1.1139230478931889E-2</v>
      </c>
      <c r="L42">
        <f t="shared" si="2"/>
        <v>1.113923047893189</v>
      </c>
      <c r="M42">
        <v>-0.45</v>
      </c>
    </row>
    <row r="43" spans="1:13" x14ac:dyDescent="0.2">
      <c r="A43" s="1">
        <v>43950</v>
      </c>
      <c r="B43">
        <v>41.459999000000003</v>
      </c>
      <c r="C43">
        <v>42.27</v>
      </c>
      <c r="D43">
        <v>41.299999</v>
      </c>
      <c r="E43">
        <v>42.110000999999997</v>
      </c>
      <c r="F43">
        <v>41.288414000000003</v>
      </c>
      <c r="G43">
        <v>2986400</v>
      </c>
      <c r="I43">
        <f t="shared" si="0"/>
        <v>5.4331516778113001E-2</v>
      </c>
      <c r="J43">
        <v>0</v>
      </c>
      <c r="K43">
        <f t="shared" si="1"/>
        <v>5.4331516778113001E-2</v>
      </c>
      <c r="L43">
        <f t="shared" si="2"/>
        <v>5.4331516778113</v>
      </c>
      <c r="M43">
        <v>2.92</v>
      </c>
    </row>
    <row r="44" spans="1:13" x14ac:dyDescent="0.2">
      <c r="A44" s="1">
        <v>43951</v>
      </c>
      <c r="B44">
        <v>41.07</v>
      </c>
      <c r="C44">
        <v>41.279998999999997</v>
      </c>
      <c r="D44">
        <v>40.349997999999999</v>
      </c>
      <c r="E44">
        <v>40.68</v>
      </c>
      <c r="F44">
        <v>39.886313999999999</v>
      </c>
      <c r="G44">
        <v>2734500</v>
      </c>
      <c r="I44">
        <f t="shared" si="0"/>
        <v>-3.3958679061879299E-2</v>
      </c>
      <c r="J44">
        <v>0</v>
      </c>
      <c r="K44">
        <f t="shared" si="1"/>
        <v>-3.3958679061879299E-2</v>
      </c>
      <c r="L44">
        <f t="shared" si="2"/>
        <v>-3.39586790618793</v>
      </c>
      <c r="M44">
        <v>-1.18</v>
      </c>
    </row>
    <row r="45" spans="1:13" x14ac:dyDescent="0.2">
      <c r="A45" s="1">
        <v>43952</v>
      </c>
      <c r="B45">
        <v>38.830002</v>
      </c>
      <c r="C45">
        <v>39.18</v>
      </c>
      <c r="D45">
        <v>38.32</v>
      </c>
      <c r="E45">
        <v>38.439999</v>
      </c>
      <c r="F45">
        <v>37.690018000000002</v>
      </c>
      <c r="G45">
        <v>2679500</v>
      </c>
      <c r="I45">
        <f t="shared" si="0"/>
        <v>-5.5063899862995529E-2</v>
      </c>
      <c r="J45">
        <v>0</v>
      </c>
      <c r="K45">
        <f t="shared" si="1"/>
        <v>-5.5063899862995529E-2</v>
      </c>
      <c r="L45">
        <f t="shared" si="2"/>
        <v>-5.5063899862995527</v>
      </c>
      <c r="M45">
        <v>-2.91</v>
      </c>
    </row>
    <row r="46" spans="1:13" x14ac:dyDescent="0.2">
      <c r="A46" s="1">
        <v>43955</v>
      </c>
      <c r="B46">
        <v>38.470001000000003</v>
      </c>
      <c r="C46">
        <v>39.080002</v>
      </c>
      <c r="D46">
        <v>38.389999000000003</v>
      </c>
      <c r="E46">
        <v>38.880001</v>
      </c>
      <c r="F46">
        <v>38.121433000000003</v>
      </c>
      <c r="G46">
        <v>2608900</v>
      </c>
      <c r="I46">
        <f t="shared" si="0"/>
        <v>1.144639941535717E-2</v>
      </c>
      <c r="J46">
        <v>0</v>
      </c>
      <c r="K46">
        <f t="shared" si="1"/>
        <v>1.144639941535717E-2</v>
      </c>
      <c r="L46">
        <f t="shared" si="2"/>
        <v>1.1446399415357169</v>
      </c>
      <c r="M46">
        <v>0.53</v>
      </c>
    </row>
    <row r="47" spans="1:13" x14ac:dyDescent="0.2">
      <c r="A47" s="1">
        <v>43956</v>
      </c>
      <c r="B47">
        <v>39.560001</v>
      </c>
      <c r="C47">
        <v>39.770000000000003</v>
      </c>
      <c r="D47">
        <v>39.090000000000003</v>
      </c>
      <c r="E47">
        <v>39.159999999999997</v>
      </c>
      <c r="F47">
        <v>38.395969000000001</v>
      </c>
      <c r="G47">
        <v>2000400</v>
      </c>
      <c r="I47">
        <f t="shared" si="0"/>
        <v>7.2016180504021884E-3</v>
      </c>
      <c r="J47">
        <v>0</v>
      </c>
      <c r="K47">
        <f t="shared" si="1"/>
        <v>7.2016180504021884E-3</v>
      </c>
      <c r="L47">
        <f t="shared" si="2"/>
        <v>0.72016180504021887</v>
      </c>
      <c r="M47">
        <v>0.95</v>
      </c>
    </row>
    <row r="48" spans="1:13" x14ac:dyDescent="0.2">
      <c r="A48" s="1">
        <v>43957</v>
      </c>
      <c r="B48">
        <v>40.139999000000003</v>
      </c>
      <c r="C48">
        <v>40.25</v>
      </c>
      <c r="D48">
        <v>39.369999</v>
      </c>
      <c r="E48">
        <v>39.380001</v>
      </c>
      <c r="F48">
        <v>38.611679000000002</v>
      </c>
      <c r="G48">
        <v>2887700</v>
      </c>
      <c r="I48">
        <f t="shared" si="0"/>
        <v>5.6180376643183922E-3</v>
      </c>
      <c r="J48">
        <v>0</v>
      </c>
      <c r="K48">
        <f t="shared" si="1"/>
        <v>5.6180376643183922E-3</v>
      </c>
      <c r="L48">
        <f t="shared" si="2"/>
        <v>0.56180376643183927</v>
      </c>
      <c r="M48">
        <v>-0.52</v>
      </c>
    </row>
    <row r="49" spans="1:13" x14ac:dyDescent="0.2">
      <c r="A49" s="1">
        <v>43958</v>
      </c>
      <c r="B49">
        <v>40.630001</v>
      </c>
      <c r="C49">
        <v>41.240001999999997</v>
      </c>
      <c r="D49">
        <v>40.409999999999997</v>
      </c>
      <c r="E49">
        <v>40.439999</v>
      </c>
      <c r="F49">
        <v>39.650996999999997</v>
      </c>
      <c r="G49">
        <v>2376900</v>
      </c>
      <c r="I49">
        <f t="shared" si="0"/>
        <v>2.6917192593463608E-2</v>
      </c>
      <c r="J49">
        <v>0</v>
      </c>
      <c r="K49">
        <f t="shared" si="1"/>
        <v>2.6917192593463608E-2</v>
      </c>
      <c r="L49">
        <f t="shared" si="2"/>
        <v>2.6917192593463608</v>
      </c>
      <c r="M49">
        <v>1.33</v>
      </c>
    </row>
    <row r="50" spans="1:13" x14ac:dyDescent="0.2">
      <c r="A50" s="1">
        <v>43959</v>
      </c>
      <c r="B50">
        <v>41.259998000000003</v>
      </c>
      <c r="C50">
        <v>41.459999000000003</v>
      </c>
      <c r="D50">
        <v>40.970001000000003</v>
      </c>
      <c r="E50">
        <v>41.419998</v>
      </c>
      <c r="F50">
        <v>40.611874</v>
      </c>
      <c r="G50">
        <v>1560900</v>
      </c>
      <c r="I50">
        <f t="shared" si="0"/>
        <v>2.4233362908882308E-2</v>
      </c>
      <c r="J50">
        <v>0</v>
      </c>
      <c r="K50">
        <f t="shared" si="1"/>
        <v>2.4233362908882308E-2</v>
      </c>
      <c r="L50">
        <f t="shared" si="2"/>
        <v>2.4233362908882308</v>
      </c>
      <c r="M50">
        <v>1.9</v>
      </c>
    </row>
    <row r="51" spans="1:13" x14ac:dyDescent="0.2">
      <c r="A51" s="1">
        <v>43962</v>
      </c>
      <c r="B51">
        <v>40.049999</v>
      </c>
      <c r="C51">
        <v>40.419998</v>
      </c>
      <c r="D51">
        <v>39.950001</v>
      </c>
      <c r="E51">
        <v>40.299999</v>
      </c>
      <c r="F51">
        <v>39.513728999999998</v>
      </c>
      <c r="G51">
        <v>1496000</v>
      </c>
      <c r="I51">
        <f t="shared" si="0"/>
        <v>-2.7039998203481137E-2</v>
      </c>
      <c r="J51">
        <v>0</v>
      </c>
      <c r="K51">
        <f t="shared" si="1"/>
        <v>-2.7039998203481137E-2</v>
      </c>
      <c r="L51">
        <f t="shared" si="2"/>
        <v>-2.7039998203481139</v>
      </c>
      <c r="M51">
        <v>7.0000000000000007E-2</v>
      </c>
    </row>
    <row r="52" spans="1:13" x14ac:dyDescent="0.2">
      <c r="A52" s="1">
        <v>43963</v>
      </c>
      <c r="B52">
        <v>40.580002</v>
      </c>
      <c r="C52">
        <v>40.720001000000003</v>
      </c>
      <c r="D52">
        <v>39.369999</v>
      </c>
      <c r="E52">
        <v>39.409999999999997</v>
      </c>
      <c r="F52">
        <v>38.641094000000002</v>
      </c>
      <c r="G52">
        <v>1949700</v>
      </c>
      <c r="I52">
        <f t="shared" si="0"/>
        <v>-2.2084349467497624E-2</v>
      </c>
      <c r="J52">
        <v>0</v>
      </c>
      <c r="K52">
        <f t="shared" si="1"/>
        <v>-2.2084349467497624E-2</v>
      </c>
      <c r="L52">
        <f t="shared" si="2"/>
        <v>-2.2084349467497622</v>
      </c>
      <c r="M52">
        <v>-2.06</v>
      </c>
    </row>
    <row r="53" spans="1:13" x14ac:dyDescent="0.2">
      <c r="A53" s="1">
        <v>43964</v>
      </c>
      <c r="B53">
        <v>40.049999</v>
      </c>
      <c r="C53">
        <v>40.229999999999997</v>
      </c>
      <c r="D53">
        <v>39.32</v>
      </c>
      <c r="E53">
        <v>39.630001</v>
      </c>
      <c r="F53">
        <v>38.856803999999997</v>
      </c>
      <c r="G53">
        <v>2340300</v>
      </c>
      <c r="I53">
        <f t="shared" si="0"/>
        <v>5.5823988834269103E-3</v>
      </c>
      <c r="J53">
        <v>0</v>
      </c>
      <c r="K53">
        <f t="shared" si="1"/>
        <v>5.5823988834269103E-3</v>
      </c>
      <c r="L53">
        <f t="shared" si="2"/>
        <v>0.558239888342691</v>
      </c>
      <c r="M53">
        <v>-1.89</v>
      </c>
    </row>
    <row r="54" spans="1:13" x14ac:dyDescent="0.2">
      <c r="A54" s="1">
        <v>43965</v>
      </c>
      <c r="B54">
        <v>38.950001</v>
      </c>
      <c r="C54">
        <v>40.380001</v>
      </c>
      <c r="D54">
        <v>38.650002000000001</v>
      </c>
      <c r="E54">
        <v>40.360000999999997</v>
      </c>
      <c r="F54">
        <v>39.572558999999998</v>
      </c>
      <c r="G54">
        <v>2637200</v>
      </c>
      <c r="I54">
        <f t="shared" si="0"/>
        <v>1.842032607725539E-2</v>
      </c>
      <c r="J54">
        <v>0</v>
      </c>
      <c r="K54">
        <f t="shared" si="1"/>
        <v>1.842032607725539E-2</v>
      </c>
      <c r="L54">
        <f t="shared" si="2"/>
        <v>1.8420326077255391</v>
      </c>
      <c r="M54">
        <v>1.1399999999999999</v>
      </c>
    </row>
    <row r="55" spans="1:13" x14ac:dyDescent="0.2">
      <c r="A55" s="1">
        <v>43966</v>
      </c>
      <c r="B55">
        <v>41.310001</v>
      </c>
      <c r="C55">
        <v>41.790000999999997</v>
      </c>
      <c r="D55">
        <v>41.02</v>
      </c>
      <c r="E55">
        <v>41.349997999999999</v>
      </c>
      <c r="F55">
        <v>40.543239999999997</v>
      </c>
      <c r="G55">
        <v>2370900</v>
      </c>
      <c r="I55">
        <f t="shared" si="0"/>
        <v>2.452914404650958E-2</v>
      </c>
      <c r="J55">
        <v>0</v>
      </c>
      <c r="K55">
        <f t="shared" si="1"/>
        <v>2.452914404650958E-2</v>
      </c>
      <c r="L55">
        <f t="shared" si="2"/>
        <v>2.4529144046509579</v>
      </c>
      <c r="M55">
        <v>0.56999999999999995</v>
      </c>
    </row>
    <row r="56" spans="1:13" x14ac:dyDescent="0.2">
      <c r="A56" s="1">
        <v>43969</v>
      </c>
      <c r="B56">
        <v>44.200001</v>
      </c>
      <c r="C56">
        <v>44.970001000000003</v>
      </c>
      <c r="D56">
        <v>44.119999</v>
      </c>
      <c r="E56">
        <v>44.790000999999997</v>
      </c>
      <c r="F56">
        <v>43.916125999999998</v>
      </c>
      <c r="G56">
        <v>4011200</v>
      </c>
      <c r="I56">
        <f t="shared" si="0"/>
        <v>8.3192315167707406E-2</v>
      </c>
      <c r="J56">
        <v>0</v>
      </c>
      <c r="K56">
        <f t="shared" si="1"/>
        <v>8.3192315167707406E-2</v>
      </c>
      <c r="L56">
        <f t="shared" si="2"/>
        <v>8.3192315167707402</v>
      </c>
      <c r="M56">
        <v>3.24</v>
      </c>
    </row>
    <row r="57" spans="1:13" x14ac:dyDescent="0.2">
      <c r="A57" s="1">
        <v>43970</v>
      </c>
      <c r="B57">
        <v>45</v>
      </c>
      <c r="C57">
        <v>45.380001</v>
      </c>
      <c r="D57">
        <v>44.810001</v>
      </c>
      <c r="E57">
        <v>44.849997999999999</v>
      </c>
      <c r="F57">
        <v>43.974957000000003</v>
      </c>
      <c r="G57">
        <v>2914600</v>
      </c>
      <c r="I57">
        <f t="shared" si="0"/>
        <v>1.3396218054389625E-3</v>
      </c>
      <c r="J57">
        <v>0</v>
      </c>
      <c r="K57">
        <f t="shared" si="1"/>
        <v>1.3396218054389625E-3</v>
      </c>
      <c r="L57">
        <f t="shared" si="2"/>
        <v>0.13396218054389625</v>
      </c>
      <c r="M57">
        <v>-1.01</v>
      </c>
    </row>
    <row r="58" spans="1:13" x14ac:dyDescent="0.2">
      <c r="A58" s="1">
        <v>43971</v>
      </c>
      <c r="B58">
        <v>45.740001999999997</v>
      </c>
      <c r="C58">
        <v>46.139999000000003</v>
      </c>
      <c r="D58">
        <v>45.52</v>
      </c>
      <c r="E58">
        <v>45.860000999999997</v>
      </c>
      <c r="F58">
        <v>44.965252</v>
      </c>
      <c r="G58">
        <v>1917800</v>
      </c>
      <c r="I58">
        <f t="shared" si="0"/>
        <v>2.2519521735973411E-2</v>
      </c>
      <c r="J58">
        <v>0</v>
      </c>
      <c r="K58">
        <f t="shared" si="1"/>
        <v>2.2519521735973411E-2</v>
      </c>
      <c r="L58">
        <f t="shared" si="2"/>
        <v>2.2519521735973411</v>
      </c>
      <c r="M58">
        <v>1.8</v>
      </c>
    </row>
    <row r="59" spans="1:13" x14ac:dyDescent="0.2">
      <c r="A59" s="1">
        <v>43972</v>
      </c>
      <c r="B59">
        <v>45.77</v>
      </c>
      <c r="C59">
        <v>46.200001</v>
      </c>
      <c r="D59">
        <v>45.41</v>
      </c>
      <c r="E59">
        <v>45.540000999999997</v>
      </c>
      <c r="F59">
        <v>44.651496999999999</v>
      </c>
      <c r="G59">
        <v>1987300</v>
      </c>
      <c r="I59">
        <f t="shared" si="0"/>
        <v>-6.9777213747184257E-3</v>
      </c>
      <c r="J59">
        <v>0</v>
      </c>
      <c r="K59">
        <f t="shared" si="1"/>
        <v>-6.9777213747184257E-3</v>
      </c>
      <c r="L59">
        <f t="shared" si="2"/>
        <v>-0.69777213747184252</v>
      </c>
      <c r="M59">
        <v>-0.7</v>
      </c>
    </row>
    <row r="60" spans="1:13" x14ac:dyDescent="0.2">
      <c r="A60" s="1">
        <v>43973</v>
      </c>
      <c r="B60">
        <v>45.25</v>
      </c>
      <c r="C60">
        <v>45.509998000000003</v>
      </c>
      <c r="D60">
        <v>44.959999000000003</v>
      </c>
      <c r="E60">
        <v>45.5</v>
      </c>
      <c r="F60">
        <v>44.612273999999999</v>
      </c>
      <c r="G60">
        <v>1530400</v>
      </c>
      <c r="I60">
        <f t="shared" si="0"/>
        <v>-8.7842519591223973E-4</v>
      </c>
      <c r="J60">
        <v>0</v>
      </c>
      <c r="K60">
        <f t="shared" si="1"/>
        <v>-8.7842519591223973E-4</v>
      </c>
      <c r="L60">
        <f t="shared" si="2"/>
        <v>-8.7842519591223966E-2</v>
      </c>
      <c r="M60">
        <v>0.27</v>
      </c>
    </row>
    <row r="61" spans="1:13" x14ac:dyDescent="0.2">
      <c r="A61" s="1">
        <v>43977</v>
      </c>
      <c r="B61">
        <v>46.669998</v>
      </c>
      <c r="C61">
        <v>46.700001</v>
      </c>
      <c r="D61">
        <v>45.869999</v>
      </c>
      <c r="E61">
        <v>45.93</v>
      </c>
      <c r="F61">
        <v>45.033886000000003</v>
      </c>
      <c r="G61">
        <v>2429200</v>
      </c>
      <c r="I61">
        <f t="shared" si="0"/>
        <v>9.4505830390982353E-3</v>
      </c>
      <c r="J61">
        <v>0</v>
      </c>
      <c r="K61">
        <f t="shared" si="1"/>
        <v>9.4505830390982353E-3</v>
      </c>
      <c r="L61">
        <f t="shared" si="2"/>
        <v>0.94505830390982348</v>
      </c>
      <c r="M61">
        <v>1.23</v>
      </c>
    </row>
    <row r="62" spans="1:13" x14ac:dyDescent="0.2">
      <c r="A62" s="1">
        <v>43978</v>
      </c>
      <c r="B62">
        <v>46.529998999999997</v>
      </c>
      <c r="C62">
        <v>46.529998999999997</v>
      </c>
      <c r="D62">
        <v>45.720001000000003</v>
      </c>
      <c r="E62">
        <v>46.209999000000003</v>
      </c>
      <c r="F62">
        <v>45.308422</v>
      </c>
      <c r="G62">
        <v>2082400</v>
      </c>
      <c r="I62">
        <f t="shared" si="0"/>
        <v>6.0962094188362435E-3</v>
      </c>
      <c r="J62">
        <v>0</v>
      </c>
      <c r="K62">
        <f t="shared" si="1"/>
        <v>6.0962094188362435E-3</v>
      </c>
      <c r="L62">
        <f t="shared" si="2"/>
        <v>0.60962094188362437</v>
      </c>
      <c r="M62">
        <v>1.54</v>
      </c>
    </row>
    <row r="63" spans="1:13" x14ac:dyDescent="0.2">
      <c r="A63" s="1">
        <v>43979</v>
      </c>
      <c r="B63">
        <v>46.790000999999997</v>
      </c>
      <c r="C63">
        <v>47.490001999999997</v>
      </c>
      <c r="D63">
        <v>46.389999000000003</v>
      </c>
      <c r="E63">
        <v>46.700001</v>
      </c>
      <c r="F63">
        <v>45.788863999999997</v>
      </c>
      <c r="G63">
        <v>2368800</v>
      </c>
      <c r="I63">
        <f t="shared" si="0"/>
        <v>1.0603812244884549E-2</v>
      </c>
      <c r="J63">
        <v>0</v>
      </c>
      <c r="K63">
        <f t="shared" si="1"/>
        <v>1.0603812244884549E-2</v>
      </c>
      <c r="L63">
        <f t="shared" si="2"/>
        <v>1.060381224488455</v>
      </c>
      <c r="M63">
        <v>-0.41</v>
      </c>
    </row>
    <row r="64" spans="1:13" x14ac:dyDescent="0.2">
      <c r="A64" s="1">
        <v>43980</v>
      </c>
      <c r="B64">
        <v>46.740001999999997</v>
      </c>
      <c r="C64">
        <v>47.259998000000003</v>
      </c>
      <c r="D64">
        <v>46.52</v>
      </c>
      <c r="E64">
        <v>47.099997999999999</v>
      </c>
      <c r="F64">
        <v>46.181057000000003</v>
      </c>
      <c r="G64">
        <v>3577800</v>
      </c>
      <c r="I64">
        <f t="shared" si="0"/>
        <v>8.5652485285506539E-3</v>
      </c>
      <c r="J64">
        <v>0</v>
      </c>
      <c r="K64">
        <f t="shared" si="1"/>
        <v>8.5652485285506539E-3</v>
      </c>
      <c r="L64">
        <f t="shared" si="2"/>
        <v>0.85652485285506541</v>
      </c>
      <c r="M64">
        <v>0.6</v>
      </c>
    </row>
    <row r="65" spans="1:13" x14ac:dyDescent="0.2">
      <c r="A65" s="1">
        <v>43983</v>
      </c>
      <c r="B65">
        <v>47.34</v>
      </c>
      <c r="C65">
        <v>48.310001</v>
      </c>
      <c r="D65">
        <v>47.169998</v>
      </c>
      <c r="E65">
        <v>48.25</v>
      </c>
      <c r="F65">
        <v>47.308619999999998</v>
      </c>
      <c r="G65">
        <v>2176700</v>
      </c>
      <c r="I65">
        <f t="shared" si="0"/>
        <v>2.4416136685654358E-2</v>
      </c>
      <c r="J65">
        <v>0</v>
      </c>
      <c r="K65">
        <f t="shared" si="1"/>
        <v>2.4416136685654358E-2</v>
      </c>
      <c r="L65">
        <f t="shared" si="2"/>
        <v>2.4416136685654357</v>
      </c>
      <c r="M65">
        <v>0.52</v>
      </c>
    </row>
    <row r="66" spans="1:13" x14ac:dyDescent="0.2">
      <c r="A66" s="1">
        <v>43984</v>
      </c>
      <c r="B66">
        <v>48.880001</v>
      </c>
      <c r="C66">
        <v>49.919998</v>
      </c>
      <c r="D66">
        <v>48.689999</v>
      </c>
      <c r="E66">
        <v>49.77</v>
      </c>
      <c r="F66">
        <v>48.798965000000003</v>
      </c>
      <c r="G66">
        <v>2864000</v>
      </c>
      <c r="I66">
        <f t="shared" si="0"/>
        <v>3.1502609883780272E-2</v>
      </c>
      <c r="J66">
        <v>0</v>
      </c>
      <c r="K66">
        <f t="shared" si="1"/>
        <v>3.1502609883780272E-2</v>
      </c>
      <c r="L66">
        <f t="shared" si="2"/>
        <v>3.1502609883780273</v>
      </c>
      <c r="M66">
        <v>0.81</v>
      </c>
    </row>
    <row r="67" spans="1:13" x14ac:dyDescent="0.2">
      <c r="A67" s="1">
        <v>43985</v>
      </c>
      <c r="B67">
        <v>50</v>
      </c>
      <c r="C67">
        <v>50.860000999999997</v>
      </c>
      <c r="D67">
        <v>49.950001</v>
      </c>
      <c r="E67">
        <v>50.48</v>
      </c>
      <c r="F67">
        <v>49.495113000000003</v>
      </c>
      <c r="G67">
        <v>1680700</v>
      </c>
      <c r="I67">
        <f t="shared" si="0"/>
        <v>1.4265630428842104E-2</v>
      </c>
      <c r="J67">
        <v>0</v>
      </c>
      <c r="K67">
        <f t="shared" si="1"/>
        <v>1.4265630428842104E-2</v>
      </c>
      <c r="L67">
        <f t="shared" si="2"/>
        <v>1.4265630428842104</v>
      </c>
      <c r="M67">
        <v>1.42</v>
      </c>
    </row>
    <row r="68" spans="1:13" x14ac:dyDescent="0.2">
      <c r="A68" s="1">
        <v>43986</v>
      </c>
      <c r="B68">
        <v>50.150002000000001</v>
      </c>
      <c r="C68">
        <v>50.5</v>
      </c>
      <c r="D68">
        <v>49.889999000000003</v>
      </c>
      <c r="E68">
        <v>50.400002000000001</v>
      </c>
      <c r="F68">
        <v>49.416676000000002</v>
      </c>
      <c r="G68">
        <v>1595400</v>
      </c>
      <c r="I68">
        <f t="shared" ref="I68:I131" si="3">(F68-F67)/F67</f>
        <v>-1.5847423158726998E-3</v>
      </c>
      <c r="J68">
        <v>0</v>
      </c>
      <c r="K68">
        <f t="shared" ref="K68:K131" si="4">I68-J68</f>
        <v>-1.5847423158726998E-3</v>
      </c>
      <c r="L68">
        <f t="shared" ref="L68:L131" si="5">100*K68</f>
        <v>-0.15847423158726998</v>
      </c>
      <c r="M68">
        <v>-0.34</v>
      </c>
    </row>
    <row r="69" spans="1:13" x14ac:dyDescent="0.2">
      <c r="A69" s="1">
        <v>43987</v>
      </c>
      <c r="B69">
        <v>51.48</v>
      </c>
      <c r="C69">
        <v>52.25</v>
      </c>
      <c r="D69">
        <v>51.330002</v>
      </c>
      <c r="E69">
        <v>51.450001</v>
      </c>
      <c r="F69">
        <v>50.446190000000001</v>
      </c>
      <c r="G69">
        <v>1924300</v>
      </c>
      <c r="I69">
        <f t="shared" si="3"/>
        <v>2.0833331646992987E-2</v>
      </c>
      <c r="J69">
        <v>0</v>
      </c>
      <c r="K69">
        <f t="shared" si="4"/>
        <v>2.0833331646992987E-2</v>
      </c>
      <c r="L69">
        <f t="shared" si="5"/>
        <v>2.0833331646992987</v>
      </c>
      <c r="M69">
        <v>2.5</v>
      </c>
    </row>
    <row r="70" spans="1:13" x14ac:dyDescent="0.2">
      <c r="A70" s="1">
        <v>43990</v>
      </c>
      <c r="B70">
        <v>52.470001000000003</v>
      </c>
      <c r="C70">
        <v>52.73</v>
      </c>
      <c r="D70">
        <v>51.880001</v>
      </c>
      <c r="E70">
        <v>52.68</v>
      </c>
      <c r="F70">
        <v>51.652191000000002</v>
      </c>
      <c r="G70">
        <v>1904000</v>
      </c>
      <c r="I70">
        <f t="shared" si="3"/>
        <v>2.3906681555138268E-2</v>
      </c>
      <c r="J70">
        <v>0</v>
      </c>
      <c r="K70">
        <f t="shared" si="4"/>
        <v>2.3906681555138268E-2</v>
      </c>
      <c r="L70">
        <f t="shared" si="5"/>
        <v>2.3906681555138269</v>
      </c>
      <c r="M70">
        <v>1.39</v>
      </c>
    </row>
    <row r="71" spans="1:13" x14ac:dyDescent="0.2">
      <c r="A71" s="1">
        <v>43991</v>
      </c>
      <c r="B71">
        <v>51.560001</v>
      </c>
      <c r="C71">
        <v>52.57</v>
      </c>
      <c r="D71">
        <v>51.25</v>
      </c>
      <c r="E71">
        <v>52.279998999999997</v>
      </c>
      <c r="F71">
        <v>51.259990999999999</v>
      </c>
      <c r="G71">
        <v>1648200</v>
      </c>
      <c r="I71">
        <f t="shared" si="3"/>
        <v>-7.593095131240464E-3</v>
      </c>
      <c r="J71">
        <v>0</v>
      </c>
      <c r="K71">
        <f t="shared" si="4"/>
        <v>-7.593095131240464E-3</v>
      </c>
      <c r="L71">
        <f t="shared" si="5"/>
        <v>-0.75930951312404638</v>
      </c>
      <c r="M71">
        <v>-0.85</v>
      </c>
    </row>
    <row r="72" spans="1:13" x14ac:dyDescent="0.2">
      <c r="A72" s="1">
        <v>43992</v>
      </c>
      <c r="B72">
        <v>52.32</v>
      </c>
      <c r="C72">
        <v>52.860000999999997</v>
      </c>
      <c r="D72">
        <v>51.919998</v>
      </c>
      <c r="E72">
        <v>52.459999000000003</v>
      </c>
      <c r="F72">
        <v>51.436481000000001</v>
      </c>
      <c r="G72">
        <v>1891900</v>
      </c>
      <c r="I72">
        <f t="shared" si="3"/>
        <v>3.4430361097800653E-3</v>
      </c>
      <c r="J72">
        <v>0</v>
      </c>
      <c r="K72">
        <f t="shared" si="4"/>
        <v>3.4430361097800653E-3</v>
      </c>
      <c r="L72">
        <f t="shared" si="5"/>
        <v>0.34430361097800655</v>
      </c>
      <c r="M72">
        <v>-0.56000000000000005</v>
      </c>
    </row>
    <row r="73" spans="1:13" x14ac:dyDescent="0.2">
      <c r="A73" s="1">
        <v>43993</v>
      </c>
      <c r="B73">
        <v>50.400002000000001</v>
      </c>
      <c r="C73">
        <v>50.580002</v>
      </c>
      <c r="D73">
        <v>48.57</v>
      </c>
      <c r="E73">
        <v>48.669998</v>
      </c>
      <c r="F73">
        <v>47.720424999999999</v>
      </c>
      <c r="G73">
        <v>2517300</v>
      </c>
      <c r="I73">
        <f t="shared" si="3"/>
        <v>-7.2245533282107727E-2</v>
      </c>
      <c r="J73">
        <v>0</v>
      </c>
      <c r="K73">
        <f t="shared" si="4"/>
        <v>-7.2245533282107727E-2</v>
      </c>
      <c r="L73">
        <f t="shared" si="5"/>
        <v>-7.2245533282107726</v>
      </c>
      <c r="M73">
        <v>-5.91</v>
      </c>
    </row>
    <row r="74" spans="1:13" x14ac:dyDescent="0.2">
      <c r="A74" s="1">
        <v>43994</v>
      </c>
      <c r="B74">
        <v>50.470001000000003</v>
      </c>
      <c r="C74">
        <v>50.75</v>
      </c>
      <c r="D74">
        <v>49.27</v>
      </c>
      <c r="E74">
        <v>50.009998000000003</v>
      </c>
      <c r="F74">
        <v>49.034283000000002</v>
      </c>
      <c r="G74">
        <v>3171800</v>
      </c>
      <c r="I74">
        <f t="shared" si="3"/>
        <v>2.7532403577713388E-2</v>
      </c>
      <c r="J74">
        <v>0</v>
      </c>
      <c r="K74">
        <f t="shared" si="4"/>
        <v>2.7532403577713388E-2</v>
      </c>
      <c r="L74">
        <f t="shared" si="5"/>
        <v>2.7532403577713387</v>
      </c>
      <c r="M74">
        <v>1.29</v>
      </c>
    </row>
    <row r="75" spans="1:13" x14ac:dyDescent="0.2">
      <c r="A75" s="1">
        <v>43997</v>
      </c>
      <c r="B75">
        <v>48.25</v>
      </c>
      <c r="C75">
        <v>49.580002</v>
      </c>
      <c r="D75">
        <v>47.919998</v>
      </c>
      <c r="E75">
        <v>49.349997999999999</v>
      </c>
      <c r="F75">
        <v>48.387157000000002</v>
      </c>
      <c r="G75">
        <v>2316800</v>
      </c>
      <c r="I75">
        <f t="shared" si="3"/>
        <v>-1.3197419446308617E-2</v>
      </c>
      <c r="J75">
        <v>0</v>
      </c>
      <c r="K75">
        <f t="shared" si="4"/>
        <v>-1.3197419446308617E-2</v>
      </c>
      <c r="L75">
        <f t="shared" si="5"/>
        <v>-1.3197419446308616</v>
      </c>
      <c r="M75">
        <v>1.0900000000000001</v>
      </c>
    </row>
    <row r="76" spans="1:13" x14ac:dyDescent="0.2">
      <c r="A76" s="1">
        <v>43998</v>
      </c>
      <c r="B76">
        <v>50.799999</v>
      </c>
      <c r="C76">
        <v>50.810001</v>
      </c>
      <c r="D76">
        <v>49.299999</v>
      </c>
      <c r="E76">
        <v>50.049999</v>
      </c>
      <c r="F76">
        <v>49.073501999999998</v>
      </c>
      <c r="G76">
        <v>2008900</v>
      </c>
      <c r="I76">
        <f t="shared" si="3"/>
        <v>1.4184445678426524E-2</v>
      </c>
      <c r="J76">
        <v>0</v>
      </c>
      <c r="K76">
        <f t="shared" si="4"/>
        <v>1.4184445678426524E-2</v>
      </c>
      <c r="L76">
        <f t="shared" si="5"/>
        <v>1.4184445678426523</v>
      </c>
      <c r="M76">
        <v>1.86</v>
      </c>
    </row>
    <row r="77" spans="1:13" x14ac:dyDescent="0.2">
      <c r="A77" s="1">
        <v>43999</v>
      </c>
      <c r="B77">
        <v>49.869999</v>
      </c>
      <c r="C77">
        <v>50.18</v>
      </c>
      <c r="D77">
        <v>49.529998999999997</v>
      </c>
      <c r="E77">
        <v>49.639999000000003</v>
      </c>
      <c r="F77">
        <v>48.671500999999999</v>
      </c>
      <c r="G77">
        <v>1337800</v>
      </c>
      <c r="I77">
        <f t="shared" si="3"/>
        <v>-8.1918139854783249E-3</v>
      </c>
      <c r="J77">
        <v>0</v>
      </c>
      <c r="K77">
        <f t="shared" si="4"/>
        <v>-8.1918139854783249E-3</v>
      </c>
      <c r="L77">
        <f t="shared" si="5"/>
        <v>-0.81918139854783245</v>
      </c>
      <c r="M77">
        <v>-0.4</v>
      </c>
    </row>
    <row r="78" spans="1:13" x14ac:dyDescent="0.2">
      <c r="A78" s="1">
        <v>44000</v>
      </c>
      <c r="B78">
        <v>48.27</v>
      </c>
      <c r="C78">
        <v>49.150002000000001</v>
      </c>
      <c r="D78">
        <v>48.25</v>
      </c>
      <c r="E78">
        <v>49.02</v>
      </c>
      <c r="F78">
        <v>48.063599000000004</v>
      </c>
      <c r="G78">
        <v>1616100</v>
      </c>
      <c r="I78">
        <f t="shared" si="3"/>
        <v>-1.2489896294753592E-2</v>
      </c>
      <c r="J78">
        <v>0</v>
      </c>
      <c r="K78">
        <f t="shared" si="4"/>
        <v>-1.2489896294753592E-2</v>
      </c>
      <c r="L78">
        <f t="shared" si="5"/>
        <v>-1.2489896294753591</v>
      </c>
      <c r="M78">
        <v>0.19</v>
      </c>
    </row>
    <row r="79" spans="1:13" x14ac:dyDescent="0.2">
      <c r="A79" s="1">
        <v>44001</v>
      </c>
      <c r="B79">
        <v>48.529998999999997</v>
      </c>
      <c r="C79">
        <v>48.790000999999997</v>
      </c>
      <c r="D79">
        <v>47.82</v>
      </c>
      <c r="E79">
        <v>47.959999000000003</v>
      </c>
      <c r="F79">
        <v>47.024276999999998</v>
      </c>
      <c r="G79">
        <v>2277300</v>
      </c>
      <c r="I79">
        <f t="shared" si="3"/>
        <v>-2.162389046230195E-2</v>
      </c>
      <c r="J79">
        <v>0</v>
      </c>
      <c r="K79">
        <f t="shared" si="4"/>
        <v>-2.162389046230195E-2</v>
      </c>
      <c r="L79">
        <f t="shared" si="5"/>
        <v>-2.1623890462301949</v>
      </c>
      <c r="M79">
        <v>-0.45</v>
      </c>
    </row>
    <row r="80" spans="1:13" x14ac:dyDescent="0.2">
      <c r="A80" s="1">
        <v>44004</v>
      </c>
      <c r="B80">
        <v>48.740001999999997</v>
      </c>
      <c r="C80">
        <v>49.16</v>
      </c>
      <c r="D80">
        <v>48.529998999999997</v>
      </c>
      <c r="E80">
        <v>49.110000999999997</v>
      </c>
      <c r="F80">
        <v>48.151843999999997</v>
      </c>
      <c r="G80">
        <v>1200200</v>
      </c>
      <c r="I80">
        <f t="shared" si="3"/>
        <v>2.397840162433543E-2</v>
      </c>
      <c r="J80">
        <v>0</v>
      </c>
      <c r="K80">
        <f t="shared" si="4"/>
        <v>2.397840162433543E-2</v>
      </c>
      <c r="L80">
        <f t="shared" si="5"/>
        <v>2.397840162433543</v>
      </c>
      <c r="M80">
        <v>0.71</v>
      </c>
    </row>
    <row r="81" spans="1:13" x14ac:dyDescent="0.2">
      <c r="A81" s="1">
        <v>44005</v>
      </c>
      <c r="B81">
        <v>49.880001</v>
      </c>
      <c r="C81">
        <v>50.490001999999997</v>
      </c>
      <c r="D81">
        <v>49.759998000000003</v>
      </c>
      <c r="E81">
        <v>49.82</v>
      </c>
      <c r="F81">
        <v>48.847988000000001</v>
      </c>
      <c r="G81">
        <v>1949500</v>
      </c>
      <c r="I81">
        <f t="shared" si="3"/>
        <v>1.4457265644904562E-2</v>
      </c>
      <c r="J81">
        <v>0</v>
      </c>
      <c r="K81">
        <f t="shared" si="4"/>
        <v>1.4457265644904562E-2</v>
      </c>
      <c r="L81">
        <f t="shared" si="5"/>
        <v>1.4457265644904562</v>
      </c>
      <c r="M81">
        <v>0.42</v>
      </c>
    </row>
    <row r="82" spans="1:13" x14ac:dyDescent="0.2">
      <c r="A82" s="1">
        <v>44006</v>
      </c>
      <c r="B82">
        <v>49.060001</v>
      </c>
      <c r="C82">
        <v>49.240001999999997</v>
      </c>
      <c r="D82">
        <v>48.259998000000003</v>
      </c>
      <c r="E82">
        <v>48.41</v>
      </c>
      <c r="F82">
        <v>47.465499999999999</v>
      </c>
      <c r="G82">
        <v>2118000</v>
      </c>
      <c r="I82">
        <f t="shared" si="3"/>
        <v>-2.8301841214012788E-2</v>
      </c>
      <c r="J82">
        <v>0</v>
      </c>
      <c r="K82">
        <f t="shared" si="4"/>
        <v>-2.8301841214012788E-2</v>
      </c>
      <c r="L82">
        <f t="shared" si="5"/>
        <v>-2.8301841214012788</v>
      </c>
      <c r="M82">
        <v>-2.61</v>
      </c>
    </row>
    <row r="83" spans="1:13" x14ac:dyDescent="0.2">
      <c r="A83" s="1">
        <v>44007</v>
      </c>
      <c r="B83">
        <v>48.57</v>
      </c>
      <c r="C83">
        <v>49.439999</v>
      </c>
      <c r="D83">
        <v>48.419998</v>
      </c>
      <c r="E83">
        <v>49.41</v>
      </c>
      <c r="F83">
        <v>48.445988</v>
      </c>
      <c r="G83">
        <v>1932100</v>
      </c>
      <c r="I83">
        <f t="shared" si="3"/>
        <v>2.06568560322761E-2</v>
      </c>
      <c r="J83">
        <v>0</v>
      </c>
      <c r="K83">
        <f t="shared" si="4"/>
        <v>2.06568560322761E-2</v>
      </c>
      <c r="L83">
        <f t="shared" si="5"/>
        <v>2.0656856032276099</v>
      </c>
      <c r="M83">
        <v>1.1200000000000001</v>
      </c>
    </row>
    <row r="84" spans="1:13" x14ac:dyDescent="0.2">
      <c r="A84" s="1">
        <v>44008</v>
      </c>
      <c r="B84">
        <v>49.279998999999997</v>
      </c>
      <c r="C84">
        <v>49.32</v>
      </c>
      <c r="D84">
        <v>48.459999000000003</v>
      </c>
      <c r="E84">
        <v>48.540000999999997</v>
      </c>
      <c r="F84">
        <v>47.592964000000002</v>
      </c>
      <c r="G84">
        <v>1797500</v>
      </c>
      <c r="I84">
        <f t="shared" si="3"/>
        <v>-1.760773255362235E-2</v>
      </c>
      <c r="J84">
        <v>0</v>
      </c>
      <c r="K84">
        <f t="shared" si="4"/>
        <v>-1.760773255362235E-2</v>
      </c>
      <c r="L84">
        <f t="shared" si="5"/>
        <v>-1.7607732553622351</v>
      </c>
      <c r="M84">
        <v>-2.44</v>
      </c>
    </row>
    <row r="85" spans="1:13" x14ac:dyDescent="0.2">
      <c r="A85" s="1">
        <v>44011</v>
      </c>
      <c r="B85">
        <v>48.889999000000003</v>
      </c>
      <c r="C85">
        <v>49.040000999999997</v>
      </c>
      <c r="D85">
        <v>48.48</v>
      </c>
      <c r="E85">
        <v>48.98</v>
      </c>
      <c r="F85">
        <v>48.024375999999997</v>
      </c>
      <c r="G85">
        <v>1730100</v>
      </c>
      <c r="I85">
        <f t="shared" si="3"/>
        <v>9.0646171984580439E-3</v>
      </c>
      <c r="J85">
        <v>0</v>
      </c>
      <c r="K85">
        <f t="shared" si="4"/>
        <v>9.0646171984580439E-3</v>
      </c>
      <c r="L85">
        <f t="shared" si="5"/>
        <v>0.90646171984580437</v>
      </c>
      <c r="M85">
        <v>1.51</v>
      </c>
    </row>
    <row r="86" spans="1:13" x14ac:dyDescent="0.2">
      <c r="A86" s="1">
        <v>44012</v>
      </c>
      <c r="B86">
        <v>48.68</v>
      </c>
      <c r="C86">
        <v>49.880001</v>
      </c>
      <c r="D86">
        <v>48.619999</v>
      </c>
      <c r="E86">
        <v>49.73</v>
      </c>
      <c r="F86">
        <v>48.759746999999997</v>
      </c>
      <c r="G86">
        <v>1772400</v>
      </c>
      <c r="I86">
        <f t="shared" si="3"/>
        <v>1.5312452992621928E-2</v>
      </c>
      <c r="J86">
        <v>0</v>
      </c>
      <c r="K86">
        <f t="shared" si="4"/>
        <v>1.5312452992621928E-2</v>
      </c>
      <c r="L86">
        <f t="shared" si="5"/>
        <v>1.5312452992621928</v>
      </c>
      <c r="M86">
        <v>1.58</v>
      </c>
    </row>
    <row r="87" spans="1:13" x14ac:dyDescent="0.2">
      <c r="A87" s="1">
        <v>44013</v>
      </c>
      <c r="B87">
        <v>49.48</v>
      </c>
      <c r="C87">
        <v>49.75</v>
      </c>
      <c r="D87">
        <v>49.040000999999997</v>
      </c>
      <c r="E87">
        <v>49.450001</v>
      </c>
      <c r="F87">
        <v>48.485210000000002</v>
      </c>
      <c r="G87">
        <v>2012200</v>
      </c>
      <c r="I87">
        <f t="shared" si="3"/>
        <v>-5.6304024711201876E-3</v>
      </c>
      <c r="J87">
        <v>0</v>
      </c>
      <c r="K87">
        <f t="shared" si="4"/>
        <v>-5.6304024711201876E-3</v>
      </c>
      <c r="L87">
        <f t="shared" si="5"/>
        <v>-0.56304024711201872</v>
      </c>
      <c r="M87">
        <v>0.41</v>
      </c>
    </row>
    <row r="88" spans="1:13" x14ac:dyDescent="0.2">
      <c r="A88" s="1">
        <v>44014</v>
      </c>
      <c r="B88">
        <v>50.360000999999997</v>
      </c>
      <c r="C88">
        <v>50.759998000000003</v>
      </c>
      <c r="D88">
        <v>50.07</v>
      </c>
      <c r="E88">
        <v>50.07</v>
      </c>
      <c r="F88">
        <v>49.093113000000002</v>
      </c>
      <c r="G88">
        <v>1843100</v>
      </c>
      <c r="I88">
        <f t="shared" si="3"/>
        <v>1.2537905889239219E-2</v>
      </c>
      <c r="J88">
        <v>0</v>
      </c>
      <c r="K88">
        <f t="shared" si="4"/>
        <v>1.2537905889239219E-2</v>
      </c>
      <c r="L88">
        <f t="shared" si="5"/>
        <v>1.2537905889239218</v>
      </c>
      <c r="M88">
        <v>0.5</v>
      </c>
    </row>
    <row r="89" spans="1:13" x14ac:dyDescent="0.2">
      <c r="A89" s="1">
        <v>44018</v>
      </c>
      <c r="B89">
        <v>50.02</v>
      </c>
      <c r="C89">
        <v>50.450001</v>
      </c>
      <c r="D89">
        <v>49.919998</v>
      </c>
      <c r="E89">
        <v>50.43</v>
      </c>
      <c r="F89">
        <v>49.446086999999999</v>
      </c>
      <c r="G89">
        <v>1355900</v>
      </c>
      <c r="I89">
        <f t="shared" si="3"/>
        <v>7.1898883250690604E-3</v>
      </c>
      <c r="J89">
        <v>0</v>
      </c>
      <c r="K89">
        <f t="shared" si="4"/>
        <v>7.1898883250690604E-3</v>
      </c>
      <c r="L89">
        <f t="shared" si="5"/>
        <v>0.71898883250690604</v>
      </c>
      <c r="M89">
        <v>1.65</v>
      </c>
    </row>
    <row r="90" spans="1:13" x14ac:dyDescent="0.2">
      <c r="A90" s="1">
        <v>44019</v>
      </c>
      <c r="B90">
        <v>50</v>
      </c>
      <c r="C90">
        <v>50.689999</v>
      </c>
      <c r="D90">
        <v>49.869999</v>
      </c>
      <c r="E90">
        <v>49.919998</v>
      </c>
      <c r="F90">
        <v>48.946036999999997</v>
      </c>
      <c r="G90">
        <v>1676100</v>
      </c>
      <c r="I90">
        <f t="shared" si="3"/>
        <v>-1.0113034829227268E-2</v>
      </c>
      <c r="J90">
        <v>0</v>
      </c>
      <c r="K90">
        <f t="shared" si="4"/>
        <v>-1.0113034829227268E-2</v>
      </c>
      <c r="L90">
        <f t="shared" si="5"/>
        <v>-1.0113034829227268</v>
      </c>
      <c r="M90">
        <v>-1.03</v>
      </c>
    </row>
    <row r="91" spans="1:13" x14ac:dyDescent="0.2">
      <c r="A91" s="1">
        <v>44020</v>
      </c>
      <c r="B91">
        <v>50.34</v>
      </c>
      <c r="C91">
        <v>51.220001000000003</v>
      </c>
      <c r="D91">
        <v>50.34</v>
      </c>
      <c r="E91">
        <v>51.110000999999997</v>
      </c>
      <c r="F91">
        <v>50.112822999999999</v>
      </c>
      <c r="G91">
        <v>2386400</v>
      </c>
      <c r="I91">
        <f t="shared" si="3"/>
        <v>2.3838211865855493E-2</v>
      </c>
      <c r="J91">
        <v>0</v>
      </c>
      <c r="K91">
        <f t="shared" si="4"/>
        <v>2.3838211865855493E-2</v>
      </c>
      <c r="L91">
        <f t="shared" si="5"/>
        <v>2.3838211865855494</v>
      </c>
      <c r="M91">
        <v>0.91</v>
      </c>
    </row>
    <row r="92" spans="1:13" x14ac:dyDescent="0.2">
      <c r="A92" s="1">
        <v>44021</v>
      </c>
      <c r="B92">
        <v>51.189999</v>
      </c>
      <c r="C92">
        <v>51.349997999999999</v>
      </c>
      <c r="D92">
        <v>50.150002000000001</v>
      </c>
      <c r="E92">
        <v>50.5</v>
      </c>
      <c r="F92">
        <v>49.514721000000002</v>
      </c>
      <c r="G92">
        <v>1638500</v>
      </c>
      <c r="I92">
        <f t="shared" si="3"/>
        <v>-1.1935108904162059E-2</v>
      </c>
      <c r="J92">
        <v>0</v>
      </c>
      <c r="K92">
        <f t="shared" si="4"/>
        <v>-1.1935108904162059E-2</v>
      </c>
      <c r="L92">
        <f t="shared" si="5"/>
        <v>-1.1935108904162059</v>
      </c>
      <c r="M92">
        <v>-0.53</v>
      </c>
    </row>
    <row r="93" spans="1:13" x14ac:dyDescent="0.2">
      <c r="A93" s="1">
        <v>44022</v>
      </c>
      <c r="B93">
        <v>50.720001000000003</v>
      </c>
      <c r="C93">
        <v>51.130001</v>
      </c>
      <c r="D93">
        <v>50.310001</v>
      </c>
      <c r="E93">
        <v>51.07</v>
      </c>
      <c r="F93">
        <v>50.073600999999996</v>
      </c>
      <c r="G93">
        <v>1620800</v>
      </c>
      <c r="I93">
        <f t="shared" si="3"/>
        <v>1.1287148321001242E-2</v>
      </c>
      <c r="J93">
        <v>0</v>
      </c>
      <c r="K93">
        <f t="shared" si="4"/>
        <v>1.1287148321001242E-2</v>
      </c>
      <c r="L93">
        <f t="shared" si="5"/>
        <v>1.1287148321001241</v>
      </c>
      <c r="M93">
        <v>1.1100000000000001</v>
      </c>
    </row>
    <row r="94" spans="1:13" x14ac:dyDescent="0.2">
      <c r="A94" s="1">
        <v>44025</v>
      </c>
      <c r="B94">
        <v>51.889999000000003</v>
      </c>
      <c r="C94">
        <v>52.080002</v>
      </c>
      <c r="D94">
        <v>50.759998000000003</v>
      </c>
      <c r="E94">
        <v>50.77</v>
      </c>
      <c r="F94">
        <v>49.779452999999997</v>
      </c>
      <c r="G94">
        <v>1927800</v>
      </c>
      <c r="I94">
        <f t="shared" si="3"/>
        <v>-5.8743128939338692E-3</v>
      </c>
      <c r="J94">
        <v>0</v>
      </c>
      <c r="K94">
        <f t="shared" si="4"/>
        <v>-5.8743128939338692E-3</v>
      </c>
      <c r="L94">
        <f t="shared" si="5"/>
        <v>-0.58743128939338696</v>
      </c>
      <c r="M94">
        <v>-1.2</v>
      </c>
    </row>
    <row r="95" spans="1:13" x14ac:dyDescent="0.2">
      <c r="A95" s="1">
        <v>44026</v>
      </c>
      <c r="B95">
        <v>51.150002000000001</v>
      </c>
      <c r="C95">
        <v>52.52</v>
      </c>
      <c r="D95">
        <v>51.09</v>
      </c>
      <c r="E95">
        <v>52.360000999999997</v>
      </c>
      <c r="F95">
        <v>51.338431999999997</v>
      </c>
      <c r="G95">
        <v>2438600</v>
      </c>
      <c r="I95">
        <f t="shared" si="3"/>
        <v>3.1317720586443588E-2</v>
      </c>
      <c r="J95">
        <v>0</v>
      </c>
      <c r="K95">
        <f t="shared" si="4"/>
        <v>3.1317720586443588E-2</v>
      </c>
      <c r="L95">
        <f t="shared" si="5"/>
        <v>3.1317720586443589</v>
      </c>
      <c r="M95">
        <v>1.35</v>
      </c>
    </row>
    <row r="96" spans="1:13" x14ac:dyDescent="0.2">
      <c r="A96" s="1">
        <v>44027</v>
      </c>
      <c r="B96">
        <v>53.689999</v>
      </c>
      <c r="C96">
        <v>53.779998999999997</v>
      </c>
      <c r="D96">
        <v>52.650002000000001</v>
      </c>
      <c r="E96">
        <v>53.080002</v>
      </c>
      <c r="F96">
        <v>52.044387999999998</v>
      </c>
      <c r="G96">
        <v>3301700</v>
      </c>
      <c r="I96">
        <f t="shared" si="3"/>
        <v>1.3751023794415859E-2</v>
      </c>
      <c r="J96">
        <v>0</v>
      </c>
      <c r="K96">
        <f t="shared" si="4"/>
        <v>1.3751023794415859E-2</v>
      </c>
      <c r="L96">
        <f t="shared" si="5"/>
        <v>1.375102379441586</v>
      </c>
      <c r="M96">
        <v>1.1399999999999999</v>
      </c>
    </row>
    <row r="97" spans="1:13" x14ac:dyDescent="0.2">
      <c r="A97" s="1">
        <v>44028</v>
      </c>
      <c r="B97">
        <v>52.720001000000003</v>
      </c>
      <c r="C97">
        <v>53.009998000000003</v>
      </c>
      <c r="D97">
        <v>52.610000999999997</v>
      </c>
      <c r="E97">
        <v>52.950001</v>
      </c>
      <c r="F97">
        <v>51.916924000000002</v>
      </c>
      <c r="G97">
        <v>1816400</v>
      </c>
      <c r="I97">
        <f t="shared" si="3"/>
        <v>-2.4491401455233991E-3</v>
      </c>
      <c r="J97">
        <v>0</v>
      </c>
      <c r="K97">
        <f t="shared" si="4"/>
        <v>-2.4491401455233991E-3</v>
      </c>
      <c r="L97">
        <f t="shared" si="5"/>
        <v>-0.24491401455233991</v>
      </c>
      <c r="M97">
        <v>-0.37</v>
      </c>
    </row>
    <row r="98" spans="1:13" x14ac:dyDescent="0.2">
      <c r="A98" s="1">
        <v>44029</v>
      </c>
      <c r="B98">
        <v>53.41</v>
      </c>
      <c r="C98">
        <v>53.990001999999997</v>
      </c>
      <c r="D98">
        <v>53.299999</v>
      </c>
      <c r="E98">
        <v>53.84</v>
      </c>
      <c r="F98">
        <v>52.789558</v>
      </c>
      <c r="G98">
        <v>2035900</v>
      </c>
      <c r="I98">
        <f t="shared" si="3"/>
        <v>1.6808276237629139E-2</v>
      </c>
      <c r="J98">
        <v>0</v>
      </c>
      <c r="K98">
        <f t="shared" si="4"/>
        <v>1.6808276237629139E-2</v>
      </c>
      <c r="L98">
        <f t="shared" si="5"/>
        <v>1.6808276237629138</v>
      </c>
      <c r="M98">
        <v>0.3</v>
      </c>
    </row>
    <row r="99" spans="1:13" x14ac:dyDescent="0.2">
      <c r="A99" s="1">
        <v>44032</v>
      </c>
      <c r="B99">
        <v>53.639999000000003</v>
      </c>
      <c r="C99">
        <v>54.169998</v>
      </c>
      <c r="D99">
        <v>53.549999</v>
      </c>
      <c r="E99">
        <v>53.59</v>
      </c>
      <c r="F99">
        <v>52.544434000000003</v>
      </c>
      <c r="G99">
        <v>1981700</v>
      </c>
      <c r="I99">
        <f t="shared" si="3"/>
        <v>-4.6434183063248421E-3</v>
      </c>
      <c r="J99">
        <v>0</v>
      </c>
      <c r="K99">
        <f t="shared" si="4"/>
        <v>-4.6434183063248421E-3</v>
      </c>
      <c r="L99">
        <f t="shared" si="5"/>
        <v>-0.46434183063248419</v>
      </c>
      <c r="M99">
        <v>1.01</v>
      </c>
    </row>
    <row r="100" spans="1:13" x14ac:dyDescent="0.2">
      <c r="A100" s="1">
        <v>44033</v>
      </c>
      <c r="B100">
        <v>53.009998000000003</v>
      </c>
      <c r="C100">
        <v>53.5</v>
      </c>
      <c r="D100">
        <v>52.68</v>
      </c>
      <c r="E100">
        <v>53.32</v>
      </c>
      <c r="F100">
        <v>52.279701000000003</v>
      </c>
      <c r="G100">
        <v>2832200</v>
      </c>
      <c r="I100">
        <f t="shared" si="3"/>
        <v>-5.0382691342721409E-3</v>
      </c>
      <c r="J100">
        <v>0</v>
      </c>
      <c r="K100">
        <f t="shared" si="4"/>
        <v>-5.0382691342721409E-3</v>
      </c>
      <c r="L100">
        <f t="shared" si="5"/>
        <v>-0.50382691342721408</v>
      </c>
      <c r="M100">
        <v>0.16</v>
      </c>
    </row>
    <row r="101" spans="1:13" x14ac:dyDescent="0.2">
      <c r="A101" s="1">
        <v>44034</v>
      </c>
      <c r="B101">
        <v>52.57</v>
      </c>
      <c r="C101">
        <v>53.23</v>
      </c>
      <c r="D101">
        <v>52.57</v>
      </c>
      <c r="E101">
        <v>53.189999</v>
      </c>
      <c r="F101">
        <v>52.152237</v>
      </c>
      <c r="G101">
        <v>2652400</v>
      </c>
      <c r="I101">
        <f t="shared" si="3"/>
        <v>-2.438116468952325E-3</v>
      </c>
      <c r="J101">
        <v>0</v>
      </c>
      <c r="K101">
        <f t="shared" si="4"/>
        <v>-2.438116468952325E-3</v>
      </c>
      <c r="L101">
        <f t="shared" si="5"/>
        <v>-0.24381164689523249</v>
      </c>
      <c r="M101">
        <v>0.49</v>
      </c>
    </row>
    <row r="102" spans="1:13" x14ac:dyDescent="0.2">
      <c r="A102" s="1">
        <v>44035</v>
      </c>
      <c r="B102">
        <v>53.060001</v>
      </c>
      <c r="C102">
        <v>53.290000999999997</v>
      </c>
      <c r="D102">
        <v>52.5</v>
      </c>
      <c r="E102">
        <v>52.709999000000003</v>
      </c>
      <c r="F102">
        <v>51.681601999999998</v>
      </c>
      <c r="G102">
        <v>1620500</v>
      </c>
      <c r="I102">
        <f t="shared" si="3"/>
        <v>-9.0242533604071758E-3</v>
      </c>
      <c r="J102">
        <v>0</v>
      </c>
      <c r="K102">
        <f t="shared" si="4"/>
        <v>-9.0242533604071758E-3</v>
      </c>
      <c r="L102">
        <f t="shared" si="5"/>
        <v>-0.90242533604071762</v>
      </c>
      <c r="M102">
        <v>-1.2</v>
      </c>
    </row>
    <row r="103" spans="1:13" x14ac:dyDescent="0.2">
      <c r="A103" s="1">
        <v>44036</v>
      </c>
      <c r="B103">
        <v>52.459999000000003</v>
      </c>
      <c r="C103">
        <v>52.799999</v>
      </c>
      <c r="D103">
        <v>52.169998</v>
      </c>
      <c r="E103">
        <v>52.610000999999997</v>
      </c>
      <c r="F103">
        <v>51.583556999999999</v>
      </c>
      <c r="G103">
        <v>1793700</v>
      </c>
      <c r="I103">
        <f t="shared" si="3"/>
        <v>-1.8970967656923455E-3</v>
      </c>
      <c r="J103">
        <v>0</v>
      </c>
      <c r="K103">
        <f t="shared" si="4"/>
        <v>-1.8970967656923455E-3</v>
      </c>
      <c r="L103">
        <f t="shared" si="5"/>
        <v>-0.18970967656923454</v>
      </c>
      <c r="M103">
        <v>-0.75</v>
      </c>
    </row>
    <row r="104" spans="1:13" x14ac:dyDescent="0.2">
      <c r="A104" s="1">
        <v>44039</v>
      </c>
      <c r="B104">
        <v>53.41</v>
      </c>
      <c r="C104">
        <v>54.450001</v>
      </c>
      <c r="D104">
        <v>53.330002</v>
      </c>
      <c r="E104">
        <v>54.389999000000003</v>
      </c>
      <c r="F104">
        <v>53.328826999999997</v>
      </c>
      <c r="G104">
        <v>2264900</v>
      </c>
      <c r="I104">
        <f t="shared" si="3"/>
        <v>3.3833843602526247E-2</v>
      </c>
      <c r="J104">
        <v>0</v>
      </c>
      <c r="K104">
        <f t="shared" si="4"/>
        <v>3.3833843602526247E-2</v>
      </c>
      <c r="L104">
        <f t="shared" si="5"/>
        <v>3.3833843602526246</v>
      </c>
      <c r="M104">
        <v>0.88</v>
      </c>
    </row>
    <row r="105" spans="1:13" x14ac:dyDescent="0.2">
      <c r="A105" s="1">
        <v>44040</v>
      </c>
      <c r="B105">
        <v>53.369999</v>
      </c>
      <c r="C105">
        <v>53.73</v>
      </c>
      <c r="D105">
        <v>53.32</v>
      </c>
      <c r="E105">
        <v>53.52</v>
      </c>
      <c r="F105">
        <v>52.4758</v>
      </c>
      <c r="G105">
        <v>1943300</v>
      </c>
      <c r="I105">
        <f t="shared" si="3"/>
        <v>-1.5995607778884719E-2</v>
      </c>
      <c r="J105">
        <v>0</v>
      </c>
      <c r="K105">
        <f t="shared" si="4"/>
        <v>-1.5995607778884719E-2</v>
      </c>
      <c r="L105">
        <f t="shared" si="5"/>
        <v>-1.599560777888472</v>
      </c>
      <c r="M105">
        <v>-0.81</v>
      </c>
    </row>
    <row r="106" spans="1:13" x14ac:dyDescent="0.2">
      <c r="A106" s="1">
        <v>44041</v>
      </c>
      <c r="B106">
        <v>53.380001</v>
      </c>
      <c r="C106">
        <v>54.400002000000001</v>
      </c>
      <c r="D106">
        <v>53.310001</v>
      </c>
      <c r="E106">
        <v>54.259998000000003</v>
      </c>
      <c r="F106">
        <v>53.201363000000001</v>
      </c>
      <c r="G106">
        <v>1921100</v>
      </c>
      <c r="I106">
        <f t="shared" si="3"/>
        <v>1.3826621032933296E-2</v>
      </c>
      <c r="J106">
        <v>0</v>
      </c>
      <c r="K106">
        <f t="shared" si="4"/>
        <v>1.3826621032933296E-2</v>
      </c>
      <c r="L106">
        <f t="shared" si="5"/>
        <v>1.3826621032933295</v>
      </c>
      <c r="M106">
        <v>1.35</v>
      </c>
    </row>
    <row r="107" spans="1:13" x14ac:dyDescent="0.2">
      <c r="A107" s="1">
        <v>44042</v>
      </c>
      <c r="B107">
        <v>52.709999000000003</v>
      </c>
      <c r="C107">
        <v>53.27</v>
      </c>
      <c r="D107">
        <v>52.240001999999997</v>
      </c>
      <c r="E107">
        <v>53.150002000000001</v>
      </c>
      <c r="F107">
        <v>52.113022000000001</v>
      </c>
      <c r="G107">
        <v>2137200</v>
      </c>
      <c r="I107">
        <f t="shared" si="3"/>
        <v>-2.0457013479147138E-2</v>
      </c>
      <c r="J107">
        <v>0</v>
      </c>
      <c r="K107">
        <f t="shared" si="4"/>
        <v>-2.0457013479147138E-2</v>
      </c>
      <c r="L107">
        <f t="shared" si="5"/>
        <v>-2.0457013479147137</v>
      </c>
      <c r="M107">
        <v>-0.28999999999999998</v>
      </c>
    </row>
    <row r="108" spans="1:13" x14ac:dyDescent="0.2">
      <c r="A108" s="1">
        <v>44043</v>
      </c>
      <c r="B108">
        <v>52.869999</v>
      </c>
      <c r="C108">
        <v>52.950001</v>
      </c>
      <c r="D108">
        <v>52.369999</v>
      </c>
      <c r="E108">
        <v>52.84</v>
      </c>
      <c r="F108">
        <v>51.809066999999999</v>
      </c>
      <c r="G108">
        <v>1643900</v>
      </c>
      <c r="I108">
        <f t="shared" si="3"/>
        <v>-5.8326112809194211E-3</v>
      </c>
      <c r="J108">
        <v>0</v>
      </c>
      <c r="K108">
        <f t="shared" si="4"/>
        <v>-5.8326112809194211E-3</v>
      </c>
      <c r="L108">
        <f t="shared" si="5"/>
        <v>-0.58326112809194208</v>
      </c>
      <c r="M108">
        <v>0.61</v>
      </c>
    </row>
    <row r="109" spans="1:13" x14ac:dyDescent="0.2">
      <c r="A109" s="1">
        <v>44046</v>
      </c>
      <c r="B109">
        <v>53.48</v>
      </c>
      <c r="C109">
        <v>53.709999000000003</v>
      </c>
      <c r="D109">
        <v>53.25</v>
      </c>
      <c r="E109">
        <v>53.689999</v>
      </c>
      <c r="F109">
        <v>52.642482999999999</v>
      </c>
      <c r="G109">
        <v>1302200</v>
      </c>
      <c r="I109">
        <f t="shared" si="3"/>
        <v>1.6086296246176364E-2</v>
      </c>
      <c r="J109">
        <v>0</v>
      </c>
      <c r="K109">
        <f t="shared" si="4"/>
        <v>1.6086296246176364E-2</v>
      </c>
      <c r="L109">
        <f t="shared" si="5"/>
        <v>1.6086296246176364</v>
      </c>
      <c r="M109">
        <v>0.98</v>
      </c>
    </row>
    <row r="110" spans="1:13" x14ac:dyDescent="0.2">
      <c r="A110" s="1">
        <v>44047</v>
      </c>
      <c r="B110">
        <v>53.32</v>
      </c>
      <c r="C110">
        <v>54.169998</v>
      </c>
      <c r="D110">
        <v>53.32</v>
      </c>
      <c r="E110">
        <v>54.16</v>
      </c>
      <c r="F110">
        <v>53.103313</v>
      </c>
      <c r="G110">
        <v>1510800</v>
      </c>
      <c r="I110">
        <f t="shared" si="3"/>
        <v>8.7539563815787601E-3</v>
      </c>
      <c r="J110">
        <v>0</v>
      </c>
      <c r="K110">
        <f t="shared" si="4"/>
        <v>8.7539563815787601E-3</v>
      </c>
      <c r="L110">
        <f t="shared" si="5"/>
        <v>0.87539563815787602</v>
      </c>
      <c r="M110">
        <v>0.37</v>
      </c>
    </row>
    <row r="111" spans="1:13" x14ac:dyDescent="0.2">
      <c r="A111" s="1">
        <v>44048</v>
      </c>
      <c r="B111">
        <v>55.73</v>
      </c>
      <c r="C111">
        <v>56.689999</v>
      </c>
      <c r="D111">
        <v>55.650002000000001</v>
      </c>
      <c r="E111">
        <v>56.02</v>
      </c>
      <c r="F111">
        <v>54.927025</v>
      </c>
      <c r="G111">
        <v>2105200</v>
      </c>
      <c r="I111">
        <f t="shared" si="3"/>
        <v>3.4342716056152661E-2</v>
      </c>
      <c r="J111">
        <v>0</v>
      </c>
      <c r="K111">
        <f t="shared" si="4"/>
        <v>3.4342716056152661E-2</v>
      </c>
      <c r="L111">
        <f t="shared" si="5"/>
        <v>3.4342716056152662</v>
      </c>
      <c r="M111">
        <v>0.78</v>
      </c>
    </row>
    <row r="112" spans="1:13" x14ac:dyDescent="0.2">
      <c r="A112" s="1">
        <v>44049</v>
      </c>
      <c r="B112">
        <v>56.599997999999999</v>
      </c>
      <c r="C112">
        <v>56.91</v>
      </c>
      <c r="D112">
        <v>56.330002</v>
      </c>
      <c r="E112">
        <v>56.84</v>
      </c>
      <c r="F112">
        <v>55.731026</v>
      </c>
      <c r="G112">
        <v>2219900</v>
      </c>
      <c r="I112">
        <f t="shared" si="3"/>
        <v>1.4637621462294735E-2</v>
      </c>
      <c r="J112">
        <v>0</v>
      </c>
      <c r="K112">
        <f t="shared" si="4"/>
        <v>1.4637621462294735E-2</v>
      </c>
      <c r="L112">
        <f t="shared" si="5"/>
        <v>1.4637621462294736</v>
      </c>
      <c r="M112">
        <v>0.53</v>
      </c>
    </row>
    <row r="113" spans="1:13" x14ac:dyDescent="0.2">
      <c r="A113" s="1">
        <v>44050</v>
      </c>
      <c r="B113">
        <v>55.970001000000003</v>
      </c>
      <c r="C113">
        <v>55.98</v>
      </c>
      <c r="D113">
        <v>55.389999000000003</v>
      </c>
      <c r="E113">
        <v>55.889999000000003</v>
      </c>
      <c r="F113">
        <v>54.799560999999997</v>
      </c>
      <c r="G113">
        <v>2314400</v>
      </c>
      <c r="I113">
        <f t="shared" si="3"/>
        <v>-1.671358069022456E-2</v>
      </c>
      <c r="J113">
        <v>0</v>
      </c>
      <c r="K113">
        <f t="shared" si="4"/>
        <v>-1.671358069022456E-2</v>
      </c>
      <c r="L113">
        <f t="shared" si="5"/>
        <v>-1.6713580690224561</v>
      </c>
      <c r="M113">
        <v>0.02</v>
      </c>
    </row>
    <row r="114" spans="1:13" x14ac:dyDescent="0.2">
      <c r="A114" s="1">
        <v>44053</v>
      </c>
      <c r="B114">
        <v>56.73</v>
      </c>
      <c r="C114">
        <v>57.400002000000001</v>
      </c>
      <c r="D114">
        <v>56.610000999999997</v>
      </c>
      <c r="E114">
        <v>57.16</v>
      </c>
      <c r="F114">
        <v>56.044784999999997</v>
      </c>
      <c r="G114">
        <v>2144300</v>
      </c>
      <c r="I114">
        <f t="shared" si="3"/>
        <v>2.2723247728207174E-2</v>
      </c>
      <c r="J114">
        <v>0</v>
      </c>
      <c r="K114">
        <f t="shared" si="4"/>
        <v>2.2723247728207174E-2</v>
      </c>
      <c r="L114">
        <f t="shared" si="5"/>
        <v>2.2723247728207174</v>
      </c>
      <c r="M114">
        <v>0.24</v>
      </c>
    </row>
    <row r="115" spans="1:13" x14ac:dyDescent="0.2">
      <c r="A115" s="1">
        <v>44054</v>
      </c>
      <c r="B115">
        <v>57.849997999999999</v>
      </c>
      <c r="C115">
        <v>57.93</v>
      </c>
      <c r="D115">
        <v>56.689999</v>
      </c>
      <c r="E115">
        <v>56.830002</v>
      </c>
      <c r="F115">
        <v>55.721221999999997</v>
      </c>
      <c r="G115">
        <v>2974100</v>
      </c>
      <c r="I115">
        <f t="shared" si="3"/>
        <v>-5.773293625803008E-3</v>
      </c>
      <c r="J115">
        <v>0</v>
      </c>
      <c r="K115">
        <f t="shared" si="4"/>
        <v>-5.773293625803008E-3</v>
      </c>
      <c r="L115">
        <f t="shared" si="5"/>
        <v>-0.57732936258030076</v>
      </c>
      <c r="M115">
        <v>-0.83</v>
      </c>
    </row>
    <row r="116" spans="1:13" x14ac:dyDescent="0.2">
      <c r="A116" s="1">
        <v>44055</v>
      </c>
      <c r="B116">
        <v>57.599997999999999</v>
      </c>
      <c r="C116">
        <v>58.349997999999999</v>
      </c>
      <c r="D116">
        <v>57.299999</v>
      </c>
      <c r="E116">
        <v>57.459999000000003</v>
      </c>
      <c r="F116">
        <v>56.338928000000003</v>
      </c>
      <c r="G116">
        <v>2226500</v>
      </c>
      <c r="I116">
        <f t="shared" si="3"/>
        <v>1.1085650634151661E-2</v>
      </c>
      <c r="J116">
        <v>0</v>
      </c>
      <c r="K116">
        <f t="shared" si="4"/>
        <v>1.1085650634151661E-2</v>
      </c>
      <c r="L116">
        <f t="shared" si="5"/>
        <v>1.108565063415166</v>
      </c>
      <c r="M116">
        <v>1.4</v>
      </c>
    </row>
    <row r="117" spans="1:13" x14ac:dyDescent="0.2">
      <c r="A117" s="1">
        <v>44056</v>
      </c>
      <c r="B117">
        <v>57.400002000000001</v>
      </c>
      <c r="C117">
        <v>57.68</v>
      </c>
      <c r="D117">
        <v>56.77</v>
      </c>
      <c r="E117">
        <v>57.029998999999997</v>
      </c>
      <c r="F117">
        <v>55.917316</v>
      </c>
      <c r="G117">
        <v>1209800</v>
      </c>
      <c r="I117">
        <f t="shared" si="3"/>
        <v>-7.4834934736422954E-3</v>
      </c>
      <c r="J117">
        <v>0</v>
      </c>
      <c r="K117">
        <f t="shared" si="4"/>
        <v>-7.4834934736422954E-3</v>
      </c>
      <c r="L117">
        <f t="shared" si="5"/>
        <v>-0.74834934736422953</v>
      </c>
      <c r="M117">
        <v>-0.01</v>
      </c>
    </row>
    <row r="118" spans="1:13" x14ac:dyDescent="0.2">
      <c r="A118" s="1">
        <v>44057</v>
      </c>
      <c r="B118">
        <v>57.099997999999999</v>
      </c>
      <c r="C118">
        <v>57.290000999999997</v>
      </c>
      <c r="D118">
        <v>56.779998999999997</v>
      </c>
      <c r="E118">
        <v>56.990001999999997</v>
      </c>
      <c r="F118">
        <v>55.878101000000001</v>
      </c>
      <c r="G118">
        <v>1122400</v>
      </c>
      <c r="I118">
        <f t="shared" si="3"/>
        <v>-7.0130333151181053E-4</v>
      </c>
      <c r="J118">
        <v>0</v>
      </c>
      <c r="K118">
        <f t="shared" si="4"/>
        <v>-7.0130333151181053E-4</v>
      </c>
      <c r="L118">
        <f t="shared" si="5"/>
        <v>-7.0130333151181057E-2</v>
      </c>
      <c r="M118">
        <v>-0.04</v>
      </c>
    </row>
    <row r="119" spans="1:13" x14ac:dyDescent="0.2">
      <c r="A119" s="1">
        <v>44060</v>
      </c>
      <c r="B119">
        <v>57.849997999999999</v>
      </c>
      <c r="C119">
        <v>58.32</v>
      </c>
      <c r="D119">
        <v>57.810001</v>
      </c>
      <c r="E119">
        <v>57.98</v>
      </c>
      <c r="F119">
        <v>56.848784999999999</v>
      </c>
      <c r="G119">
        <v>1355600</v>
      </c>
      <c r="I119">
        <f t="shared" si="3"/>
        <v>1.7371456485251683E-2</v>
      </c>
      <c r="J119">
        <v>0</v>
      </c>
      <c r="K119">
        <f t="shared" si="4"/>
        <v>1.7371456485251683E-2</v>
      </c>
      <c r="L119">
        <f t="shared" si="5"/>
        <v>1.7371456485251684</v>
      </c>
      <c r="M119">
        <v>0.45</v>
      </c>
    </row>
    <row r="120" spans="1:13" x14ac:dyDescent="0.2">
      <c r="A120" s="1">
        <v>44061</v>
      </c>
      <c r="B120">
        <v>57.799999</v>
      </c>
      <c r="C120">
        <v>57.880001</v>
      </c>
      <c r="D120">
        <v>56.639999000000003</v>
      </c>
      <c r="E120">
        <v>56.900002000000001</v>
      </c>
      <c r="F120">
        <v>55.789856</v>
      </c>
      <c r="G120">
        <v>1940700</v>
      </c>
      <c r="I120">
        <f t="shared" si="3"/>
        <v>-1.8627117536460965E-2</v>
      </c>
      <c r="J120">
        <v>0</v>
      </c>
      <c r="K120">
        <f t="shared" si="4"/>
        <v>-1.8627117536460965E-2</v>
      </c>
      <c r="L120">
        <f t="shared" si="5"/>
        <v>-1.8627117536460964</v>
      </c>
      <c r="M120">
        <v>0.22</v>
      </c>
    </row>
    <row r="121" spans="1:13" x14ac:dyDescent="0.2">
      <c r="A121" s="1">
        <v>44062</v>
      </c>
      <c r="B121">
        <v>56.77</v>
      </c>
      <c r="C121">
        <v>57.060001</v>
      </c>
      <c r="D121">
        <v>55.669998</v>
      </c>
      <c r="E121">
        <v>55.779998999999997</v>
      </c>
      <c r="F121">
        <v>54.691707999999998</v>
      </c>
      <c r="G121">
        <v>1511800</v>
      </c>
      <c r="I121">
        <f t="shared" si="3"/>
        <v>-1.9683650016949352E-2</v>
      </c>
      <c r="J121">
        <v>0</v>
      </c>
      <c r="K121">
        <f t="shared" si="4"/>
        <v>-1.9683650016949352E-2</v>
      </c>
      <c r="L121">
        <f t="shared" si="5"/>
        <v>-1.9683650016949352</v>
      </c>
      <c r="M121">
        <v>-0.38</v>
      </c>
    </row>
    <row r="122" spans="1:13" x14ac:dyDescent="0.2">
      <c r="A122" s="1">
        <v>44063</v>
      </c>
      <c r="B122">
        <v>55.080002</v>
      </c>
      <c r="C122">
        <v>55.75</v>
      </c>
      <c r="D122">
        <v>54.810001</v>
      </c>
      <c r="E122">
        <v>55.740001999999997</v>
      </c>
      <c r="F122">
        <v>54.652489000000003</v>
      </c>
      <c r="G122">
        <v>1464900</v>
      </c>
      <c r="I122">
        <f t="shared" si="3"/>
        <v>-7.1709225098612165E-4</v>
      </c>
      <c r="J122">
        <v>0</v>
      </c>
      <c r="K122">
        <f t="shared" si="4"/>
        <v>-7.1709225098612165E-4</v>
      </c>
      <c r="L122">
        <f t="shared" si="5"/>
        <v>-7.1709225098612162E-2</v>
      </c>
      <c r="M122">
        <v>0.31</v>
      </c>
    </row>
    <row r="123" spans="1:13" x14ac:dyDescent="0.2">
      <c r="A123" s="1">
        <v>44064</v>
      </c>
      <c r="B123">
        <v>54.400002000000001</v>
      </c>
      <c r="C123">
        <v>54.869999</v>
      </c>
      <c r="D123">
        <v>54.310001</v>
      </c>
      <c r="E123">
        <v>54.509998000000003</v>
      </c>
      <c r="F123">
        <v>53.446483999999998</v>
      </c>
      <c r="G123">
        <v>2049400</v>
      </c>
      <c r="I123">
        <f t="shared" si="3"/>
        <v>-2.2066790041346599E-2</v>
      </c>
      <c r="J123">
        <v>0</v>
      </c>
      <c r="K123">
        <f t="shared" si="4"/>
        <v>-2.2066790041346599E-2</v>
      </c>
      <c r="L123">
        <f t="shared" si="5"/>
        <v>-2.20667900413466</v>
      </c>
      <c r="M123">
        <v>0.25</v>
      </c>
    </row>
    <row r="124" spans="1:13" x14ac:dyDescent="0.2">
      <c r="A124" s="1">
        <v>44067</v>
      </c>
      <c r="B124">
        <v>55.619999</v>
      </c>
      <c r="C124">
        <v>55.639999000000003</v>
      </c>
      <c r="D124">
        <v>55</v>
      </c>
      <c r="E124">
        <v>55.290000999999997</v>
      </c>
      <c r="F124">
        <v>54.211269000000001</v>
      </c>
      <c r="G124">
        <v>1128100</v>
      </c>
      <c r="I124">
        <f t="shared" si="3"/>
        <v>1.4309360368775679E-2</v>
      </c>
      <c r="J124">
        <v>0</v>
      </c>
      <c r="K124">
        <f t="shared" si="4"/>
        <v>1.4309360368775679E-2</v>
      </c>
      <c r="L124">
        <f t="shared" si="5"/>
        <v>1.4309360368775679</v>
      </c>
      <c r="M124">
        <v>0.92</v>
      </c>
    </row>
    <row r="125" spans="1:13" x14ac:dyDescent="0.2">
      <c r="A125" s="1">
        <v>44068</v>
      </c>
      <c r="B125">
        <v>55.029998999999997</v>
      </c>
      <c r="C125">
        <v>55.029998999999997</v>
      </c>
      <c r="D125">
        <v>54.27</v>
      </c>
      <c r="E125">
        <v>54.720001000000003</v>
      </c>
      <c r="F125">
        <v>53.652389999999997</v>
      </c>
      <c r="G125">
        <v>1338000</v>
      </c>
      <c r="I125">
        <f t="shared" si="3"/>
        <v>-1.0309277209504256E-2</v>
      </c>
      <c r="J125">
        <v>0</v>
      </c>
      <c r="K125">
        <f t="shared" si="4"/>
        <v>-1.0309277209504256E-2</v>
      </c>
      <c r="L125">
        <f t="shared" si="5"/>
        <v>-1.0309277209504257</v>
      </c>
      <c r="M125">
        <v>0.36</v>
      </c>
    </row>
    <row r="126" spans="1:13" x14ac:dyDescent="0.2">
      <c r="A126" s="1">
        <v>44069</v>
      </c>
      <c r="B126">
        <v>54.549999</v>
      </c>
      <c r="C126">
        <v>55.34</v>
      </c>
      <c r="D126">
        <v>54.5</v>
      </c>
      <c r="E126">
        <v>55.16</v>
      </c>
      <c r="F126">
        <v>54.083804999999998</v>
      </c>
      <c r="G126">
        <v>1090000</v>
      </c>
      <c r="I126">
        <f t="shared" si="3"/>
        <v>8.040927906473528E-3</v>
      </c>
      <c r="J126">
        <v>0</v>
      </c>
      <c r="K126">
        <f t="shared" si="4"/>
        <v>8.040927906473528E-3</v>
      </c>
      <c r="L126">
        <f t="shared" si="5"/>
        <v>0.80409279064735284</v>
      </c>
      <c r="M126">
        <v>1</v>
      </c>
    </row>
    <row r="127" spans="1:13" x14ac:dyDescent="0.2">
      <c r="A127" s="1">
        <v>44070</v>
      </c>
      <c r="B127">
        <v>55.889999000000003</v>
      </c>
      <c r="C127">
        <v>55.919998</v>
      </c>
      <c r="D127">
        <v>54.599997999999999</v>
      </c>
      <c r="E127">
        <v>55.040000999999997</v>
      </c>
      <c r="F127">
        <v>53.966144999999997</v>
      </c>
      <c r="G127">
        <v>2129700</v>
      </c>
      <c r="I127">
        <f t="shared" si="3"/>
        <v>-2.1755126141735177E-3</v>
      </c>
      <c r="J127">
        <v>0</v>
      </c>
      <c r="K127">
        <f t="shared" si="4"/>
        <v>-2.1755126141735177E-3</v>
      </c>
      <c r="L127">
        <f t="shared" si="5"/>
        <v>-0.21755126141735176</v>
      </c>
      <c r="M127">
        <v>0.18</v>
      </c>
    </row>
    <row r="128" spans="1:13" x14ac:dyDescent="0.2">
      <c r="A128" s="1">
        <v>44071</v>
      </c>
      <c r="B128">
        <v>55.43</v>
      </c>
      <c r="C128">
        <v>55.849997999999999</v>
      </c>
      <c r="D128">
        <v>55.07</v>
      </c>
      <c r="E128">
        <v>55.830002</v>
      </c>
      <c r="F128">
        <v>54.740734000000003</v>
      </c>
      <c r="G128">
        <v>1484500</v>
      </c>
      <c r="I128">
        <f t="shared" si="3"/>
        <v>1.4353239424457797E-2</v>
      </c>
      <c r="J128">
        <v>0</v>
      </c>
      <c r="K128">
        <f t="shared" si="4"/>
        <v>1.4353239424457797E-2</v>
      </c>
      <c r="L128">
        <f t="shared" si="5"/>
        <v>1.4353239424457798</v>
      </c>
      <c r="M128">
        <v>0.7</v>
      </c>
    </row>
    <row r="129" spans="1:13" x14ac:dyDescent="0.2">
      <c r="A129" s="1">
        <v>44074</v>
      </c>
      <c r="B129">
        <v>55.130001</v>
      </c>
      <c r="C129">
        <v>55.419998</v>
      </c>
      <c r="D129">
        <v>54.990001999999997</v>
      </c>
      <c r="E129">
        <v>55.060001</v>
      </c>
      <c r="F129">
        <v>53.985756000000002</v>
      </c>
      <c r="G129">
        <v>1749700</v>
      </c>
      <c r="I129">
        <f t="shared" si="3"/>
        <v>-1.3791886678026662E-2</v>
      </c>
      <c r="J129">
        <v>0</v>
      </c>
      <c r="K129">
        <f t="shared" si="4"/>
        <v>-1.3791886678026662E-2</v>
      </c>
      <c r="L129">
        <f t="shared" si="5"/>
        <v>-1.3791886678026661</v>
      </c>
      <c r="M129">
        <v>-0.04</v>
      </c>
    </row>
    <row r="130" spans="1:13" x14ac:dyDescent="0.2">
      <c r="A130" s="1">
        <v>44075</v>
      </c>
      <c r="B130">
        <v>56.139999000000003</v>
      </c>
      <c r="C130">
        <v>56.900002000000001</v>
      </c>
      <c r="D130">
        <v>55.669998</v>
      </c>
      <c r="E130">
        <v>56.790000999999997</v>
      </c>
      <c r="F130">
        <v>55.682003000000002</v>
      </c>
      <c r="G130">
        <v>2078500</v>
      </c>
      <c r="I130">
        <f t="shared" si="3"/>
        <v>3.1420269450334264E-2</v>
      </c>
      <c r="J130">
        <v>0</v>
      </c>
      <c r="K130">
        <f t="shared" si="4"/>
        <v>3.1420269450334264E-2</v>
      </c>
      <c r="L130">
        <f t="shared" si="5"/>
        <v>3.1420269450334262</v>
      </c>
      <c r="M130">
        <v>0.92</v>
      </c>
    </row>
    <row r="131" spans="1:13" x14ac:dyDescent="0.2">
      <c r="A131" s="1">
        <v>44076</v>
      </c>
      <c r="B131">
        <v>56.91</v>
      </c>
      <c r="C131">
        <v>56.950001</v>
      </c>
      <c r="D131">
        <v>55.869999</v>
      </c>
      <c r="E131">
        <v>56.380001</v>
      </c>
      <c r="F131">
        <v>55.280003000000001</v>
      </c>
      <c r="G131">
        <v>1693800</v>
      </c>
      <c r="I131">
        <f t="shared" si="3"/>
        <v>-7.219567873662896E-3</v>
      </c>
      <c r="J131">
        <v>0</v>
      </c>
      <c r="K131">
        <f t="shared" si="4"/>
        <v>-7.219567873662896E-3</v>
      </c>
      <c r="L131">
        <f t="shared" si="5"/>
        <v>-0.72195678736628965</v>
      </c>
      <c r="M131">
        <v>1.27</v>
      </c>
    </row>
    <row r="132" spans="1:13" x14ac:dyDescent="0.2">
      <c r="A132" s="1">
        <v>44077</v>
      </c>
      <c r="B132">
        <v>53.849997999999999</v>
      </c>
      <c r="C132">
        <v>53.970001000000003</v>
      </c>
      <c r="D132">
        <v>52.52</v>
      </c>
      <c r="E132">
        <v>53.150002000000001</v>
      </c>
      <c r="F132">
        <v>53.150002000000001</v>
      </c>
      <c r="G132">
        <v>3057800</v>
      </c>
      <c r="I132">
        <f t="shared" ref="I132:I195" si="6">(F132-F131)/F131</f>
        <v>-3.8531130325734603E-2</v>
      </c>
      <c r="J132">
        <v>0</v>
      </c>
      <c r="K132">
        <f t="shared" ref="K132:K195" si="7">I132-J132</f>
        <v>-3.8531130325734603E-2</v>
      </c>
      <c r="L132">
        <f t="shared" ref="L132:L195" si="8">100*K132</f>
        <v>-3.8531130325734604</v>
      </c>
      <c r="M132">
        <v>-3.7</v>
      </c>
    </row>
    <row r="133" spans="1:13" x14ac:dyDescent="0.2">
      <c r="A133" s="1">
        <v>44078</v>
      </c>
      <c r="B133">
        <v>53.709999000000003</v>
      </c>
      <c r="C133">
        <v>54</v>
      </c>
      <c r="D133">
        <v>52.490001999999997</v>
      </c>
      <c r="E133">
        <v>53.709999000000003</v>
      </c>
      <c r="F133">
        <v>53.709999000000003</v>
      </c>
      <c r="G133">
        <v>2400600</v>
      </c>
      <c r="I133">
        <f t="shared" si="6"/>
        <v>1.053616140973998E-2</v>
      </c>
      <c r="J133">
        <v>0</v>
      </c>
      <c r="K133">
        <f t="shared" si="7"/>
        <v>1.053616140973998E-2</v>
      </c>
      <c r="L133">
        <f t="shared" si="8"/>
        <v>1.0536161409739981</v>
      </c>
      <c r="M133">
        <v>-0.87</v>
      </c>
    </row>
    <row r="134" spans="1:13" x14ac:dyDescent="0.2">
      <c r="A134" s="1">
        <v>44082</v>
      </c>
      <c r="B134">
        <v>52.900002000000001</v>
      </c>
      <c r="C134">
        <v>53.799999</v>
      </c>
      <c r="D134">
        <v>52.599997999999999</v>
      </c>
      <c r="E134">
        <v>53.049999</v>
      </c>
      <c r="F134">
        <v>53.049999</v>
      </c>
      <c r="G134">
        <v>2055100</v>
      </c>
      <c r="I134">
        <f t="shared" si="6"/>
        <v>-1.2288214713986565E-2</v>
      </c>
      <c r="J134">
        <v>0</v>
      </c>
      <c r="K134">
        <f t="shared" si="7"/>
        <v>-1.2288214713986565E-2</v>
      </c>
      <c r="L134">
        <f t="shared" si="8"/>
        <v>-1.2288214713986565</v>
      </c>
      <c r="M134">
        <v>-2.91</v>
      </c>
    </row>
    <row r="135" spans="1:13" x14ac:dyDescent="0.2">
      <c r="A135" s="1">
        <v>44083</v>
      </c>
      <c r="B135">
        <v>53.970001000000003</v>
      </c>
      <c r="C135">
        <v>54.48</v>
      </c>
      <c r="D135">
        <v>53.919998</v>
      </c>
      <c r="E135">
        <v>54.23</v>
      </c>
      <c r="F135">
        <v>54.23</v>
      </c>
      <c r="G135">
        <v>1821700</v>
      </c>
      <c r="I135">
        <f t="shared" si="6"/>
        <v>2.2243186093179705E-2</v>
      </c>
      <c r="J135">
        <v>0</v>
      </c>
      <c r="K135">
        <f t="shared" si="7"/>
        <v>2.2243186093179705E-2</v>
      </c>
      <c r="L135">
        <f t="shared" si="8"/>
        <v>2.2243186093179705</v>
      </c>
      <c r="M135">
        <v>2.0699999999999998</v>
      </c>
    </row>
    <row r="136" spans="1:13" x14ac:dyDescent="0.2">
      <c r="A136" s="1">
        <v>44084</v>
      </c>
      <c r="B136">
        <v>53.84</v>
      </c>
      <c r="C136">
        <v>54.099997999999999</v>
      </c>
      <c r="D136">
        <v>52.560001</v>
      </c>
      <c r="E136">
        <v>52.639999000000003</v>
      </c>
      <c r="F136">
        <v>52.639999000000003</v>
      </c>
      <c r="G136">
        <v>2323700</v>
      </c>
      <c r="I136">
        <f t="shared" si="6"/>
        <v>-2.9319583256499981E-2</v>
      </c>
      <c r="J136">
        <v>0</v>
      </c>
      <c r="K136">
        <f t="shared" si="7"/>
        <v>-2.9319583256499981E-2</v>
      </c>
      <c r="L136">
        <f t="shared" si="8"/>
        <v>-2.9319583256499979</v>
      </c>
      <c r="M136">
        <v>-1.64</v>
      </c>
    </row>
    <row r="137" spans="1:13" x14ac:dyDescent="0.2">
      <c r="A137" s="1">
        <v>44085</v>
      </c>
      <c r="B137">
        <v>53.490001999999997</v>
      </c>
      <c r="C137">
        <v>54.5</v>
      </c>
      <c r="D137">
        <v>53.299999</v>
      </c>
      <c r="E137">
        <v>54.189999</v>
      </c>
      <c r="F137">
        <v>54.189999</v>
      </c>
      <c r="G137">
        <v>2695300</v>
      </c>
      <c r="I137">
        <f t="shared" si="6"/>
        <v>2.9445289313170333E-2</v>
      </c>
      <c r="J137">
        <v>0</v>
      </c>
      <c r="K137">
        <f t="shared" si="7"/>
        <v>2.9445289313170333E-2</v>
      </c>
      <c r="L137">
        <f t="shared" si="8"/>
        <v>2.9445289313170333</v>
      </c>
      <c r="M137">
        <v>-0.06</v>
      </c>
    </row>
    <row r="138" spans="1:13" x14ac:dyDescent="0.2">
      <c r="A138" s="1">
        <v>44088</v>
      </c>
      <c r="B138">
        <v>54.779998999999997</v>
      </c>
      <c r="C138">
        <v>55.049999</v>
      </c>
      <c r="D138">
        <v>54.490001999999997</v>
      </c>
      <c r="E138">
        <v>54.860000999999997</v>
      </c>
      <c r="F138">
        <v>54.860000999999997</v>
      </c>
      <c r="G138">
        <v>1675100</v>
      </c>
      <c r="I138">
        <f t="shared" si="6"/>
        <v>1.2363941914817099E-2</v>
      </c>
      <c r="J138">
        <v>0</v>
      </c>
      <c r="K138">
        <f t="shared" si="7"/>
        <v>1.2363941914817099E-2</v>
      </c>
      <c r="L138">
        <f t="shared" si="8"/>
        <v>1.2363941914817098</v>
      </c>
      <c r="M138">
        <v>1.59</v>
      </c>
    </row>
    <row r="139" spans="1:13" x14ac:dyDescent="0.2">
      <c r="A139" s="1">
        <v>44089</v>
      </c>
      <c r="B139">
        <v>55.950001</v>
      </c>
      <c r="C139">
        <v>56.18</v>
      </c>
      <c r="D139">
        <v>55.34</v>
      </c>
      <c r="E139">
        <v>55.400002000000001</v>
      </c>
      <c r="F139">
        <v>55.400002000000001</v>
      </c>
      <c r="G139">
        <v>2108900</v>
      </c>
      <c r="I139">
        <f t="shared" si="6"/>
        <v>9.8432553801813417E-3</v>
      </c>
      <c r="J139">
        <v>0</v>
      </c>
      <c r="K139">
        <f t="shared" si="7"/>
        <v>9.8432553801813417E-3</v>
      </c>
      <c r="L139">
        <f t="shared" si="8"/>
        <v>0.98432553801813416</v>
      </c>
      <c r="M139">
        <v>0.56999999999999995</v>
      </c>
    </row>
    <row r="140" spans="1:13" x14ac:dyDescent="0.2">
      <c r="A140" s="1">
        <v>44090</v>
      </c>
      <c r="B140">
        <v>56.48</v>
      </c>
      <c r="C140">
        <v>56.580002</v>
      </c>
      <c r="D140">
        <v>55.810001</v>
      </c>
      <c r="E140">
        <v>55.880001</v>
      </c>
      <c r="F140">
        <v>55.880001</v>
      </c>
      <c r="G140">
        <v>2532200</v>
      </c>
      <c r="I140">
        <f t="shared" si="6"/>
        <v>8.664241564467802E-3</v>
      </c>
      <c r="J140">
        <v>0</v>
      </c>
      <c r="K140">
        <f t="shared" si="7"/>
        <v>8.664241564467802E-3</v>
      </c>
      <c r="L140">
        <f t="shared" si="8"/>
        <v>0.86642415644678017</v>
      </c>
      <c r="M140">
        <v>-0.39</v>
      </c>
    </row>
    <row r="141" spans="1:13" x14ac:dyDescent="0.2">
      <c r="A141" s="1">
        <v>44091</v>
      </c>
      <c r="B141">
        <v>54.619999</v>
      </c>
      <c r="C141">
        <v>55.650002000000001</v>
      </c>
      <c r="D141">
        <v>54.560001</v>
      </c>
      <c r="E141">
        <v>55.490001999999997</v>
      </c>
      <c r="F141">
        <v>55.490001999999997</v>
      </c>
      <c r="G141">
        <v>3742700</v>
      </c>
      <c r="I141">
        <f t="shared" si="6"/>
        <v>-6.9792232108228328E-3</v>
      </c>
      <c r="J141">
        <v>0</v>
      </c>
      <c r="K141">
        <f t="shared" si="7"/>
        <v>-6.9792232108228328E-3</v>
      </c>
      <c r="L141">
        <f t="shared" si="8"/>
        <v>-0.69792232108228325</v>
      </c>
      <c r="M141">
        <v>-0.85</v>
      </c>
    </row>
    <row r="142" spans="1:13" x14ac:dyDescent="0.2">
      <c r="A142" s="1">
        <v>44092</v>
      </c>
      <c r="B142">
        <v>55.580002</v>
      </c>
      <c r="C142">
        <v>55.849997999999999</v>
      </c>
      <c r="D142">
        <v>54.709999000000003</v>
      </c>
      <c r="E142">
        <v>54.709999000000003</v>
      </c>
      <c r="F142">
        <v>54.709999000000003</v>
      </c>
      <c r="G142">
        <v>2044400</v>
      </c>
      <c r="I142">
        <f t="shared" si="6"/>
        <v>-1.4056640329549702E-2</v>
      </c>
      <c r="J142">
        <v>0</v>
      </c>
      <c r="K142">
        <f t="shared" si="7"/>
        <v>-1.4056640329549702E-2</v>
      </c>
      <c r="L142">
        <f t="shared" si="8"/>
        <v>-1.4056640329549701</v>
      </c>
      <c r="M142">
        <v>-0.88</v>
      </c>
    </row>
    <row r="143" spans="1:13" x14ac:dyDescent="0.2">
      <c r="A143" s="1">
        <v>44095</v>
      </c>
      <c r="B143">
        <v>53.380001</v>
      </c>
      <c r="C143">
        <v>53.459999000000003</v>
      </c>
      <c r="D143">
        <v>52.16</v>
      </c>
      <c r="E143">
        <v>52.919998</v>
      </c>
      <c r="F143">
        <v>52.919998</v>
      </c>
      <c r="G143">
        <v>2537100</v>
      </c>
      <c r="I143">
        <f t="shared" si="6"/>
        <v>-3.2717986341034365E-2</v>
      </c>
      <c r="J143">
        <v>0</v>
      </c>
      <c r="K143">
        <f t="shared" si="7"/>
        <v>-3.2717986341034365E-2</v>
      </c>
      <c r="L143">
        <f t="shared" si="8"/>
        <v>-3.2717986341034364</v>
      </c>
      <c r="M143">
        <v>-1.08</v>
      </c>
    </row>
    <row r="144" spans="1:13" x14ac:dyDescent="0.2">
      <c r="A144" s="1">
        <v>44096</v>
      </c>
      <c r="B144">
        <v>53.060001</v>
      </c>
      <c r="C144">
        <v>53.290000999999997</v>
      </c>
      <c r="D144">
        <v>52.240001999999997</v>
      </c>
      <c r="E144">
        <v>52.889999000000003</v>
      </c>
      <c r="F144">
        <v>52.889999000000003</v>
      </c>
      <c r="G144">
        <v>1257600</v>
      </c>
      <c r="I144">
        <f t="shared" si="6"/>
        <v>-5.6687454901257854E-4</v>
      </c>
      <c r="J144">
        <v>0</v>
      </c>
      <c r="K144">
        <f t="shared" si="7"/>
        <v>-5.6687454901257854E-4</v>
      </c>
      <c r="L144">
        <f t="shared" si="8"/>
        <v>-5.6687454901257851E-2</v>
      </c>
      <c r="M144">
        <v>1.02</v>
      </c>
    </row>
    <row r="145" spans="1:13" x14ac:dyDescent="0.2">
      <c r="A145" s="1">
        <v>44097</v>
      </c>
      <c r="B145">
        <v>52.98</v>
      </c>
      <c r="C145">
        <v>53.119999</v>
      </c>
      <c r="D145">
        <v>51.66</v>
      </c>
      <c r="E145">
        <v>51.830002</v>
      </c>
      <c r="F145">
        <v>51.830002</v>
      </c>
      <c r="G145">
        <v>2184100</v>
      </c>
      <c r="I145">
        <f t="shared" si="6"/>
        <v>-2.0041539422226168E-2</v>
      </c>
      <c r="J145">
        <v>0</v>
      </c>
      <c r="K145">
        <f t="shared" si="7"/>
        <v>-2.0041539422226168E-2</v>
      </c>
      <c r="L145">
        <f t="shared" si="8"/>
        <v>-2.0041539422226169</v>
      </c>
      <c r="M145">
        <v>-2.48</v>
      </c>
    </row>
    <row r="146" spans="1:13" x14ac:dyDescent="0.2">
      <c r="A146" s="1">
        <v>44098</v>
      </c>
      <c r="B146">
        <v>52.150002000000001</v>
      </c>
      <c r="C146">
        <v>53.200001</v>
      </c>
      <c r="D146">
        <v>51.810001</v>
      </c>
      <c r="E146">
        <v>52.650002000000001</v>
      </c>
      <c r="F146">
        <v>52.650002000000001</v>
      </c>
      <c r="G146">
        <v>2000700</v>
      </c>
      <c r="I146">
        <f t="shared" si="6"/>
        <v>1.5820952505461998E-2</v>
      </c>
      <c r="J146">
        <v>0</v>
      </c>
      <c r="K146">
        <f t="shared" si="7"/>
        <v>1.5820952505461998E-2</v>
      </c>
      <c r="L146">
        <f t="shared" si="8"/>
        <v>1.5820952505461998</v>
      </c>
      <c r="M146">
        <v>0.25</v>
      </c>
    </row>
    <row r="147" spans="1:13" x14ac:dyDescent="0.2">
      <c r="A147" s="1">
        <v>44099</v>
      </c>
      <c r="B147">
        <v>51.93</v>
      </c>
      <c r="C147">
        <v>52.43</v>
      </c>
      <c r="D147">
        <v>51.66</v>
      </c>
      <c r="E147">
        <v>52.389999000000003</v>
      </c>
      <c r="F147">
        <v>52.389999000000003</v>
      </c>
      <c r="G147">
        <v>2269500</v>
      </c>
      <c r="I147">
        <f t="shared" si="6"/>
        <v>-4.9383283974043825E-3</v>
      </c>
      <c r="J147">
        <v>0</v>
      </c>
      <c r="K147">
        <f t="shared" si="7"/>
        <v>-4.9383283974043825E-3</v>
      </c>
      <c r="L147">
        <f t="shared" si="8"/>
        <v>-0.49383283974043823</v>
      </c>
      <c r="M147">
        <v>1.72</v>
      </c>
    </row>
    <row r="148" spans="1:13" x14ac:dyDescent="0.2">
      <c r="A148" s="1">
        <v>44102</v>
      </c>
      <c r="B148">
        <v>53.029998999999997</v>
      </c>
      <c r="C148">
        <v>53.18</v>
      </c>
      <c r="D148">
        <v>52.580002</v>
      </c>
      <c r="E148">
        <v>52.740001999999997</v>
      </c>
      <c r="F148">
        <v>52.740001999999997</v>
      </c>
      <c r="G148">
        <v>2069000</v>
      </c>
      <c r="I148">
        <f t="shared" si="6"/>
        <v>6.680721639257787E-3</v>
      </c>
      <c r="J148">
        <v>0</v>
      </c>
      <c r="K148">
        <f t="shared" si="7"/>
        <v>6.680721639257787E-3</v>
      </c>
      <c r="L148">
        <f t="shared" si="8"/>
        <v>0.66807216392577873</v>
      </c>
      <c r="M148">
        <v>1.66</v>
      </c>
    </row>
    <row r="149" spans="1:13" x14ac:dyDescent="0.2">
      <c r="A149" s="1">
        <v>44103</v>
      </c>
      <c r="B149">
        <v>52.080002</v>
      </c>
      <c r="C149">
        <v>52.349997999999999</v>
      </c>
      <c r="D149">
        <v>51.43</v>
      </c>
      <c r="E149">
        <v>51.599997999999999</v>
      </c>
      <c r="F149">
        <v>51.599997999999999</v>
      </c>
      <c r="G149">
        <v>2414500</v>
      </c>
      <c r="I149">
        <f t="shared" si="6"/>
        <v>-2.1615547151477121E-2</v>
      </c>
      <c r="J149">
        <v>0</v>
      </c>
      <c r="K149">
        <f t="shared" si="7"/>
        <v>-2.1615547151477121E-2</v>
      </c>
      <c r="L149">
        <f t="shared" si="8"/>
        <v>-2.1615547151477124</v>
      </c>
      <c r="M149">
        <v>-0.42</v>
      </c>
    </row>
    <row r="150" spans="1:13" x14ac:dyDescent="0.2">
      <c r="A150" s="1">
        <v>44104</v>
      </c>
      <c r="B150">
        <v>52.060001</v>
      </c>
      <c r="C150">
        <v>52.060001</v>
      </c>
      <c r="D150">
        <v>51.43</v>
      </c>
      <c r="E150">
        <v>51.709999000000003</v>
      </c>
      <c r="F150">
        <v>51.709999000000003</v>
      </c>
      <c r="G150">
        <v>2039600</v>
      </c>
      <c r="I150">
        <f t="shared" si="6"/>
        <v>2.1318024082094735E-3</v>
      </c>
      <c r="J150">
        <v>0</v>
      </c>
      <c r="K150">
        <f t="shared" si="7"/>
        <v>2.1318024082094735E-3</v>
      </c>
      <c r="L150">
        <f t="shared" si="8"/>
        <v>0.21318024082094736</v>
      </c>
      <c r="M150">
        <v>0.79</v>
      </c>
    </row>
    <row r="151" spans="1:13" x14ac:dyDescent="0.2">
      <c r="A151" s="1">
        <v>44105</v>
      </c>
      <c r="B151">
        <v>51.860000999999997</v>
      </c>
      <c r="C151">
        <v>51.970001000000003</v>
      </c>
      <c r="D151">
        <v>51.029998999999997</v>
      </c>
      <c r="E151">
        <v>51.34</v>
      </c>
      <c r="F151">
        <v>51.34</v>
      </c>
      <c r="G151">
        <v>1914800</v>
      </c>
      <c r="I151">
        <f t="shared" si="6"/>
        <v>-7.1552699121111944E-3</v>
      </c>
      <c r="J151">
        <v>0</v>
      </c>
      <c r="K151">
        <f t="shared" si="7"/>
        <v>-7.1552699121111944E-3</v>
      </c>
      <c r="L151">
        <f t="shared" si="8"/>
        <v>-0.7155269912111194</v>
      </c>
      <c r="M151">
        <v>0.79</v>
      </c>
    </row>
    <row r="152" spans="1:13" x14ac:dyDescent="0.2">
      <c r="A152" s="1">
        <v>44106</v>
      </c>
      <c r="B152">
        <v>50.630001</v>
      </c>
      <c r="C152">
        <v>51.82</v>
      </c>
      <c r="D152">
        <v>50.5</v>
      </c>
      <c r="E152">
        <v>51.459999000000003</v>
      </c>
      <c r="F152">
        <v>51.459999000000003</v>
      </c>
      <c r="G152">
        <v>2200500</v>
      </c>
      <c r="I152">
        <f t="shared" si="6"/>
        <v>2.3373393065835597E-3</v>
      </c>
      <c r="J152">
        <v>0</v>
      </c>
      <c r="K152">
        <f t="shared" si="7"/>
        <v>2.3373393065835597E-3</v>
      </c>
      <c r="L152">
        <f t="shared" si="8"/>
        <v>0.23373393065835596</v>
      </c>
      <c r="M152">
        <v>-0.96</v>
      </c>
    </row>
    <row r="153" spans="1:13" x14ac:dyDescent="0.2">
      <c r="A153" s="1">
        <v>44109</v>
      </c>
      <c r="B153">
        <v>51.759998000000003</v>
      </c>
      <c r="C153">
        <v>52.27</v>
      </c>
      <c r="D153">
        <v>51.75</v>
      </c>
      <c r="E153">
        <v>52.169998</v>
      </c>
      <c r="F153">
        <v>52.169998</v>
      </c>
      <c r="G153">
        <v>1517700</v>
      </c>
      <c r="I153">
        <f t="shared" si="6"/>
        <v>1.3797104815334261E-2</v>
      </c>
      <c r="J153">
        <v>0</v>
      </c>
      <c r="K153">
        <f t="shared" si="7"/>
        <v>1.3797104815334261E-2</v>
      </c>
      <c r="L153">
        <f t="shared" si="8"/>
        <v>1.379710481533426</v>
      </c>
      <c r="M153">
        <v>1.93</v>
      </c>
    </row>
    <row r="154" spans="1:13" x14ac:dyDescent="0.2">
      <c r="A154" s="1">
        <v>44110</v>
      </c>
      <c r="B154">
        <v>51.860000999999997</v>
      </c>
      <c r="C154">
        <v>51.93</v>
      </c>
      <c r="D154">
        <v>50.34</v>
      </c>
      <c r="E154">
        <v>50.5</v>
      </c>
      <c r="F154">
        <v>50.5</v>
      </c>
      <c r="G154">
        <v>4617100</v>
      </c>
      <c r="I154">
        <f t="shared" si="6"/>
        <v>-3.2010697029353913E-2</v>
      </c>
      <c r="J154">
        <v>0</v>
      </c>
      <c r="K154">
        <f t="shared" si="7"/>
        <v>-3.2010697029353913E-2</v>
      </c>
      <c r="L154">
        <f t="shared" si="8"/>
        <v>-3.2010697029353912</v>
      </c>
      <c r="M154">
        <v>-1.28</v>
      </c>
    </row>
    <row r="155" spans="1:13" x14ac:dyDescent="0.2">
      <c r="A155" s="1">
        <v>44111</v>
      </c>
      <c r="B155">
        <v>51.400002000000001</v>
      </c>
      <c r="C155">
        <v>52.290000999999997</v>
      </c>
      <c r="D155">
        <v>51.32</v>
      </c>
      <c r="E155">
        <v>51.939999</v>
      </c>
      <c r="F155">
        <v>51.939999</v>
      </c>
      <c r="G155">
        <v>2559800</v>
      </c>
      <c r="I155">
        <f t="shared" si="6"/>
        <v>2.8514831683168321E-2</v>
      </c>
      <c r="J155">
        <v>0</v>
      </c>
      <c r="K155">
        <f t="shared" si="7"/>
        <v>2.8514831683168321E-2</v>
      </c>
      <c r="L155">
        <f t="shared" si="8"/>
        <v>2.851483168316832</v>
      </c>
      <c r="M155">
        <v>1.84</v>
      </c>
    </row>
    <row r="156" spans="1:13" x14ac:dyDescent="0.2">
      <c r="A156" s="1">
        <v>44112</v>
      </c>
      <c r="B156">
        <v>52.060001</v>
      </c>
      <c r="C156">
        <v>52.529998999999997</v>
      </c>
      <c r="D156">
        <v>51.869999</v>
      </c>
      <c r="E156">
        <v>52.52</v>
      </c>
      <c r="F156">
        <v>52.52</v>
      </c>
      <c r="G156">
        <v>2272900</v>
      </c>
      <c r="I156">
        <f t="shared" si="6"/>
        <v>1.1166750311258244E-2</v>
      </c>
      <c r="J156">
        <v>0</v>
      </c>
      <c r="K156">
        <f t="shared" si="7"/>
        <v>1.1166750311258244E-2</v>
      </c>
      <c r="L156">
        <f t="shared" si="8"/>
        <v>1.1166750311258244</v>
      </c>
      <c r="M156">
        <v>0.8</v>
      </c>
    </row>
    <row r="157" spans="1:13" x14ac:dyDescent="0.2">
      <c r="A157" s="1">
        <v>44113</v>
      </c>
      <c r="B157">
        <v>53.119999</v>
      </c>
      <c r="C157">
        <v>53.18</v>
      </c>
      <c r="D157">
        <v>52.68</v>
      </c>
      <c r="E157">
        <v>52.869999</v>
      </c>
      <c r="F157">
        <v>52.869999</v>
      </c>
      <c r="G157">
        <v>1643700</v>
      </c>
      <c r="I157">
        <f t="shared" si="6"/>
        <v>6.6641089108910286E-3</v>
      </c>
      <c r="J157">
        <v>0</v>
      </c>
      <c r="K157">
        <f t="shared" si="7"/>
        <v>6.6641089108910286E-3</v>
      </c>
      <c r="L157">
        <f t="shared" si="8"/>
        <v>0.6664108910891029</v>
      </c>
      <c r="M157">
        <v>0.93</v>
      </c>
    </row>
    <row r="158" spans="1:13" x14ac:dyDescent="0.2">
      <c r="A158" s="1">
        <v>44116</v>
      </c>
      <c r="B158">
        <v>52.84</v>
      </c>
      <c r="C158">
        <v>52.84</v>
      </c>
      <c r="D158">
        <v>52.330002</v>
      </c>
      <c r="E158">
        <v>52.5</v>
      </c>
      <c r="F158">
        <v>52.5</v>
      </c>
      <c r="G158">
        <v>1274200</v>
      </c>
      <c r="I158">
        <f t="shared" si="6"/>
        <v>-6.99827892941704E-3</v>
      </c>
      <c r="J158">
        <v>0</v>
      </c>
      <c r="K158">
        <f t="shared" si="7"/>
        <v>-6.99827892941704E-3</v>
      </c>
      <c r="L158">
        <f t="shared" si="8"/>
        <v>-0.699827892941704</v>
      </c>
      <c r="M158">
        <v>1.53</v>
      </c>
    </row>
    <row r="159" spans="1:13" x14ac:dyDescent="0.2">
      <c r="A159" s="1">
        <v>44117</v>
      </c>
      <c r="B159">
        <v>51.919998</v>
      </c>
      <c r="C159">
        <v>52.240001999999997</v>
      </c>
      <c r="D159">
        <v>51.77</v>
      </c>
      <c r="E159">
        <v>52.049999</v>
      </c>
      <c r="F159">
        <v>52.049999</v>
      </c>
      <c r="G159">
        <v>1664600</v>
      </c>
      <c r="I159">
        <f t="shared" si="6"/>
        <v>-8.5714476190476251E-3</v>
      </c>
      <c r="J159">
        <v>0</v>
      </c>
      <c r="K159">
        <f t="shared" si="7"/>
        <v>-8.5714476190476251E-3</v>
      </c>
      <c r="L159">
        <f t="shared" si="8"/>
        <v>-0.85714476190476252</v>
      </c>
      <c r="M159">
        <v>-0.41</v>
      </c>
    </row>
    <row r="160" spans="1:13" x14ac:dyDescent="0.2">
      <c r="A160" s="1">
        <v>44118</v>
      </c>
      <c r="B160">
        <v>52.07</v>
      </c>
      <c r="C160">
        <v>52.459999000000003</v>
      </c>
      <c r="D160">
        <v>51.91</v>
      </c>
      <c r="E160">
        <v>51.919998</v>
      </c>
      <c r="F160">
        <v>51.919998</v>
      </c>
      <c r="G160">
        <v>1966400</v>
      </c>
      <c r="I160">
        <f t="shared" si="6"/>
        <v>-2.497617723297171E-3</v>
      </c>
      <c r="J160">
        <v>0</v>
      </c>
      <c r="K160">
        <f t="shared" si="7"/>
        <v>-2.497617723297171E-3</v>
      </c>
      <c r="L160">
        <f t="shared" si="8"/>
        <v>-0.24976177232971711</v>
      </c>
      <c r="M160">
        <v>-0.65</v>
      </c>
    </row>
    <row r="161" spans="1:13" x14ac:dyDescent="0.2">
      <c r="A161" s="1">
        <v>44119</v>
      </c>
      <c r="B161">
        <v>50.990001999999997</v>
      </c>
      <c r="C161">
        <v>51.91</v>
      </c>
      <c r="D161">
        <v>50.900002000000001</v>
      </c>
      <c r="E161">
        <v>51.810001</v>
      </c>
      <c r="F161">
        <v>51.810001</v>
      </c>
      <c r="G161">
        <v>1379300</v>
      </c>
      <c r="I161">
        <f t="shared" si="6"/>
        <v>-2.1185863682044036E-3</v>
      </c>
      <c r="J161">
        <v>0</v>
      </c>
      <c r="K161">
        <f t="shared" si="7"/>
        <v>-2.1185863682044036E-3</v>
      </c>
      <c r="L161">
        <f t="shared" si="8"/>
        <v>-0.21185863682044037</v>
      </c>
      <c r="M161">
        <v>-0.08</v>
      </c>
    </row>
    <row r="162" spans="1:13" x14ac:dyDescent="0.2">
      <c r="A162" s="1">
        <v>44120</v>
      </c>
      <c r="B162">
        <v>51.779998999999997</v>
      </c>
      <c r="C162">
        <v>51.98</v>
      </c>
      <c r="D162">
        <v>51.52</v>
      </c>
      <c r="E162">
        <v>51.650002000000001</v>
      </c>
      <c r="F162">
        <v>51.650002000000001</v>
      </c>
      <c r="G162">
        <v>1107900</v>
      </c>
      <c r="I162">
        <f t="shared" si="6"/>
        <v>-3.0881875489637439E-3</v>
      </c>
      <c r="J162">
        <v>0</v>
      </c>
      <c r="K162">
        <f t="shared" si="7"/>
        <v>-3.0881875489637439E-3</v>
      </c>
      <c r="L162">
        <f t="shared" si="8"/>
        <v>-0.30881875489637439</v>
      </c>
      <c r="M162">
        <v>-0.06</v>
      </c>
    </row>
    <row r="163" spans="1:13" x14ac:dyDescent="0.2">
      <c r="A163" s="1">
        <v>44123</v>
      </c>
      <c r="B163">
        <v>51.490001999999997</v>
      </c>
      <c r="C163">
        <v>51.93</v>
      </c>
      <c r="D163">
        <v>50.59</v>
      </c>
      <c r="E163">
        <v>50.610000999999997</v>
      </c>
      <c r="F163">
        <v>50.610000999999997</v>
      </c>
      <c r="G163">
        <v>1604000</v>
      </c>
      <c r="I163">
        <f t="shared" si="6"/>
        <v>-2.0135546170937296E-2</v>
      </c>
      <c r="J163">
        <v>0</v>
      </c>
      <c r="K163">
        <f t="shared" si="7"/>
        <v>-2.0135546170937296E-2</v>
      </c>
      <c r="L163">
        <f t="shared" si="8"/>
        <v>-2.0135546170937295</v>
      </c>
      <c r="M163">
        <v>-1.53</v>
      </c>
    </row>
    <row r="164" spans="1:13" x14ac:dyDescent="0.2">
      <c r="A164" s="1">
        <v>44124</v>
      </c>
      <c r="B164">
        <v>50.82</v>
      </c>
      <c r="C164">
        <v>51.380001</v>
      </c>
      <c r="D164">
        <v>50.75</v>
      </c>
      <c r="E164">
        <v>51.200001</v>
      </c>
      <c r="F164">
        <v>51.200001</v>
      </c>
      <c r="G164">
        <v>2255000</v>
      </c>
      <c r="I164">
        <f t="shared" si="6"/>
        <v>1.1657774912907103E-2</v>
      </c>
      <c r="J164">
        <v>0</v>
      </c>
      <c r="K164">
        <f t="shared" si="7"/>
        <v>1.1657774912907103E-2</v>
      </c>
      <c r="L164">
        <f t="shared" si="8"/>
        <v>1.1657774912907104</v>
      </c>
      <c r="M164">
        <v>0.34</v>
      </c>
    </row>
    <row r="165" spans="1:13" x14ac:dyDescent="0.2">
      <c r="A165" s="1">
        <v>44125</v>
      </c>
      <c r="B165">
        <v>51.360000999999997</v>
      </c>
      <c r="C165">
        <v>52.07</v>
      </c>
      <c r="D165">
        <v>51.34</v>
      </c>
      <c r="E165">
        <v>51.349997999999999</v>
      </c>
      <c r="F165">
        <v>51.349997999999999</v>
      </c>
      <c r="G165">
        <v>1907300</v>
      </c>
      <c r="I165">
        <f t="shared" si="6"/>
        <v>2.9296288490306679E-3</v>
      </c>
      <c r="J165">
        <v>0</v>
      </c>
      <c r="K165">
        <f t="shared" si="7"/>
        <v>2.9296288490306679E-3</v>
      </c>
      <c r="L165">
        <f t="shared" si="8"/>
        <v>0.29296288490306677</v>
      </c>
      <c r="M165">
        <v>-0.36</v>
      </c>
    </row>
    <row r="166" spans="1:13" x14ac:dyDescent="0.2">
      <c r="A166" s="1">
        <v>44126</v>
      </c>
      <c r="B166">
        <v>51.34</v>
      </c>
      <c r="C166">
        <v>51.810001</v>
      </c>
      <c r="D166">
        <v>51</v>
      </c>
      <c r="E166">
        <v>51.73</v>
      </c>
      <c r="F166">
        <v>51.73</v>
      </c>
      <c r="G166">
        <v>2178300</v>
      </c>
      <c r="I166">
        <f t="shared" si="6"/>
        <v>7.400233978587448E-3</v>
      </c>
      <c r="J166">
        <v>0</v>
      </c>
      <c r="K166">
        <f t="shared" si="7"/>
        <v>7.400233978587448E-3</v>
      </c>
      <c r="L166">
        <f t="shared" si="8"/>
        <v>0.74002339785874482</v>
      </c>
      <c r="M166">
        <v>0.67</v>
      </c>
    </row>
    <row r="167" spans="1:13" x14ac:dyDescent="0.2">
      <c r="A167" s="1">
        <v>44127</v>
      </c>
      <c r="B167">
        <v>51.400002000000001</v>
      </c>
      <c r="C167">
        <v>51.549999</v>
      </c>
      <c r="D167">
        <v>51.18</v>
      </c>
      <c r="E167">
        <v>51.389999000000003</v>
      </c>
      <c r="F167">
        <v>51.389999000000003</v>
      </c>
      <c r="G167">
        <v>2158100</v>
      </c>
      <c r="I167">
        <f t="shared" si="6"/>
        <v>-6.5726077711191532E-3</v>
      </c>
      <c r="J167">
        <v>0</v>
      </c>
      <c r="K167">
        <f t="shared" si="7"/>
        <v>-6.5726077711191532E-3</v>
      </c>
      <c r="L167">
        <f t="shared" si="8"/>
        <v>-0.65726077711191533</v>
      </c>
      <c r="M167">
        <v>0.38</v>
      </c>
    </row>
    <row r="168" spans="1:13" x14ac:dyDescent="0.2">
      <c r="A168" s="1">
        <v>44130</v>
      </c>
      <c r="B168">
        <v>50.869999</v>
      </c>
      <c r="C168">
        <v>50.990001999999997</v>
      </c>
      <c r="D168">
        <v>49.939999</v>
      </c>
      <c r="E168">
        <v>50.360000999999997</v>
      </c>
      <c r="F168">
        <v>50.360000999999997</v>
      </c>
      <c r="G168">
        <v>2195900</v>
      </c>
      <c r="I168">
        <f t="shared" si="6"/>
        <v>-2.0042771357127408E-2</v>
      </c>
      <c r="J168">
        <v>0</v>
      </c>
      <c r="K168">
        <f t="shared" si="7"/>
        <v>-2.0042771357127408E-2</v>
      </c>
      <c r="L168">
        <f t="shared" si="8"/>
        <v>-2.0042771357127407</v>
      </c>
      <c r="M168">
        <v>-1.85</v>
      </c>
    </row>
    <row r="169" spans="1:13" x14ac:dyDescent="0.2">
      <c r="A169" s="1">
        <v>44131</v>
      </c>
      <c r="B169">
        <v>49.450001</v>
      </c>
      <c r="C169">
        <v>49.93</v>
      </c>
      <c r="D169">
        <v>49.32</v>
      </c>
      <c r="E169">
        <v>49.740001999999997</v>
      </c>
      <c r="F169">
        <v>49.740001999999997</v>
      </c>
      <c r="G169">
        <v>1876500</v>
      </c>
      <c r="I169">
        <f t="shared" si="6"/>
        <v>-1.2311338119314176E-2</v>
      </c>
      <c r="J169">
        <v>0</v>
      </c>
      <c r="K169">
        <f t="shared" si="7"/>
        <v>-1.2311338119314176E-2</v>
      </c>
      <c r="L169">
        <f t="shared" si="8"/>
        <v>-1.2311338119314177</v>
      </c>
      <c r="M169">
        <v>-0.23</v>
      </c>
    </row>
    <row r="170" spans="1:13" x14ac:dyDescent="0.2">
      <c r="A170" s="1">
        <v>44132</v>
      </c>
      <c r="B170">
        <v>48.18</v>
      </c>
      <c r="C170">
        <v>48.419998</v>
      </c>
      <c r="D170">
        <v>47.630001</v>
      </c>
      <c r="E170">
        <v>47.700001</v>
      </c>
      <c r="F170">
        <v>47.700001</v>
      </c>
      <c r="G170">
        <v>3682400</v>
      </c>
      <c r="I170">
        <f t="shared" si="6"/>
        <v>-4.1013287454230433E-2</v>
      </c>
      <c r="J170">
        <v>0</v>
      </c>
      <c r="K170">
        <f t="shared" si="7"/>
        <v>-4.1013287454230433E-2</v>
      </c>
      <c r="L170">
        <f t="shared" si="8"/>
        <v>-4.1013287454230429</v>
      </c>
      <c r="M170">
        <v>-3.41</v>
      </c>
    </row>
    <row r="171" spans="1:13" x14ac:dyDescent="0.2">
      <c r="A171" s="1">
        <v>44133</v>
      </c>
      <c r="B171">
        <v>47.220001000000003</v>
      </c>
      <c r="C171">
        <v>48.279998999999997</v>
      </c>
      <c r="D171">
        <v>46.900002000000001</v>
      </c>
      <c r="E171">
        <v>48.110000999999997</v>
      </c>
      <c r="F171">
        <v>48.110000999999997</v>
      </c>
      <c r="G171">
        <v>2868200</v>
      </c>
      <c r="I171">
        <f t="shared" si="6"/>
        <v>8.5953876604739823E-3</v>
      </c>
      <c r="J171">
        <v>0</v>
      </c>
      <c r="K171">
        <f t="shared" si="7"/>
        <v>8.5953876604739823E-3</v>
      </c>
      <c r="L171">
        <f t="shared" si="8"/>
        <v>0.85953876604739821</v>
      </c>
      <c r="M171">
        <v>1.1299999999999999</v>
      </c>
    </row>
    <row r="172" spans="1:13" x14ac:dyDescent="0.2">
      <c r="A172" s="1">
        <v>44134</v>
      </c>
      <c r="B172">
        <v>47.470001000000003</v>
      </c>
      <c r="C172">
        <v>48.150002000000001</v>
      </c>
      <c r="D172">
        <v>47.389999000000003</v>
      </c>
      <c r="E172">
        <v>48.110000999999997</v>
      </c>
      <c r="F172">
        <v>48.110000999999997</v>
      </c>
      <c r="G172">
        <v>3674300</v>
      </c>
      <c r="I172">
        <f t="shared" si="6"/>
        <v>0</v>
      </c>
      <c r="J172">
        <v>0</v>
      </c>
      <c r="K172">
        <f t="shared" si="7"/>
        <v>0</v>
      </c>
      <c r="L172">
        <f t="shared" si="8"/>
        <v>0</v>
      </c>
      <c r="M172">
        <v>-1.45</v>
      </c>
    </row>
    <row r="173" spans="1:13" x14ac:dyDescent="0.2">
      <c r="A173" s="1">
        <v>44137</v>
      </c>
      <c r="B173">
        <v>48.450001</v>
      </c>
      <c r="C173">
        <v>48.470001000000003</v>
      </c>
      <c r="D173">
        <v>47.939999</v>
      </c>
      <c r="E173">
        <v>48.09</v>
      </c>
      <c r="F173">
        <v>48.09</v>
      </c>
      <c r="G173">
        <v>2523100</v>
      </c>
      <c r="I173">
        <f t="shared" si="6"/>
        <v>-4.1573476583368804E-4</v>
      </c>
      <c r="J173">
        <v>0</v>
      </c>
      <c r="K173">
        <f t="shared" si="7"/>
        <v>-4.1573476583368804E-4</v>
      </c>
      <c r="L173">
        <f t="shared" si="8"/>
        <v>-4.1573476583368803E-2</v>
      </c>
      <c r="M173">
        <v>1.17</v>
      </c>
    </row>
    <row r="174" spans="1:13" x14ac:dyDescent="0.2">
      <c r="A174" s="1">
        <v>44138</v>
      </c>
      <c r="B174">
        <v>49.619999</v>
      </c>
      <c r="C174">
        <v>49.700001</v>
      </c>
      <c r="D174">
        <v>49.209999000000003</v>
      </c>
      <c r="E174">
        <v>49.549999</v>
      </c>
      <c r="F174">
        <v>49.549999</v>
      </c>
      <c r="G174">
        <v>1938300</v>
      </c>
      <c r="I174">
        <f t="shared" si="6"/>
        <v>3.0359721355791146E-2</v>
      </c>
      <c r="J174">
        <v>0</v>
      </c>
      <c r="K174">
        <f t="shared" si="7"/>
        <v>3.0359721355791146E-2</v>
      </c>
      <c r="L174">
        <f t="shared" si="8"/>
        <v>3.0359721355791147</v>
      </c>
      <c r="M174">
        <v>1.93</v>
      </c>
    </row>
    <row r="175" spans="1:13" x14ac:dyDescent="0.2">
      <c r="A175" s="1">
        <v>44139</v>
      </c>
      <c r="B175">
        <v>49.029998999999997</v>
      </c>
      <c r="C175">
        <v>49.279998999999997</v>
      </c>
      <c r="D175">
        <v>48.400002000000001</v>
      </c>
      <c r="E175">
        <v>48.849997999999999</v>
      </c>
      <c r="F175">
        <v>48.849997999999999</v>
      </c>
      <c r="G175">
        <v>3475000</v>
      </c>
      <c r="I175">
        <f t="shared" si="6"/>
        <v>-1.4127164765432191E-2</v>
      </c>
      <c r="J175">
        <v>0</v>
      </c>
      <c r="K175">
        <f t="shared" si="7"/>
        <v>-1.4127164765432191E-2</v>
      </c>
      <c r="L175">
        <f t="shared" si="8"/>
        <v>-1.4127164765432192</v>
      </c>
      <c r="M175">
        <v>2.25</v>
      </c>
    </row>
    <row r="176" spans="1:13" x14ac:dyDescent="0.2">
      <c r="A176" s="1">
        <v>44140</v>
      </c>
      <c r="B176">
        <v>50.139999000000003</v>
      </c>
      <c r="C176">
        <v>50.599997999999999</v>
      </c>
      <c r="D176">
        <v>49.93</v>
      </c>
      <c r="E176">
        <v>50.060001</v>
      </c>
      <c r="F176">
        <v>50.060001</v>
      </c>
      <c r="G176">
        <v>2577200</v>
      </c>
      <c r="I176">
        <f t="shared" si="6"/>
        <v>2.4769765599580995E-2</v>
      </c>
      <c r="J176">
        <v>0</v>
      </c>
      <c r="K176">
        <f t="shared" si="7"/>
        <v>2.4769765599580995E-2</v>
      </c>
      <c r="L176">
        <f t="shared" si="8"/>
        <v>2.4769765599580995</v>
      </c>
      <c r="M176">
        <v>2.13</v>
      </c>
    </row>
    <row r="177" spans="1:13" x14ac:dyDescent="0.2">
      <c r="A177" s="1">
        <v>44141</v>
      </c>
      <c r="B177">
        <v>51.150002000000001</v>
      </c>
      <c r="C177">
        <v>51.380001</v>
      </c>
      <c r="D177">
        <v>50.84</v>
      </c>
      <c r="E177">
        <v>51.060001</v>
      </c>
      <c r="F177">
        <v>51.060001</v>
      </c>
      <c r="G177">
        <v>2052700</v>
      </c>
      <c r="I177">
        <f t="shared" si="6"/>
        <v>1.9976028366439705E-2</v>
      </c>
      <c r="J177">
        <v>0</v>
      </c>
      <c r="K177">
        <f t="shared" si="7"/>
        <v>1.9976028366439705E-2</v>
      </c>
      <c r="L177">
        <f t="shared" si="8"/>
        <v>1.9976028366439704</v>
      </c>
      <c r="M177">
        <v>0.01</v>
      </c>
    </row>
    <row r="178" spans="1:13" x14ac:dyDescent="0.2">
      <c r="A178" s="1">
        <v>44144</v>
      </c>
      <c r="B178">
        <v>54.330002</v>
      </c>
      <c r="C178">
        <v>54.419998</v>
      </c>
      <c r="D178">
        <v>52.490001999999997</v>
      </c>
      <c r="E178">
        <v>53.099997999999999</v>
      </c>
      <c r="F178">
        <v>53.099997999999999</v>
      </c>
      <c r="G178">
        <v>2982600</v>
      </c>
      <c r="I178">
        <f t="shared" si="6"/>
        <v>3.9952936937858653E-2</v>
      </c>
      <c r="J178">
        <v>0</v>
      </c>
      <c r="K178">
        <f t="shared" si="7"/>
        <v>3.9952936937858653E-2</v>
      </c>
      <c r="L178">
        <f t="shared" si="8"/>
        <v>3.9952936937858654</v>
      </c>
      <c r="M178">
        <v>0.82</v>
      </c>
    </row>
    <row r="179" spans="1:13" x14ac:dyDescent="0.2">
      <c r="A179" s="1">
        <v>44145</v>
      </c>
      <c r="B179">
        <v>53.68</v>
      </c>
      <c r="C179">
        <v>54.310001</v>
      </c>
      <c r="D179">
        <v>53.560001</v>
      </c>
      <c r="E179">
        <v>53.610000999999997</v>
      </c>
      <c r="F179">
        <v>53.610000999999997</v>
      </c>
      <c r="G179">
        <v>2122900</v>
      </c>
      <c r="I179">
        <f t="shared" si="6"/>
        <v>9.604576632940693E-3</v>
      </c>
      <c r="J179">
        <v>0</v>
      </c>
      <c r="K179">
        <f t="shared" si="7"/>
        <v>9.604576632940693E-3</v>
      </c>
      <c r="L179">
        <f t="shared" si="8"/>
        <v>0.96045766329406934</v>
      </c>
      <c r="M179">
        <v>-0.17</v>
      </c>
    </row>
    <row r="180" spans="1:13" x14ac:dyDescent="0.2">
      <c r="A180" s="1">
        <v>44146</v>
      </c>
      <c r="B180">
        <v>53.720001000000003</v>
      </c>
      <c r="C180">
        <v>53.889999000000003</v>
      </c>
      <c r="D180">
        <v>53.34</v>
      </c>
      <c r="E180">
        <v>53.540000999999997</v>
      </c>
      <c r="F180">
        <v>53.540000999999997</v>
      </c>
      <c r="G180">
        <v>1512400</v>
      </c>
      <c r="I180">
        <f t="shared" si="6"/>
        <v>-1.305726519199287E-3</v>
      </c>
      <c r="J180">
        <v>0</v>
      </c>
      <c r="K180">
        <f t="shared" si="7"/>
        <v>-1.305726519199287E-3</v>
      </c>
      <c r="L180">
        <f t="shared" si="8"/>
        <v>-0.1305726519199287</v>
      </c>
      <c r="M180">
        <v>0.88</v>
      </c>
    </row>
    <row r="181" spans="1:13" x14ac:dyDescent="0.2">
      <c r="A181" s="1">
        <v>44147</v>
      </c>
      <c r="B181">
        <v>52.400002000000001</v>
      </c>
      <c r="C181">
        <v>52.84</v>
      </c>
      <c r="D181">
        <v>51.900002000000001</v>
      </c>
      <c r="E181">
        <v>52.110000999999997</v>
      </c>
      <c r="F181">
        <v>52.110000999999997</v>
      </c>
      <c r="G181">
        <v>1388600</v>
      </c>
      <c r="I181">
        <f t="shared" si="6"/>
        <v>-2.6709002116006682E-2</v>
      </c>
      <c r="J181">
        <v>0</v>
      </c>
      <c r="K181">
        <f t="shared" si="7"/>
        <v>-2.6709002116006682E-2</v>
      </c>
      <c r="L181">
        <f t="shared" si="8"/>
        <v>-2.6709002116006682</v>
      </c>
      <c r="M181">
        <v>-0.94</v>
      </c>
    </row>
    <row r="182" spans="1:13" x14ac:dyDescent="0.2">
      <c r="A182" s="1">
        <v>44148</v>
      </c>
      <c r="B182">
        <v>52.459999000000003</v>
      </c>
      <c r="C182">
        <v>53.18</v>
      </c>
      <c r="D182">
        <v>52.330002</v>
      </c>
      <c r="E182">
        <v>52.950001</v>
      </c>
      <c r="F182">
        <v>52.950001</v>
      </c>
      <c r="G182">
        <v>1736500</v>
      </c>
      <c r="I182">
        <f t="shared" si="6"/>
        <v>1.6119746380354193E-2</v>
      </c>
      <c r="J182">
        <v>0</v>
      </c>
      <c r="K182">
        <f t="shared" si="7"/>
        <v>1.6119746380354193E-2</v>
      </c>
      <c r="L182">
        <f t="shared" si="8"/>
        <v>1.6119746380354194</v>
      </c>
      <c r="M182">
        <v>1.31</v>
      </c>
    </row>
    <row r="183" spans="1:13" x14ac:dyDescent="0.2">
      <c r="A183" s="1">
        <v>44151</v>
      </c>
      <c r="B183">
        <v>54.009998000000003</v>
      </c>
      <c r="C183">
        <v>54.150002000000001</v>
      </c>
      <c r="D183">
        <v>53.52</v>
      </c>
      <c r="E183">
        <v>53.970001000000003</v>
      </c>
      <c r="F183">
        <v>53.970001000000003</v>
      </c>
      <c r="G183">
        <v>2109500</v>
      </c>
      <c r="I183">
        <f t="shared" si="6"/>
        <v>1.9263455726846977E-2</v>
      </c>
      <c r="J183">
        <v>0</v>
      </c>
      <c r="K183">
        <f t="shared" si="7"/>
        <v>1.9263455726846977E-2</v>
      </c>
      <c r="L183">
        <f t="shared" si="8"/>
        <v>1.9263455726846976</v>
      </c>
      <c r="M183">
        <v>1.22</v>
      </c>
    </row>
    <row r="184" spans="1:13" x14ac:dyDescent="0.2">
      <c r="A184" s="1">
        <v>44152</v>
      </c>
      <c r="B184">
        <v>53.540000999999997</v>
      </c>
      <c r="C184">
        <v>53.959999000000003</v>
      </c>
      <c r="D184">
        <v>53.290000999999997</v>
      </c>
      <c r="E184">
        <v>53.73</v>
      </c>
      <c r="F184">
        <v>53.73</v>
      </c>
      <c r="G184">
        <v>2305700</v>
      </c>
      <c r="I184">
        <f t="shared" si="6"/>
        <v>-4.4469333991675585E-3</v>
      </c>
      <c r="J184">
        <v>0</v>
      </c>
      <c r="K184">
        <f t="shared" si="7"/>
        <v>-4.4469333991675585E-3</v>
      </c>
      <c r="L184">
        <f t="shared" si="8"/>
        <v>-0.44469333991675586</v>
      </c>
      <c r="M184">
        <v>-0.19</v>
      </c>
    </row>
    <row r="185" spans="1:13" x14ac:dyDescent="0.2">
      <c r="A185" s="1">
        <v>44153</v>
      </c>
      <c r="B185">
        <v>53.939999</v>
      </c>
      <c r="C185">
        <v>54.09</v>
      </c>
      <c r="D185">
        <v>53.32</v>
      </c>
      <c r="E185">
        <v>53.330002</v>
      </c>
      <c r="F185">
        <v>53.330002</v>
      </c>
      <c r="G185">
        <v>1642600</v>
      </c>
      <c r="I185">
        <f t="shared" si="6"/>
        <v>-7.4445933370555842E-3</v>
      </c>
      <c r="J185">
        <v>0</v>
      </c>
      <c r="K185">
        <f t="shared" si="7"/>
        <v>-7.4445933370555842E-3</v>
      </c>
      <c r="L185">
        <f t="shared" si="8"/>
        <v>-0.74445933370555839</v>
      </c>
      <c r="M185">
        <v>-0.93</v>
      </c>
    </row>
    <row r="186" spans="1:13" x14ac:dyDescent="0.2">
      <c r="A186" s="1">
        <v>44154</v>
      </c>
      <c r="B186">
        <v>52.889999000000003</v>
      </c>
      <c r="C186">
        <v>53.130001</v>
      </c>
      <c r="D186">
        <v>52.52</v>
      </c>
      <c r="E186">
        <v>53.080002</v>
      </c>
      <c r="F186">
        <v>53.080002</v>
      </c>
      <c r="G186">
        <v>1469300</v>
      </c>
      <c r="I186">
        <f t="shared" si="6"/>
        <v>-4.6877928112584732E-3</v>
      </c>
      <c r="J186">
        <v>0</v>
      </c>
      <c r="K186">
        <f t="shared" si="7"/>
        <v>-4.6877928112584732E-3</v>
      </c>
      <c r="L186">
        <f t="shared" si="8"/>
        <v>-0.46877928112584732</v>
      </c>
      <c r="M186">
        <v>0.59</v>
      </c>
    </row>
    <row r="187" spans="1:13" x14ac:dyDescent="0.2">
      <c r="A187" s="1">
        <v>44155</v>
      </c>
      <c r="B187">
        <v>53.560001</v>
      </c>
      <c r="C187">
        <v>53.830002</v>
      </c>
      <c r="D187">
        <v>53.360000999999997</v>
      </c>
      <c r="E187">
        <v>53.700001</v>
      </c>
      <c r="F187">
        <v>53.700001</v>
      </c>
      <c r="G187">
        <v>1215400</v>
      </c>
      <c r="I187">
        <f t="shared" si="6"/>
        <v>1.1680463011286247E-2</v>
      </c>
      <c r="J187">
        <v>0</v>
      </c>
      <c r="K187">
        <f t="shared" si="7"/>
        <v>1.1680463011286247E-2</v>
      </c>
      <c r="L187">
        <f t="shared" si="8"/>
        <v>1.1680463011286246</v>
      </c>
      <c r="M187">
        <v>-0.51</v>
      </c>
    </row>
    <row r="188" spans="1:13" x14ac:dyDescent="0.2">
      <c r="A188" s="1">
        <v>44158</v>
      </c>
      <c r="B188">
        <v>54.580002</v>
      </c>
      <c r="C188">
        <v>55.169998</v>
      </c>
      <c r="D188">
        <v>54.5</v>
      </c>
      <c r="E188">
        <v>55.119999</v>
      </c>
      <c r="F188">
        <v>55.119999</v>
      </c>
      <c r="G188">
        <v>2272300</v>
      </c>
      <c r="I188">
        <f t="shared" si="6"/>
        <v>2.644316524314403E-2</v>
      </c>
      <c r="J188">
        <v>0</v>
      </c>
      <c r="K188">
        <f t="shared" si="7"/>
        <v>2.644316524314403E-2</v>
      </c>
      <c r="L188">
        <f t="shared" si="8"/>
        <v>2.6443165243144029</v>
      </c>
      <c r="M188">
        <v>0.83</v>
      </c>
    </row>
    <row r="189" spans="1:13" x14ac:dyDescent="0.2">
      <c r="A189" s="1">
        <v>44159</v>
      </c>
      <c r="B189">
        <v>56.849997999999999</v>
      </c>
      <c r="C189">
        <v>57.93</v>
      </c>
      <c r="D189">
        <v>56.700001</v>
      </c>
      <c r="E189">
        <v>57.849997999999999</v>
      </c>
      <c r="F189">
        <v>57.849997999999999</v>
      </c>
      <c r="G189">
        <v>3045600</v>
      </c>
      <c r="I189">
        <f t="shared" si="6"/>
        <v>4.9528284643111105E-2</v>
      </c>
      <c r="J189">
        <v>0</v>
      </c>
      <c r="K189">
        <f t="shared" si="7"/>
        <v>4.9528284643111105E-2</v>
      </c>
      <c r="L189">
        <f t="shared" si="8"/>
        <v>4.9528284643111107</v>
      </c>
      <c r="M189">
        <v>1.56</v>
      </c>
    </row>
    <row r="190" spans="1:13" x14ac:dyDescent="0.2">
      <c r="A190" s="1">
        <v>44160</v>
      </c>
      <c r="B190">
        <v>57</v>
      </c>
      <c r="C190">
        <v>57.380001</v>
      </c>
      <c r="D190">
        <v>56.59</v>
      </c>
      <c r="E190">
        <v>57.32</v>
      </c>
      <c r="F190">
        <v>57.32</v>
      </c>
      <c r="G190">
        <v>1663900</v>
      </c>
      <c r="I190">
        <f t="shared" si="6"/>
        <v>-9.1615906365286152E-3</v>
      </c>
      <c r="J190">
        <v>0</v>
      </c>
      <c r="K190">
        <f t="shared" si="7"/>
        <v>-9.1615906365286152E-3</v>
      </c>
      <c r="L190">
        <f t="shared" si="8"/>
        <v>-0.91615906365286148</v>
      </c>
      <c r="M190">
        <v>0.03</v>
      </c>
    </row>
    <row r="191" spans="1:13" x14ac:dyDescent="0.2">
      <c r="A191" s="1">
        <v>44162</v>
      </c>
      <c r="B191">
        <v>56.549999</v>
      </c>
      <c r="C191">
        <v>57.290000999999997</v>
      </c>
      <c r="D191">
        <v>56.5</v>
      </c>
      <c r="E191">
        <v>57.259998000000003</v>
      </c>
      <c r="F191">
        <v>57.259998000000003</v>
      </c>
      <c r="G191">
        <v>1245500</v>
      </c>
      <c r="I191">
        <f t="shared" si="6"/>
        <v>-1.0467899511513821E-3</v>
      </c>
      <c r="J191">
        <v>0</v>
      </c>
      <c r="K191">
        <f t="shared" si="7"/>
        <v>-1.0467899511513821E-3</v>
      </c>
      <c r="L191">
        <f t="shared" si="8"/>
        <v>-0.1046789951151382</v>
      </c>
      <c r="M191">
        <v>0.43</v>
      </c>
    </row>
    <row r="192" spans="1:13" x14ac:dyDescent="0.2">
      <c r="A192" s="1">
        <v>44165</v>
      </c>
      <c r="B192">
        <v>56.919998</v>
      </c>
      <c r="C192">
        <v>57.02</v>
      </c>
      <c r="D192">
        <v>55.790000999999997</v>
      </c>
      <c r="E192">
        <v>55.790000999999997</v>
      </c>
      <c r="F192">
        <v>55.790000999999997</v>
      </c>
      <c r="G192">
        <v>2013100</v>
      </c>
      <c r="I192">
        <f t="shared" si="6"/>
        <v>-2.5672320142239725E-2</v>
      </c>
      <c r="J192">
        <v>0</v>
      </c>
      <c r="K192">
        <f t="shared" si="7"/>
        <v>-2.5672320142239725E-2</v>
      </c>
      <c r="L192">
        <f t="shared" si="8"/>
        <v>-2.5672320142239724</v>
      </c>
      <c r="M192">
        <v>-0.53</v>
      </c>
    </row>
    <row r="193" spans="1:13" x14ac:dyDescent="0.2">
      <c r="A193" s="1">
        <v>44166</v>
      </c>
      <c r="B193">
        <v>57.209999000000003</v>
      </c>
      <c r="C193">
        <v>57.98</v>
      </c>
      <c r="D193">
        <v>57.189999</v>
      </c>
      <c r="E193">
        <v>57.75</v>
      </c>
      <c r="F193">
        <v>57.75</v>
      </c>
      <c r="G193">
        <v>1690000</v>
      </c>
      <c r="I193">
        <f t="shared" si="6"/>
        <v>3.5131725486077757E-2</v>
      </c>
      <c r="J193">
        <v>0</v>
      </c>
      <c r="K193">
        <f t="shared" si="7"/>
        <v>3.5131725486077757E-2</v>
      </c>
      <c r="L193">
        <f t="shared" si="8"/>
        <v>3.5131725486077756</v>
      </c>
      <c r="M193">
        <v>0.98</v>
      </c>
    </row>
    <row r="194" spans="1:13" x14ac:dyDescent="0.2">
      <c r="A194" s="1">
        <v>44167</v>
      </c>
      <c r="B194">
        <v>59.380001</v>
      </c>
      <c r="C194">
        <v>60.419998</v>
      </c>
      <c r="D194">
        <v>59.209999000000003</v>
      </c>
      <c r="E194">
        <v>60.130001</v>
      </c>
      <c r="F194">
        <v>60.130001</v>
      </c>
      <c r="G194">
        <v>3689900</v>
      </c>
      <c r="I194">
        <f t="shared" si="6"/>
        <v>4.1212138528138528E-2</v>
      </c>
      <c r="J194">
        <v>0</v>
      </c>
      <c r="K194">
        <f t="shared" si="7"/>
        <v>4.1212138528138528E-2</v>
      </c>
      <c r="L194">
        <f t="shared" si="8"/>
        <v>4.1212138528138524</v>
      </c>
      <c r="M194">
        <v>0.11</v>
      </c>
    </row>
    <row r="195" spans="1:13" x14ac:dyDescent="0.2">
      <c r="A195" s="1">
        <v>44168</v>
      </c>
      <c r="B195">
        <v>61.43</v>
      </c>
      <c r="C195">
        <v>62.209999000000003</v>
      </c>
      <c r="D195">
        <v>61.029998999999997</v>
      </c>
      <c r="E195">
        <v>61.59</v>
      </c>
      <c r="F195">
        <v>61.59</v>
      </c>
      <c r="G195">
        <v>2324800</v>
      </c>
      <c r="I195">
        <f t="shared" si="6"/>
        <v>2.4280708061189014E-2</v>
      </c>
      <c r="J195">
        <v>0</v>
      </c>
      <c r="K195">
        <f t="shared" si="7"/>
        <v>2.4280708061189014E-2</v>
      </c>
      <c r="L195">
        <f t="shared" si="8"/>
        <v>2.4280708061189014</v>
      </c>
      <c r="M195">
        <v>0.18</v>
      </c>
    </row>
    <row r="196" spans="1:13" x14ac:dyDescent="0.2">
      <c r="A196" s="1">
        <v>44169</v>
      </c>
      <c r="B196">
        <v>62.189999</v>
      </c>
      <c r="C196">
        <v>63.290000999999997</v>
      </c>
      <c r="D196">
        <v>62.189999</v>
      </c>
      <c r="E196">
        <v>63.060001</v>
      </c>
      <c r="F196">
        <v>63.060001</v>
      </c>
      <c r="G196">
        <v>2672800</v>
      </c>
      <c r="I196">
        <f t="shared" ref="I196:I252" si="9">(F196-F195)/F195</f>
        <v>2.386752719597331E-2</v>
      </c>
      <c r="J196">
        <v>0</v>
      </c>
      <c r="K196">
        <f t="shared" ref="K196:K252" si="10">I196-J196</f>
        <v>2.386752719597331E-2</v>
      </c>
      <c r="L196">
        <f t="shared" ref="L196:L252" si="11">100*K196</f>
        <v>2.386752719597331</v>
      </c>
      <c r="M196">
        <v>1.02</v>
      </c>
    </row>
    <row r="197" spans="1:13" x14ac:dyDescent="0.2">
      <c r="A197" s="1">
        <v>44172</v>
      </c>
      <c r="B197">
        <v>62.630001</v>
      </c>
      <c r="C197">
        <v>62.990001999999997</v>
      </c>
      <c r="D197">
        <v>62.330002</v>
      </c>
      <c r="E197">
        <v>62.529998999999997</v>
      </c>
      <c r="F197">
        <v>62.529998999999997</v>
      </c>
      <c r="G197">
        <v>1420000</v>
      </c>
      <c r="I197">
        <f t="shared" si="9"/>
        <v>-8.4047255248220366E-3</v>
      </c>
      <c r="J197">
        <v>0</v>
      </c>
      <c r="K197">
        <f t="shared" si="10"/>
        <v>-8.4047255248220366E-3</v>
      </c>
      <c r="L197">
        <f t="shared" si="11"/>
        <v>-0.84047255248220365</v>
      </c>
      <c r="M197">
        <v>0.03</v>
      </c>
    </row>
    <row r="198" spans="1:13" x14ac:dyDescent="0.2">
      <c r="A198" s="1">
        <v>44173</v>
      </c>
      <c r="B198">
        <v>62.200001</v>
      </c>
      <c r="C198">
        <v>63.139999000000003</v>
      </c>
      <c r="D198">
        <v>62.200001</v>
      </c>
      <c r="E198">
        <v>63.009998000000003</v>
      </c>
      <c r="F198">
        <v>63.009998000000003</v>
      </c>
      <c r="G198">
        <v>1705900</v>
      </c>
      <c r="I198">
        <f t="shared" si="9"/>
        <v>7.6762994990613471E-3</v>
      </c>
      <c r="J198">
        <v>0</v>
      </c>
      <c r="K198">
        <f t="shared" si="10"/>
        <v>7.6762994990613471E-3</v>
      </c>
      <c r="L198">
        <f t="shared" si="11"/>
        <v>0.76762994990613476</v>
      </c>
      <c r="M198">
        <v>0.47</v>
      </c>
    </row>
    <row r="199" spans="1:13" x14ac:dyDescent="0.2">
      <c r="A199" s="1">
        <v>44174</v>
      </c>
      <c r="B199">
        <v>63.529998999999997</v>
      </c>
      <c r="C199">
        <v>63.75</v>
      </c>
      <c r="D199">
        <v>62.400002000000001</v>
      </c>
      <c r="E199">
        <v>62.990001999999997</v>
      </c>
      <c r="F199">
        <v>62.990001999999997</v>
      </c>
      <c r="G199">
        <v>1999400</v>
      </c>
      <c r="I199">
        <f t="shared" si="9"/>
        <v>-3.1734646301696627E-4</v>
      </c>
      <c r="J199">
        <v>0</v>
      </c>
      <c r="K199">
        <f t="shared" si="10"/>
        <v>-3.1734646301696627E-4</v>
      </c>
      <c r="L199">
        <f t="shared" si="11"/>
        <v>-3.1734646301696624E-2</v>
      </c>
      <c r="M199">
        <v>-1.03</v>
      </c>
    </row>
    <row r="200" spans="1:13" x14ac:dyDescent="0.2">
      <c r="A200" s="1">
        <v>44175</v>
      </c>
      <c r="B200">
        <v>63.52</v>
      </c>
      <c r="C200">
        <v>65.110000999999997</v>
      </c>
      <c r="D200">
        <v>63.450001</v>
      </c>
      <c r="E200">
        <v>64.75</v>
      </c>
      <c r="F200">
        <v>64.75</v>
      </c>
      <c r="G200">
        <v>2500600</v>
      </c>
      <c r="I200">
        <f t="shared" si="9"/>
        <v>2.7940910368601087E-2</v>
      </c>
      <c r="J200">
        <v>0</v>
      </c>
      <c r="K200">
        <f t="shared" si="10"/>
        <v>2.7940910368601087E-2</v>
      </c>
      <c r="L200">
        <f t="shared" si="11"/>
        <v>2.7940910368601086</v>
      </c>
      <c r="M200">
        <v>0.24</v>
      </c>
    </row>
    <row r="201" spans="1:13" x14ac:dyDescent="0.2">
      <c r="A201" s="1">
        <v>44176</v>
      </c>
      <c r="B201">
        <v>64.279999000000004</v>
      </c>
      <c r="C201">
        <v>64.900002000000001</v>
      </c>
      <c r="D201">
        <v>64.190002000000007</v>
      </c>
      <c r="E201">
        <v>64.519997000000004</v>
      </c>
      <c r="F201">
        <v>64.519997000000004</v>
      </c>
      <c r="G201">
        <v>1924300</v>
      </c>
      <c r="I201">
        <f t="shared" si="9"/>
        <v>-3.5521698841698285E-3</v>
      </c>
      <c r="J201">
        <v>0</v>
      </c>
      <c r="K201">
        <f t="shared" si="10"/>
        <v>-3.5521698841698285E-3</v>
      </c>
      <c r="L201">
        <f t="shared" si="11"/>
        <v>-0.35521698841698285</v>
      </c>
      <c r="M201">
        <v>-0.2</v>
      </c>
    </row>
    <row r="202" spans="1:13" x14ac:dyDescent="0.2">
      <c r="A202" s="1">
        <v>44179</v>
      </c>
      <c r="B202">
        <v>64.519997000000004</v>
      </c>
      <c r="C202">
        <v>64.669998000000007</v>
      </c>
      <c r="D202">
        <v>63.389999000000003</v>
      </c>
      <c r="E202">
        <v>63.400002000000001</v>
      </c>
      <c r="F202">
        <v>63.400002000000001</v>
      </c>
      <c r="G202">
        <v>2075100</v>
      </c>
      <c r="I202">
        <f t="shared" si="9"/>
        <v>-1.735888177428159E-2</v>
      </c>
      <c r="J202">
        <v>0</v>
      </c>
      <c r="K202">
        <f t="shared" si="10"/>
        <v>-1.735888177428159E-2</v>
      </c>
      <c r="L202">
        <f t="shared" si="11"/>
        <v>-1.7358881774281589</v>
      </c>
      <c r="M202">
        <v>-0.28000000000000003</v>
      </c>
    </row>
    <row r="203" spans="1:13" x14ac:dyDescent="0.2">
      <c r="A203" s="1">
        <v>44180</v>
      </c>
      <c r="B203">
        <v>64.180000000000007</v>
      </c>
      <c r="C203">
        <v>64.769997000000004</v>
      </c>
      <c r="D203">
        <v>63.970001000000003</v>
      </c>
      <c r="E203">
        <v>64.690002000000007</v>
      </c>
      <c r="F203">
        <v>64.690002000000007</v>
      </c>
      <c r="G203">
        <v>1942600</v>
      </c>
      <c r="I203">
        <f t="shared" si="9"/>
        <v>2.0347002512712951E-2</v>
      </c>
      <c r="J203">
        <v>0</v>
      </c>
      <c r="K203">
        <f t="shared" si="10"/>
        <v>2.0347002512712951E-2</v>
      </c>
      <c r="L203">
        <f t="shared" si="11"/>
        <v>2.0347002512712953</v>
      </c>
      <c r="M203">
        <v>1.28</v>
      </c>
    </row>
    <row r="204" spans="1:13" x14ac:dyDescent="0.2">
      <c r="A204" s="1">
        <v>44181</v>
      </c>
      <c r="B204">
        <v>64.760002</v>
      </c>
      <c r="C204">
        <v>65.089995999999999</v>
      </c>
      <c r="D204">
        <v>64.389999000000003</v>
      </c>
      <c r="E204">
        <v>64.870002999999997</v>
      </c>
      <c r="F204">
        <v>64.870002999999997</v>
      </c>
      <c r="G204">
        <v>2525100</v>
      </c>
      <c r="I204">
        <f t="shared" si="9"/>
        <v>2.7825165316889317E-3</v>
      </c>
      <c r="J204">
        <v>0</v>
      </c>
      <c r="K204">
        <f t="shared" si="10"/>
        <v>2.7825165316889317E-3</v>
      </c>
      <c r="L204">
        <f t="shared" si="11"/>
        <v>0.27825165316889316</v>
      </c>
      <c r="M204">
        <v>0.17</v>
      </c>
    </row>
    <row r="205" spans="1:13" x14ac:dyDescent="0.2">
      <c r="A205" s="1">
        <v>44182</v>
      </c>
      <c r="B205">
        <v>66.269997000000004</v>
      </c>
      <c r="C205">
        <v>66.790001000000004</v>
      </c>
      <c r="D205">
        <v>66.050003000000004</v>
      </c>
      <c r="E205">
        <v>66.279999000000004</v>
      </c>
      <c r="F205">
        <v>66.279999000000004</v>
      </c>
      <c r="G205">
        <v>2282400</v>
      </c>
      <c r="I205">
        <f t="shared" si="9"/>
        <v>2.1735716583826992E-2</v>
      </c>
      <c r="J205">
        <v>0</v>
      </c>
      <c r="K205">
        <f t="shared" si="10"/>
        <v>2.1735716583826992E-2</v>
      </c>
      <c r="L205">
        <f t="shared" si="11"/>
        <v>2.1735716583826994</v>
      </c>
      <c r="M205">
        <v>0.79</v>
      </c>
    </row>
    <row r="206" spans="1:13" x14ac:dyDescent="0.2">
      <c r="A206" s="1">
        <v>44183</v>
      </c>
      <c r="B206">
        <v>65.940002000000007</v>
      </c>
      <c r="C206">
        <v>66.069999999999993</v>
      </c>
      <c r="D206">
        <v>65.5</v>
      </c>
      <c r="E206">
        <v>65.720000999999996</v>
      </c>
      <c r="F206">
        <v>65.720000999999996</v>
      </c>
      <c r="G206">
        <v>2378100</v>
      </c>
      <c r="I206">
        <f t="shared" si="9"/>
        <v>-8.4489741769610965E-3</v>
      </c>
      <c r="J206">
        <v>0</v>
      </c>
      <c r="K206">
        <f t="shared" si="10"/>
        <v>-8.4489741769610965E-3</v>
      </c>
      <c r="L206">
        <f t="shared" si="11"/>
        <v>-0.84489741769610971</v>
      </c>
      <c r="M206">
        <v>-0.12</v>
      </c>
    </row>
    <row r="207" spans="1:13" x14ac:dyDescent="0.2">
      <c r="A207" s="1">
        <v>44186</v>
      </c>
      <c r="B207">
        <v>64.180000000000007</v>
      </c>
      <c r="C207">
        <v>65.699996999999996</v>
      </c>
      <c r="D207">
        <v>64.059997999999993</v>
      </c>
      <c r="E207">
        <v>65.580001999999993</v>
      </c>
      <c r="F207">
        <v>65.580001999999993</v>
      </c>
      <c r="G207">
        <v>2393900</v>
      </c>
      <c r="I207">
        <f t="shared" si="9"/>
        <v>-2.1302342950360437E-3</v>
      </c>
      <c r="J207">
        <v>0</v>
      </c>
      <c r="K207">
        <f t="shared" si="10"/>
        <v>-2.1302342950360437E-3</v>
      </c>
      <c r="L207">
        <f t="shared" si="11"/>
        <v>-0.21302342950360437</v>
      </c>
      <c r="M207">
        <v>-0.23</v>
      </c>
    </row>
    <row r="208" spans="1:13" x14ac:dyDescent="0.2">
      <c r="A208" s="1">
        <v>44187</v>
      </c>
      <c r="B208">
        <v>65.150002000000001</v>
      </c>
      <c r="C208">
        <v>65.389999000000003</v>
      </c>
      <c r="D208">
        <v>64.559997999999993</v>
      </c>
      <c r="E208">
        <v>64.629997000000003</v>
      </c>
      <c r="F208">
        <v>64.629997000000003</v>
      </c>
      <c r="G208">
        <v>1512800</v>
      </c>
      <c r="I208">
        <f t="shared" si="9"/>
        <v>-1.4486199619206939E-2</v>
      </c>
      <c r="J208">
        <v>0</v>
      </c>
      <c r="K208">
        <f t="shared" si="10"/>
        <v>-1.4486199619206939E-2</v>
      </c>
      <c r="L208">
        <f t="shared" si="11"/>
        <v>-1.4486199619206939</v>
      </c>
      <c r="M208">
        <v>0.06</v>
      </c>
    </row>
    <row r="209" spans="1:13" x14ac:dyDescent="0.2">
      <c r="A209" s="1">
        <v>44188</v>
      </c>
      <c r="B209">
        <v>65.519997000000004</v>
      </c>
      <c r="C209">
        <v>66</v>
      </c>
      <c r="D209">
        <v>65.269997000000004</v>
      </c>
      <c r="E209">
        <v>65.629997000000003</v>
      </c>
      <c r="F209">
        <v>65.629997000000003</v>
      </c>
      <c r="G209">
        <v>1606900</v>
      </c>
      <c r="I209">
        <f t="shared" si="9"/>
        <v>1.5472691419125394E-2</v>
      </c>
      <c r="J209">
        <v>0</v>
      </c>
      <c r="K209">
        <f t="shared" si="10"/>
        <v>1.5472691419125394E-2</v>
      </c>
      <c r="L209">
        <f t="shared" si="11"/>
        <v>1.5472691419125395</v>
      </c>
      <c r="M209">
        <v>0.1</v>
      </c>
    </row>
    <row r="210" spans="1:13" x14ac:dyDescent="0.2">
      <c r="A210" s="1">
        <v>44189</v>
      </c>
      <c r="B210">
        <v>65.980002999999996</v>
      </c>
      <c r="C210">
        <v>66.059997999999993</v>
      </c>
      <c r="D210">
        <v>64.940002000000007</v>
      </c>
      <c r="E210">
        <v>65.150002000000001</v>
      </c>
      <c r="F210">
        <v>65.150002000000001</v>
      </c>
      <c r="G210">
        <v>620100</v>
      </c>
      <c r="I210">
        <f t="shared" si="9"/>
        <v>-7.3136526274715872E-3</v>
      </c>
      <c r="J210">
        <v>0</v>
      </c>
      <c r="K210">
        <f t="shared" si="10"/>
        <v>-7.3136526274715872E-3</v>
      </c>
      <c r="L210">
        <f t="shared" si="11"/>
        <v>-0.73136526274715874</v>
      </c>
      <c r="M210">
        <v>0.21</v>
      </c>
    </row>
    <row r="211" spans="1:13" x14ac:dyDescent="0.2">
      <c r="A211" s="1">
        <v>44193</v>
      </c>
      <c r="B211">
        <v>65.639999000000003</v>
      </c>
      <c r="C211">
        <v>65.970000999999996</v>
      </c>
      <c r="D211">
        <v>65.059997999999993</v>
      </c>
      <c r="E211">
        <v>65.290001000000004</v>
      </c>
      <c r="F211">
        <v>65.290001000000004</v>
      </c>
      <c r="G211">
        <v>813500</v>
      </c>
      <c r="I211">
        <f t="shared" si="9"/>
        <v>2.1488717682618505E-3</v>
      </c>
      <c r="J211">
        <v>0</v>
      </c>
      <c r="K211">
        <f t="shared" si="10"/>
        <v>2.1488717682618505E-3</v>
      </c>
      <c r="L211">
        <f t="shared" si="11"/>
        <v>0.21488717682618505</v>
      </c>
      <c r="M211">
        <v>0.46</v>
      </c>
    </row>
    <row r="212" spans="1:13" x14ac:dyDescent="0.2">
      <c r="A212" s="1">
        <v>44194</v>
      </c>
      <c r="B212">
        <v>66.400002000000001</v>
      </c>
      <c r="C212">
        <v>66.470000999999996</v>
      </c>
      <c r="D212">
        <v>65.529999000000004</v>
      </c>
      <c r="E212">
        <v>65.699996999999996</v>
      </c>
      <c r="F212">
        <v>65.699996999999996</v>
      </c>
      <c r="G212">
        <v>2032200</v>
      </c>
      <c r="I212">
        <f t="shared" si="9"/>
        <v>6.2796139335331369E-3</v>
      </c>
      <c r="J212">
        <v>0</v>
      </c>
      <c r="K212">
        <f t="shared" si="10"/>
        <v>6.2796139335331369E-3</v>
      </c>
      <c r="L212">
        <f t="shared" si="11"/>
        <v>0.62796139335331369</v>
      </c>
      <c r="M212">
        <v>-0.4</v>
      </c>
    </row>
    <row r="213" spans="1:13" x14ac:dyDescent="0.2">
      <c r="A213" s="1">
        <v>44195</v>
      </c>
      <c r="B213">
        <v>66.099997999999999</v>
      </c>
      <c r="C213">
        <v>66.379997000000003</v>
      </c>
      <c r="D213">
        <v>65.760002</v>
      </c>
      <c r="E213">
        <v>65.940002000000007</v>
      </c>
      <c r="F213">
        <v>65.940002000000007</v>
      </c>
      <c r="G213">
        <v>1354700</v>
      </c>
      <c r="I213">
        <f t="shared" si="9"/>
        <v>3.6530443068362802E-3</v>
      </c>
      <c r="J213">
        <v>0</v>
      </c>
      <c r="K213">
        <f t="shared" si="10"/>
        <v>3.6530443068362802E-3</v>
      </c>
      <c r="L213">
        <f t="shared" si="11"/>
        <v>0.365304430683628</v>
      </c>
      <c r="M213">
        <v>0.27</v>
      </c>
    </row>
    <row r="214" spans="1:13" x14ac:dyDescent="0.2">
      <c r="A214" s="1">
        <v>44196</v>
      </c>
      <c r="B214">
        <v>65.519997000000004</v>
      </c>
      <c r="C214">
        <v>65.550003000000004</v>
      </c>
      <c r="D214">
        <v>65.120002999999997</v>
      </c>
      <c r="E214">
        <v>65.339995999999999</v>
      </c>
      <c r="F214">
        <v>65.339995999999999</v>
      </c>
      <c r="G214">
        <v>1524800</v>
      </c>
      <c r="I214">
        <f t="shared" si="9"/>
        <v>-9.099271789527812E-3</v>
      </c>
      <c r="J214">
        <v>0</v>
      </c>
      <c r="K214">
        <f t="shared" si="10"/>
        <v>-9.099271789527812E-3</v>
      </c>
      <c r="L214">
        <f t="shared" si="11"/>
        <v>-0.90992717895278119</v>
      </c>
      <c r="M214">
        <v>0.39</v>
      </c>
    </row>
    <row r="215" spans="1:13" x14ac:dyDescent="0.2">
      <c r="A215" s="1">
        <v>44200</v>
      </c>
      <c r="B215">
        <v>68</v>
      </c>
      <c r="C215">
        <v>68.260002</v>
      </c>
      <c r="D215">
        <v>67.169998000000007</v>
      </c>
      <c r="E215">
        <v>67.349997999999999</v>
      </c>
      <c r="F215">
        <v>67.349997999999999</v>
      </c>
      <c r="G215">
        <v>2879100</v>
      </c>
      <c r="I215">
        <f t="shared" si="9"/>
        <v>3.0762199618132823E-2</v>
      </c>
      <c r="J215">
        <v>0</v>
      </c>
      <c r="K215">
        <f t="shared" si="10"/>
        <v>3.0762199618132823E-2</v>
      </c>
      <c r="L215">
        <f t="shared" si="11"/>
        <v>3.0762199618132824</v>
      </c>
      <c r="M215">
        <v>-1.41</v>
      </c>
    </row>
    <row r="216" spans="1:13" x14ac:dyDescent="0.2">
      <c r="A216" s="1">
        <v>44201</v>
      </c>
      <c r="B216">
        <v>67.610000999999997</v>
      </c>
      <c r="C216">
        <v>69.930000000000007</v>
      </c>
      <c r="D216">
        <v>67.589995999999999</v>
      </c>
      <c r="E216">
        <v>69.5</v>
      </c>
      <c r="F216">
        <v>69.5</v>
      </c>
      <c r="G216">
        <v>3479500</v>
      </c>
      <c r="I216">
        <f t="shared" si="9"/>
        <v>3.1922822031858124E-2</v>
      </c>
      <c r="J216">
        <v>0</v>
      </c>
      <c r="K216">
        <f t="shared" si="10"/>
        <v>3.1922822031858124E-2</v>
      </c>
      <c r="L216">
        <f t="shared" si="11"/>
        <v>3.1922822031858122</v>
      </c>
      <c r="M216">
        <v>0.86</v>
      </c>
    </row>
    <row r="217" spans="1:13" x14ac:dyDescent="0.2">
      <c r="A217" s="1">
        <v>44202</v>
      </c>
      <c r="B217">
        <v>71.400002000000001</v>
      </c>
      <c r="C217">
        <v>72.410004000000001</v>
      </c>
      <c r="D217">
        <v>70.900002000000001</v>
      </c>
      <c r="E217">
        <v>71.709998999999996</v>
      </c>
      <c r="F217">
        <v>71.709998999999996</v>
      </c>
      <c r="G217">
        <v>4844400</v>
      </c>
      <c r="I217">
        <f t="shared" si="9"/>
        <v>3.1798546762589877E-2</v>
      </c>
      <c r="J217">
        <v>0</v>
      </c>
      <c r="K217">
        <f t="shared" si="10"/>
        <v>3.1798546762589877E-2</v>
      </c>
      <c r="L217">
        <f t="shared" si="11"/>
        <v>3.1798546762589877</v>
      </c>
      <c r="M217">
        <v>0.79</v>
      </c>
    </row>
    <row r="218" spans="1:13" x14ac:dyDescent="0.2">
      <c r="A218" s="1">
        <v>44203</v>
      </c>
      <c r="B218">
        <v>72.709998999999996</v>
      </c>
      <c r="C218">
        <v>73.370002999999997</v>
      </c>
      <c r="D218">
        <v>72.269997000000004</v>
      </c>
      <c r="E218">
        <v>73.180000000000007</v>
      </c>
      <c r="F218">
        <v>73.180000000000007</v>
      </c>
      <c r="G218">
        <v>2740700</v>
      </c>
      <c r="I218">
        <f t="shared" si="9"/>
        <v>2.0499247252813525E-2</v>
      </c>
      <c r="J218">
        <v>0</v>
      </c>
      <c r="K218">
        <f t="shared" si="10"/>
        <v>2.0499247252813525E-2</v>
      </c>
      <c r="L218">
        <f t="shared" si="11"/>
        <v>2.0499247252813526</v>
      </c>
      <c r="M218">
        <v>1.76</v>
      </c>
    </row>
    <row r="219" spans="1:13" x14ac:dyDescent="0.2">
      <c r="A219" s="1">
        <v>44204</v>
      </c>
      <c r="B219">
        <v>73.709998999999996</v>
      </c>
      <c r="C219">
        <v>73.790001000000004</v>
      </c>
      <c r="D219">
        <v>72.389999000000003</v>
      </c>
      <c r="E219">
        <v>73.459998999999996</v>
      </c>
      <c r="F219">
        <v>73.459998999999996</v>
      </c>
      <c r="G219">
        <v>2778000</v>
      </c>
      <c r="I219">
        <f t="shared" si="9"/>
        <v>3.8261683520086011E-3</v>
      </c>
      <c r="J219">
        <v>0</v>
      </c>
      <c r="K219">
        <f t="shared" si="10"/>
        <v>3.8261683520086011E-3</v>
      </c>
      <c r="L219">
        <f t="shared" si="11"/>
        <v>0.38261683520086009</v>
      </c>
      <c r="M219">
        <v>0.51</v>
      </c>
    </row>
    <row r="220" spans="1:13" x14ac:dyDescent="0.2">
      <c r="A220" s="1">
        <v>44207</v>
      </c>
      <c r="B220">
        <v>70.790001000000004</v>
      </c>
      <c r="C220">
        <v>71.730002999999996</v>
      </c>
      <c r="D220">
        <v>70.620002999999997</v>
      </c>
      <c r="E220">
        <v>71.279999000000004</v>
      </c>
      <c r="F220">
        <v>71.279999000000004</v>
      </c>
      <c r="G220">
        <v>2343300</v>
      </c>
      <c r="I220">
        <f t="shared" si="9"/>
        <v>-2.9676014561339604E-2</v>
      </c>
      <c r="J220">
        <v>0</v>
      </c>
      <c r="K220">
        <f t="shared" si="10"/>
        <v>-2.9676014561339604E-2</v>
      </c>
      <c r="L220">
        <f t="shared" si="11"/>
        <v>-2.9676014561339605</v>
      </c>
      <c r="M220">
        <v>-0.51</v>
      </c>
    </row>
    <row r="221" spans="1:13" x14ac:dyDescent="0.2">
      <c r="A221" s="1">
        <v>44208</v>
      </c>
      <c r="B221">
        <v>71.410004000000001</v>
      </c>
      <c r="C221">
        <v>72.019997000000004</v>
      </c>
      <c r="D221">
        <v>70.980002999999996</v>
      </c>
      <c r="E221">
        <v>71.949996999999996</v>
      </c>
      <c r="F221">
        <v>71.949996999999996</v>
      </c>
      <c r="G221">
        <v>1483200</v>
      </c>
      <c r="I221">
        <f t="shared" si="9"/>
        <v>9.3995231397238452E-3</v>
      </c>
      <c r="J221">
        <v>0</v>
      </c>
      <c r="K221">
        <f t="shared" si="10"/>
        <v>9.3995231397238452E-3</v>
      </c>
      <c r="L221">
        <f t="shared" si="11"/>
        <v>0.93995231397238455</v>
      </c>
      <c r="M221">
        <v>0.38</v>
      </c>
    </row>
    <row r="222" spans="1:13" x14ac:dyDescent="0.2">
      <c r="A222" s="1">
        <v>44209</v>
      </c>
      <c r="B222">
        <v>71.930000000000007</v>
      </c>
      <c r="C222">
        <v>71.930000000000007</v>
      </c>
      <c r="D222">
        <v>70.949996999999996</v>
      </c>
      <c r="E222">
        <v>71.069999999999993</v>
      </c>
      <c r="F222">
        <v>71.069999999999993</v>
      </c>
      <c r="G222">
        <v>1607000</v>
      </c>
      <c r="I222">
        <f t="shared" si="9"/>
        <v>-1.2230674589187309E-2</v>
      </c>
      <c r="J222">
        <v>0</v>
      </c>
      <c r="K222">
        <f t="shared" si="10"/>
        <v>-1.2230674589187309E-2</v>
      </c>
      <c r="L222">
        <f t="shared" si="11"/>
        <v>-1.2230674589187309</v>
      </c>
      <c r="M222">
        <v>7.0000000000000007E-2</v>
      </c>
    </row>
    <row r="223" spans="1:13" x14ac:dyDescent="0.2">
      <c r="A223" s="1">
        <v>44210</v>
      </c>
      <c r="B223">
        <v>72.480002999999996</v>
      </c>
      <c r="C223">
        <v>74.410004000000001</v>
      </c>
      <c r="D223">
        <v>72.449996999999996</v>
      </c>
      <c r="E223">
        <v>73.879997000000003</v>
      </c>
      <c r="F223">
        <v>73.879997000000003</v>
      </c>
      <c r="G223">
        <v>2291700</v>
      </c>
      <c r="I223">
        <f t="shared" si="9"/>
        <v>3.9538440973688055E-2</v>
      </c>
      <c r="J223">
        <v>0</v>
      </c>
      <c r="K223">
        <f t="shared" si="10"/>
        <v>3.9538440973688055E-2</v>
      </c>
      <c r="L223">
        <f t="shared" si="11"/>
        <v>3.9538440973688056</v>
      </c>
      <c r="M223">
        <v>-0.11</v>
      </c>
    </row>
    <row r="224" spans="1:13" x14ac:dyDescent="0.2">
      <c r="A224" s="1">
        <v>44211</v>
      </c>
      <c r="B224">
        <v>71.790001000000004</v>
      </c>
      <c r="C224">
        <v>71.860000999999997</v>
      </c>
      <c r="D224">
        <v>70.339995999999999</v>
      </c>
      <c r="E224">
        <v>70.610000999999997</v>
      </c>
      <c r="F224">
        <v>70.610000999999997</v>
      </c>
      <c r="G224">
        <v>2089700</v>
      </c>
      <c r="I224">
        <f t="shared" si="9"/>
        <v>-4.42609113803836E-2</v>
      </c>
      <c r="J224">
        <v>0</v>
      </c>
      <c r="K224">
        <f t="shared" si="10"/>
        <v>-4.42609113803836E-2</v>
      </c>
      <c r="L224">
        <f t="shared" si="11"/>
        <v>-4.4260911380383599</v>
      </c>
      <c r="M224">
        <v>-0.86</v>
      </c>
    </row>
    <row r="225" spans="1:13" x14ac:dyDescent="0.2">
      <c r="A225" s="1">
        <v>44215</v>
      </c>
      <c r="B225">
        <v>70.680000000000007</v>
      </c>
      <c r="C225">
        <v>71.779999000000004</v>
      </c>
      <c r="D225">
        <v>70.360000999999997</v>
      </c>
      <c r="E225">
        <v>71.440002000000007</v>
      </c>
      <c r="F225">
        <v>71.440002000000007</v>
      </c>
      <c r="G225">
        <v>3425200</v>
      </c>
      <c r="I225">
        <f t="shared" si="9"/>
        <v>1.1754722960562059E-2</v>
      </c>
      <c r="J225">
        <v>0</v>
      </c>
      <c r="K225">
        <f t="shared" si="10"/>
        <v>1.1754722960562059E-2</v>
      </c>
      <c r="L225">
        <f t="shared" si="11"/>
        <v>1.1754722960562058</v>
      </c>
      <c r="M225">
        <v>0.91</v>
      </c>
    </row>
    <row r="226" spans="1:13" x14ac:dyDescent="0.2">
      <c r="A226" s="1">
        <v>44216</v>
      </c>
      <c r="B226">
        <v>72.809997999999993</v>
      </c>
      <c r="C226">
        <v>73.209998999999996</v>
      </c>
      <c r="D226">
        <v>72.349997999999999</v>
      </c>
      <c r="E226">
        <v>72.779999000000004</v>
      </c>
      <c r="F226">
        <v>72.779999000000004</v>
      </c>
      <c r="G226">
        <v>2724600</v>
      </c>
      <c r="I226">
        <f t="shared" si="9"/>
        <v>1.8756956361787289E-2</v>
      </c>
      <c r="J226">
        <v>0</v>
      </c>
      <c r="K226">
        <f t="shared" si="10"/>
        <v>1.8756956361787289E-2</v>
      </c>
      <c r="L226">
        <f t="shared" si="11"/>
        <v>1.8756956361787289</v>
      </c>
      <c r="M226">
        <v>1.26</v>
      </c>
    </row>
    <row r="227" spans="1:13" x14ac:dyDescent="0.2">
      <c r="A227" s="1">
        <v>44217</v>
      </c>
      <c r="B227">
        <v>73.269997000000004</v>
      </c>
      <c r="C227">
        <v>73.269997000000004</v>
      </c>
      <c r="D227">
        <v>71.980002999999996</v>
      </c>
      <c r="E227">
        <v>72.330001999999993</v>
      </c>
      <c r="F227">
        <v>72.330001999999993</v>
      </c>
      <c r="G227">
        <v>2869100</v>
      </c>
      <c r="I227">
        <f t="shared" si="9"/>
        <v>-6.1829761772875316E-3</v>
      </c>
      <c r="J227">
        <v>0</v>
      </c>
      <c r="K227">
        <f t="shared" si="10"/>
        <v>-6.1829761772875316E-3</v>
      </c>
      <c r="L227">
        <f t="shared" si="11"/>
        <v>-0.61829761772875313</v>
      </c>
      <c r="M227">
        <v>-0.04</v>
      </c>
    </row>
    <row r="228" spans="1:13" x14ac:dyDescent="0.2">
      <c r="A228" s="1">
        <v>44218</v>
      </c>
      <c r="B228">
        <v>70.379997000000003</v>
      </c>
      <c r="C228">
        <v>71.989998</v>
      </c>
      <c r="D228">
        <v>70.180000000000007</v>
      </c>
      <c r="E228">
        <v>71.790001000000004</v>
      </c>
      <c r="F228">
        <v>71.790001000000004</v>
      </c>
      <c r="G228">
        <v>2106400</v>
      </c>
      <c r="I228">
        <f t="shared" si="9"/>
        <v>-7.4657954523489377E-3</v>
      </c>
      <c r="J228">
        <v>0</v>
      </c>
      <c r="K228">
        <f t="shared" si="10"/>
        <v>-7.4657954523489377E-3</v>
      </c>
      <c r="L228">
        <f t="shared" si="11"/>
        <v>-0.74657954523489378</v>
      </c>
      <c r="M228">
        <v>-7.0000000000000007E-2</v>
      </c>
    </row>
    <row r="229" spans="1:13" x14ac:dyDescent="0.2">
      <c r="A229" s="1">
        <v>44221</v>
      </c>
      <c r="B229">
        <v>70.610000999999997</v>
      </c>
      <c r="C229">
        <v>71.269997000000004</v>
      </c>
      <c r="D229">
        <v>70.269997000000004</v>
      </c>
      <c r="E229">
        <v>71.209998999999996</v>
      </c>
      <c r="F229">
        <v>71.209998999999996</v>
      </c>
      <c r="G229">
        <v>2275200</v>
      </c>
      <c r="I229">
        <f t="shared" si="9"/>
        <v>-8.0791474010427633E-3</v>
      </c>
      <c r="J229">
        <v>0</v>
      </c>
      <c r="K229">
        <f t="shared" si="10"/>
        <v>-8.0791474010427633E-3</v>
      </c>
      <c r="L229">
        <f t="shared" si="11"/>
        <v>-0.80791474010427633</v>
      </c>
      <c r="M229">
        <v>0.28000000000000003</v>
      </c>
    </row>
    <row r="230" spans="1:13" x14ac:dyDescent="0.2">
      <c r="A230" s="1">
        <v>44222</v>
      </c>
      <c r="B230">
        <v>71.489998</v>
      </c>
      <c r="C230">
        <v>72.069999999999993</v>
      </c>
      <c r="D230">
        <v>71.309997999999993</v>
      </c>
      <c r="E230">
        <v>71.800003000000004</v>
      </c>
      <c r="F230">
        <v>71.800003000000004</v>
      </c>
      <c r="G230">
        <v>1909400</v>
      </c>
      <c r="I230">
        <f t="shared" si="9"/>
        <v>8.2854094689708887E-3</v>
      </c>
      <c r="J230">
        <v>0</v>
      </c>
      <c r="K230">
        <f t="shared" si="10"/>
        <v>8.2854094689708887E-3</v>
      </c>
      <c r="L230">
        <f t="shared" si="11"/>
        <v>0.8285409468970889</v>
      </c>
      <c r="M230">
        <v>-0.32</v>
      </c>
    </row>
    <row r="231" spans="1:13" x14ac:dyDescent="0.2">
      <c r="A231" s="1">
        <v>44223</v>
      </c>
      <c r="B231">
        <v>68.949996999999996</v>
      </c>
      <c r="C231">
        <v>70.800003000000004</v>
      </c>
      <c r="D231">
        <v>68.540001000000004</v>
      </c>
      <c r="E231">
        <v>69.139999000000003</v>
      </c>
      <c r="F231">
        <v>69.139999000000003</v>
      </c>
      <c r="G231">
        <v>6080400</v>
      </c>
      <c r="I231">
        <f t="shared" si="9"/>
        <v>-3.7047407922810263E-2</v>
      </c>
      <c r="J231">
        <v>0</v>
      </c>
      <c r="K231">
        <f t="shared" si="10"/>
        <v>-3.7047407922810263E-2</v>
      </c>
      <c r="L231">
        <f t="shared" si="11"/>
        <v>-3.7047407922810263</v>
      </c>
      <c r="M231">
        <v>-2.5299999999999998</v>
      </c>
    </row>
    <row r="232" spans="1:13" x14ac:dyDescent="0.2">
      <c r="A232" s="1">
        <v>44224</v>
      </c>
      <c r="B232">
        <v>69.760002</v>
      </c>
      <c r="C232">
        <v>70.279999000000004</v>
      </c>
      <c r="D232">
        <v>69.180000000000007</v>
      </c>
      <c r="E232">
        <v>69.309997999999993</v>
      </c>
      <c r="F232">
        <v>69.309997999999993</v>
      </c>
      <c r="G232">
        <v>3655400</v>
      </c>
      <c r="I232">
        <f t="shared" si="9"/>
        <v>2.4587648605547421E-3</v>
      </c>
      <c r="J232">
        <v>0</v>
      </c>
      <c r="K232">
        <f t="shared" si="10"/>
        <v>2.4587648605547421E-3</v>
      </c>
      <c r="L232">
        <f t="shared" si="11"/>
        <v>0.24587648605547421</v>
      </c>
      <c r="M232">
        <v>0.92</v>
      </c>
    </row>
    <row r="233" spans="1:13" x14ac:dyDescent="0.2">
      <c r="A233" s="1">
        <v>44225</v>
      </c>
      <c r="B233">
        <v>68.330001999999993</v>
      </c>
      <c r="C233">
        <v>68.599997999999999</v>
      </c>
      <c r="D233">
        <v>66.580001999999993</v>
      </c>
      <c r="E233">
        <v>66.779999000000004</v>
      </c>
      <c r="F233">
        <v>66.779999000000004</v>
      </c>
      <c r="G233">
        <v>3952000</v>
      </c>
      <c r="I233">
        <f t="shared" si="9"/>
        <v>-3.6502655792891379E-2</v>
      </c>
      <c r="J233">
        <v>0</v>
      </c>
      <c r="K233">
        <f t="shared" si="10"/>
        <v>-3.6502655792891379E-2</v>
      </c>
      <c r="L233">
        <f t="shared" si="11"/>
        <v>-3.6502655792891381</v>
      </c>
      <c r="M233">
        <v>-1.84</v>
      </c>
    </row>
    <row r="234" spans="1:13" x14ac:dyDescent="0.2">
      <c r="A234" s="1">
        <v>44228</v>
      </c>
      <c r="B234">
        <v>68.830001999999993</v>
      </c>
      <c r="C234">
        <v>69.019997000000004</v>
      </c>
      <c r="D234">
        <v>67.510002</v>
      </c>
      <c r="E234">
        <v>68.339995999999999</v>
      </c>
      <c r="F234">
        <v>68.339995999999999</v>
      </c>
      <c r="G234">
        <v>3176600</v>
      </c>
      <c r="I234">
        <f t="shared" si="9"/>
        <v>2.3360242937409979E-2</v>
      </c>
      <c r="J234">
        <v>0</v>
      </c>
      <c r="K234">
        <f t="shared" si="10"/>
        <v>2.3360242937409979E-2</v>
      </c>
      <c r="L234">
        <f t="shared" si="11"/>
        <v>2.3360242937409978</v>
      </c>
      <c r="M234">
        <v>1.73</v>
      </c>
    </row>
    <row r="235" spans="1:13" x14ac:dyDescent="0.2">
      <c r="A235" s="1">
        <v>44229</v>
      </c>
      <c r="B235">
        <v>67.169998000000007</v>
      </c>
      <c r="C235">
        <v>67.410004000000001</v>
      </c>
      <c r="D235">
        <v>66.510002</v>
      </c>
      <c r="E235">
        <v>67.110000999999997</v>
      </c>
      <c r="F235">
        <v>67.110000999999997</v>
      </c>
      <c r="G235">
        <v>2594400</v>
      </c>
      <c r="I235">
        <f t="shared" si="9"/>
        <v>-1.7998171963603895E-2</v>
      </c>
      <c r="J235">
        <v>0</v>
      </c>
      <c r="K235">
        <f t="shared" si="10"/>
        <v>-1.7998171963603895E-2</v>
      </c>
      <c r="L235">
        <f t="shared" si="11"/>
        <v>-1.7998171963603895</v>
      </c>
      <c r="M235">
        <v>1.48</v>
      </c>
    </row>
    <row r="236" spans="1:13" x14ac:dyDescent="0.2">
      <c r="A236" s="1">
        <v>44230</v>
      </c>
      <c r="B236">
        <v>66.970000999999996</v>
      </c>
      <c r="C236">
        <v>67.290001000000004</v>
      </c>
      <c r="D236">
        <v>66.470000999999996</v>
      </c>
      <c r="E236">
        <v>67.050003000000004</v>
      </c>
      <c r="F236">
        <v>67.050003000000004</v>
      </c>
      <c r="G236">
        <v>2608500</v>
      </c>
      <c r="I236">
        <f t="shared" si="9"/>
        <v>-8.9402472218698252E-4</v>
      </c>
      <c r="J236">
        <v>0</v>
      </c>
      <c r="K236">
        <f t="shared" si="10"/>
        <v>-8.9402472218698252E-4</v>
      </c>
      <c r="L236">
        <f t="shared" si="11"/>
        <v>-8.9402472218698251E-2</v>
      </c>
      <c r="M236">
        <v>0.16</v>
      </c>
    </row>
    <row r="237" spans="1:13" x14ac:dyDescent="0.2">
      <c r="A237" s="1">
        <v>44231</v>
      </c>
      <c r="B237">
        <v>66.730002999999996</v>
      </c>
      <c r="C237">
        <v>67.099997999999999</v>
      </c>
      <c r="D237">
        <v>66.410004000000001</v>
      </c>
      <c r="E237">
        <v>67</v>
      </c>
      <c r="F237">
        <v>67</v>
      </c>
      <c r="G237">
        <v>1618900</v>
      </c>
      <c r="I237">
        <f t="shared" si="9"/>
        <v>-7.4575686447029383E-4</v>
      </c>
      <c r="J237">
        <v>0</v>
      </c>
      <c r="K237">
        <f t="shared" si="10"/>
        <v>-7.4575686447029383E-4</v>
      </c>
      <c r="L237">
        <f t="shared" si="11"/>
        <v>-7.4575686447029388E-2</v>
      </c>
      <c r="M237">
        <v>1.23</v>
      </c>
    </row>
    <row r="238" spans="1:13" x14ac:dyDescent="0.2">
      <c r="A238" s="1">
        <v>44232</v>
      </c>
      <c r="B238">
        <v>67.440002000000007</v>
      </c>
      <c r="C238">
        <v>67.839995999999999</v>
      </c>
      <c r="D238">
        <v>66.900002000000001</v>
      </c>
      <c r="E238">
        <v>67.779999000000004</v>
      </c>
      <c r="F238">
        <v>67.779999000000004</v>
      </c>
      <c r="G238">
        <v>2356100</v>
      </c>
      <c r="I238">
        <f t="shared" si="9"/>
        <v>1.1641776119403039E-2</v>
      </c>
      <c r="J238">
        <v>0</v>
      </c>
      <c r="K238">
        <f t="shared" si="10"/>
        <v>1.1641776119403039E-2</v>
      </c>
      <c r="L238">
        <f t="shared" si="11"/>
        <v>1.164177611940304</v>
      </c>
      <c r="M238">
        <v>0.57999999999999996</v>
      </c>
    </row>
    <row r="239" spans="1:13" x14ac:dyDescent="0.2">
      <c r="A239" s="1">
        <v>44235</v>
      </c>
      <c r="B239">
        <v>68.849997999999999</v>
      </c>
      <c r="C239">
        <v>69.669998000000007</v>
      </c>
      <c r="D239">
        <v>68.809997999999993</v>
      </c>
      <c r="E239">
        <v>69.650002000000001</v>
      </c>
      <c r="F239">
        <v>69.650002000000001</v>
      </c>
      <c r="G239">
        <v>1935400</v>
      </c>
      <c r="I239">
        <f t="shared" si="9"/>
        <v>2.7589304036431114E-2</v>
      </c>
      <c r="J239">
        <v>0</v>
      </c>
      <c r="K239">
        <f t="shared" si="10"/>
        <v>2.7589304036431114E-2</v>
      </c>
      <c r="L239">
        <f t="shared" si="11"/>
        <v>2.7589304036431113</v>
      </c>
      <c r="M239">
        <v>0.96</v>
      </c>
    </row>
    <row r="240" spans="1:13" x14ac:dyDescent="0.2">
      <c r="A240" s="1">
        <v>44236</v>
      </c>
      <c r="B240">
        <v>69.180000000000007</v>
      </c>
      <c r="C240">
        <v>69.919998000000007</v>
      </c>
      <c r="D240">
        <v>68.610000999999997</v>
      </c>
      <c r="E240">
        <v>69.680000000000007</v>
      </c>
      <c r="F240">
        <v>69.680000000000007</v>
      </c>
      <c r="G240">
        <v>2821500</v>
      </c>
      <c r="I240">
        <f t="shared" si="9"/>
        <v>4.3069632646968462E-4</v>
      </c>
      <c r="J240">
        <v>0</v>
      </c>
      <c r="K240">
        <f t="shared" si="10"/>
        <v>4.3069632646968462E-4</v>
      </c>
      <c r="L240">
        <f t="shared" si="11"/>
        <v>4.3069632646968461E-2</v>
      </c>
      <c r="M240">
        <v>0.05</v>
      </c>
    </row>
    <row r="241" spans="1:13" x14ac:dyDescent="0.2">
      <c r="A241" s="1">
        <v>44237</v>
      </c>
      <c r="B241">
        <v>70.669998000000007</v>
      </c>
      <c r="C241">
        <v>70.790001000000004</v>
      </c>
      <c r="D241">
        <v>69.019997000000004</v>
      </c>
      <c r="E241">
        <v>69.809997999999993</v>
      </c>
      <c r="F241">
        <v>69.809997999999993</v>
      </c>
      <c r="G241">
        <v>2391600</v>
      </c>
      <c r="I241">
        <f t="shared" si="9"/>
        <v>1.8656429391502049E-3</v>
      </c>
      <c r="J241">
        <v>0</v>
      </c>
      <c r="K241">
        <f t="shared" si="10"/>
        <v>1.8656429391502049E-3</v>
      </c>
      <c r="L241">
        <f t="shared" si="11"/>
        <v>0.1865642939150205</v>
      </c>
      <c r="M241">
        <v>-7.0000000000000007E-2</v>
      </c>
    </row>
    <row r="242" spans="1:13" x14ac:dyDescent="0.2">
      <c r="A242" s="1">
        <v>44238</v>
      </c>
      <c r="B242">
        <v>69.709998999999996</v>
      </c>
      <c r="C242">
        <v>70.050003000000004</v>
      </c>
      <c r="D242">
        <v>69.089995999999999</v>
      </c>
      <c r="E242">
        <v>69.720000999999996</v>
      </c>
      <c r="F242">
        <v>69.720000999999996</v>
      </c>
      <c r="G242">
        <v>2565700</v>
      </c>
      <c r="I242">
        <f t="shared" si="9"/>
        <v>-1.2891706428640318E-3</v>
      </c>
      <c r="J242">
        <v>0</v>
      </c>
      <c r="K242">
        <f t="shared" si="10"/>
        <v>-1.2891706428640318E-3</v>
      </c>
      <c r="L242">
        <f t="shared" si="11"/>
        <v>-0.12891706428640318</v>
      </c>
      <c r="M242">
        <v>0.19</v>
      </c>
    </row>
    <row r="243" spans="1:13" x14ac:dyDescent="0.2">
      <c r="A243" s="1">
        <v>44239</v>
      </c>
      <c r="B243">
        <v>69.370002999999997</v>
      </c>
      <c r="C243">
        <v>70.599997999999999</v>
      </c>
      <c r="D243">
        <v>69.230002999999996</v>
      </c>
      <c r="E243">
        <v>70.379997000000003</v>
      </c>
      <c r="F243">
        <v>70.379997000000003</v>
      </c>
      <c r="G243">
        <v>1734400</v>
      </c>
      <c r="I243">
        <f t="shared" si="9"/>
        <v>9.466379669157015E-3</v>
      </c>
      <c r="J243">
        <v>0</v>
      </c>
      <c r="K243">
        <f t="shared" si="10"/>
        <v>9.466379669157015E-3</v>
      </c>
      <c r="L243">
        <f t="shared" si="11"/>
        <v>0.94663796691570146</v>
      </c>
      <c r="M243">
        <v>0.49</v>
      </c>
    </row>
    <row r="244" spans="1:13" x14ac:dyDescent="0.2">
      <c r="A244" s="1">
        <v>44243</v>
      </c>
      <c r="B244">
        <v>74.199996999999996</v>
      </c>
      <c r="C244">
        <v>76.199996999999996</v>
      </c>
      <c r="D244">
        <v>73.870002999999997</v>
      </c>
      <c r="E244">
        <v>75.480002999999996</v>
      </c>
      <c r="F244">
        <v>75.480002999999996</v>
      </c>
      <c r="G244">
        <v>4184400</v>
      </c>
      <c r="I244">
        <f t="shared" si="9"/>
        <v>7.2463856456259773E-2</v>
      </c>
      <c r="J244">
        <v>0</v>
      </c>
      <c r="K244">
        <f t="shared" si="10"/>
        <v>7.2463856456259773E-2</v>
      </c>
      <c r="L244">
        <f t="shared" si="11"/>
        <v>7.2463856456259776</v>
      </c>
      <c r="M244">
        <v>-0.14000000000000001</v>
      </c>
    </row>
    <row r="245" spans="1:13" x14ac:dyDescent="0.2">
      <c r="A245" s="1">
        <v>44244</v>
      </c>
      <c r="B245">
        <v>76.129997000000003</v>
      </c>
      <c r="C245">
        <v>76.129997000000003</v>
      </c>
      <c r="D245">
        <v>74.900002000000001</v>
      </c>
      <c r="E245">
        <v>75.569999999999993</v>
      </c>
      <c r="F245">
        <v>75.569999999999993</v>
      </c>
      <c r="G245">
        <v>1960100</v>
      </c>
      <c r="I245">
        <f t="shared" si="9"/>
        <v>1.1923290464097727E-3</v>
      </c>
      <c r="J245">
        <v>0</v>
      </c>
      <c r="K245">
        <f t="shared" si="10"/>
        <v>1.1923290464097727E-3</v>
      </c>
      <c r="L245">
        <f t="shared" si="11"/>
        <v>0.11923290464097727</v>
      </c>
      <c r="M245">
        <v>-0.2</v>
      </c>
    </row>
    <row r="246" spans="1:13" x14ac:dyDescent="0.2">
      <c r="A246" s="1">
        <v>44245</v>
      </c>
      <c r="B246">
        <v>76.309997999999993</v>
      </c>
      <c r="C246">
        <v>76.309997999999993</v>
      </c>
      <c r="D246">
        <v>74.889999000000003</v>
      </c>
      <c r="E246">
        <v>75.800003000000004</v>
      </c>
      <c r="F246">
        <v>75.800003000000004</v>
      </c>
      <c r="G246">
        <v>2109500</v>
      </c>
      <c r="I246">
        <f t="shared" si="9"/>
        <v>3.0435754929206116E-3</v>
      </c>
      <c r="J246">
        <v>0</v>
      </c>
      <c r="K246">
        <f t="shared" si="10"/>
        <v>3.0435754929206116E-3</v>
      </c>
      <c r="L246">
        <f t="shared" si="11"/>
        <v>0.30435754929206116</v>
      </c>
      <c r="M246">
        <v>-0.63</v>
      </c>
    </row>
    <row r="247" spans="1:13" x14ac:dyDescent="0.2">
      <c r="A247" s="1">
        <v>44246</v>
      </c>
      <c r="B247">
        <v>76.389999000000003</v>
      </c>
      <c r="C247">
        <v>76.720000999999996</v>
      </c>
      <c r="D247">
        <v>75.629997000000003</v>
      </c>
      <c r="E247">
        <v>76.110000999999997</v>
      </c>
      <c r="F247">
        <v>76.110000999999997</v>
      </c>
      <c r="G247">
        <v>2920600</v>
      </c>
      <c r="I247">
        <f t="shared" si="9"/>
        <v>4.089683215447803E-3</v>
      </c>
      <c r="J247">
        <v>0</v>
      </c>
      <c r="K247">
        <f t="shared" si="10"/>
        <v>4.089683215447803E-3</v>
      </c>
      <c r="L247">
        <f t="shared" si="11"/>
        <v>0.4089683215447803</v>
      </c>
      <c r="M247">
        <v>0.16</v>
      </c>
    </row>
    <row r="248" spans="1:13" x14ac:dyDescent="0.2">
      <c r="A248" s="1">
        <v>44249</v>
      </c>
      <c r="B248">
        <v>76.540001000000004</v>
      </c>
      <c r="C248">
        <v>78.269997000000004</v>
      </c>
      <c r="D248">
        <v>76.220000999999996</v>
      </c>
      <c r="E248">
        <v>77.550003000000004</v>
      </c>
      <c r="F248">
        <v>77.550003000000004</v>
      </c>
      <c r="G248">
        <v>2866300</v>
      </c>
      <c r="I248">
        <f t="shared" si="9"/>
        <v>1.8920010262514737E-2</v>
      </c>
      <c r="J248">
        <v>0</v>
      </c>
      <c r="K248">
        <f t="shared" si="10"/>
        <v>1.8920010262514737E-2</v>
      </c>
      <c r="L248">
        <f t="shared" si="11"/>
        <v>1.8920010262514737</v>
      </c>
      <c r="M248">
        <v>-1.1200000000000001</v>
      </c>
    </row>
    <row r="249" spans="1:13" x14ac:dyDescent="0.2">
      <c r="A249" s="1">
        <v>44250</v>
      </c>
      <c r="B249">
        <v>77.849997999999999</v>
      </c>
      <c r="C249">
        <v>78.699996999999996</v>
      </c>
      <c r="D249">
        <v>76.040001000000004</v>
      </c>
      <c r="E249">
        <v>78.650002000000001</v>
      </c>
      <c r="F249">
        <v>78.650002000000001</v>
      </c>
      <c r="G249">
        <v>3360800</v>
      </c>
      <c r="I249">
        <f t="shared" si="9"/>
        <v>1.4184383719495108E-2</v>
      </c>
      <c r="J249">
        <v>0</v>
      </c>
      <c r="K249">
        <f t="shared" si="10"/>
        <v>1.4184383719495108E-2</v>
      </c>
      <c r="L249">
        <f t="shared" si="11"/>
        <v>1.4184383719495108</v>
      </c>
      <c r="M249">
        <v>-0.15</v>
      </c>
    </row>
    <row r="250" spans="1:13" x14ac:dyDescent="0.2">
      <c r="A250" s="1">
        <v>44251</v>
      </c>
      <c r="B250">
        <v>78.339995999999999</v>
      </c>
      <c r="C250">
        <v>79.949996999999996</v>
      </c>
      <c r="D250">
        <v>78.010002</v>
      </c>
      <c r="E250">
        <v>79.739998</v>
      </c>
      <c r="F250">
        <v>79.739998</v>
      </c>
      <c r="G250">
        <v>2638300</v>
      </c>
      <c r="I250">
        <f t="shared" si="9"/>
        <v>1.385881719367279E-2</v>
      </c>
      <c r="J250">
        <v>0</v>
      </c>
      <c r="K250">
        <f t="shared" si="10"/>
        <v>1.385881719367279E-2</v>
      </c>
      <c r="L250">
        <f t="shared" si="11"/>
        <v>1.385881719367279</v>
      </c>
      <c r="M250">
        <v>1.1499999999999999</v>
      </c>
    </row>
    <row r="251" spans="1:13" x14ac:dyDescent="0.2">
      <c r="A251" s="1">
        <v>44252</v>
      </c>
      <c r="B251">
        <v>80.129997000000003</v>
      </c>
      <c r="C251">
        <v>80.489998</v>
      </c>
      <c r="D251">
        <v>77.660004000000001</v>
      </c>
      <c r="E251">
        <v>78.040001000000004</v>
      </c>
      <c r="F251">
        <v>78.040001000000004</v>
      </c>
      <c r="G251">
        <v>2716900</v>
      </c>
      <c r="I251">
        <f t="shared" si="9"/>
        <v>-2.1319250597422842E-2</v>
      </c>
      <c r="J251">
        <v>0</v>
      </c>
      <c r="K251">
        <f t="shared" si="10"/>
        <v>-2.1319250597422842E-2</v>
      </c>
      <c r="L251">
        <f t="shared" si="11"/>
        <v>-2.1319250597422843</v>
      </c>
      <c r="M251">
        <v>-2.73</v>
      </c>
    </row>
    <row r="252" spans="1:13" x14ac:dyDescent="0.2">
      <c r="A252" s="1">
        <v>44253</v>
      </c>
      <c r="B252">
        <v>77.260002</v>
      </c>
      <c r="C252">
        <v>77.510002</v>
      </c>
      <c r="D252">
        <v>75.480002999999996</v>
      </c>
      <c r="E252">
        <v>75.910004000000001</v>
      </c>
      <c r="F252">
        <v>75.910004000000001</v>
      </c>
      <c r="G252">
        <v>3457000</v>
      </c>
      <c r="I252">
        <f t="shared" si="9"/>
        <v>-2.7293656749184343E-2</v>
      </c>
      <c r="J252">
        <v>0</v>
      </c>
      <c r="K252">
        <f t="shared" si="10"/>
        <v>-2.7293656749184343E-2</v>
      </c>
      <c r="L252">
        <f t="shared" si="11"/>
        <v>-2.7293656749184341</v>
      </c>
      <c r="M252">
        <v>-0.28000000000000003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2021-04-29T17:29:21Z</dcterms:created>
  <dcterms:modified xsi:type="dcterms:W3CDTF">2021-04-29T17:29:22Z</dcterms:modified>
</cp:coreProperties>
</file>