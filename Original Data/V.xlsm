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CAPM OLS/"/>
    </mc:Choice>
  </mc:AlternateContent>
  <xr:revisionPtr revIDLastSave="0" documentId="13_ncr:1_{9D0D419A-E657-BA45-A0F6-16ACAEF5FF84}" xr6:coauthVersionLast="46" xr6:coauthVersionMax="46" xr10:uidLastSave="{00000000-0000-0000-0000-000000000000}"/>
  <bookViews>
    <workbookView xWindow="1960" yWindow="460" windowWidth="26840" windowHeight="14780" activeTab="1" xr2:uid="{00000000-000D-0000-FFFF-FFFF00000000}"/>
  </bookViews>
  <sheets>
    <sheet name="Sheet2" sheetId="2" r:id="rId1"/>
    <sheet name="Sheet1" sheetId="3" r:id="rId2"/>
    <sheet name="V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<sst xmlns="http://schemas.openxmlformats.org/spreadsheetml/2006/main" count="64" uniqueCount="39">
  <si>
    <t>Date</t>
  </si>
  <si>
    <t>Open</t>
  </si>
  <si>
    <t>High</t>
  </si>
  <si>
    <t>Low</t>
  </si>
  <si>
    <t>Close</t>
  </si>
  <si>
    <t>Adj Close</t>
  </si>
  <si>
    <t>Volume</t>
  </si>
  <si>
    <t>Mkt-RF</t>
  </si>
  <si>
    <t>V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</si>
  <si>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</si>
  <si>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</si>
  <si>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</si>
  <si>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</si>
  <si>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</si>
  <si>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</si>
  <si>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</si>
  <si>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</si>
  <si>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</si>
  <si>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</si>
  <si>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</si>
  <si>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</si>
  <si>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</si>
  <si>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</si>
  <si>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</si>
  <si>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</si>
  <si>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</si>
  <si>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</si>
  <si>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</si>
  <si>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</si>
  <si>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</si>
  <si>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</si>
  <si>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</si>
  <si>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alpha</t>
  </si>
  <si>
    <t>beta</t>
  </si>
  <si>
    <t>Daily Return</t>
  </si>
  <si>
    <t>RF rate</t>
  </si>
  <si>
    <t>Excess Return for V</t>
  </si>
  <si>
    <t>Intercept</t>
  </si>
  <si>
    <t>X Variable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</si>
</sst>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8"/>
  <sheetViews>
    <sheetView workbookViewId="0">
      <selection activeCell="D24" sqref="D24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0.88949286926021798</v>
      </c>
    </row>
    <row r="5" spans="1:9" x14ac:dyDescent="0.2">
      <c r="A5" s="2" t="s">
        <v>12</v>
      </c>
      <c r="B5" s="2">
        <v>0.79119756446477518</v>
      </c>
    </row>
    <row r="6" spans="1:9" x14ac:dyDescent="0.2">
      <c r="A6" s="2" t="s">
        <v>13</v>
      </c>
      <c r="B6" s="2">
        <v>0.7903556191601977</v>
      </c>
    </row>
    <row r="7" spans="1:9" x14ac:dyDescent="0.2">
      <c r="A7" s="2" t="s">
        <v>14</v>
      </c>
      <c r="B7" s="2">
        <v>1.2325436741622837</v>
      </c>
    </row>
    <row r="8" spans="1:9" ht="17" thickBot="1" x14ac:dyDescent="0.25">
      <c r="A8" s="3" t="s">
        <v>15</v>
      </c>
      <c r="B8" s="3">
        <v>250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20</v>
      </c>
      <c r="C11" s="4" t="s">
        <v>21</v>
      </c>
      <c r="D11" s="4" t="s">
        <v>22</v>
      </c>
      <c r="E11" s="4" t="s">
        <v>23</v>
      </c>
      <c r="F11" s="4" t="s">
        <v>24</v>
      </c>
    </row>
    <row r="12" spans="1:9" x14ac:dyDescent="0.2">
      <c r="A12" s="2" t="s">
        <v>17</v>
      </c>
      <c r="B12" s="2">
        <v>1</v>
      </c>
      <c r="C12" s="2">
        <v>1427.5972299687276</v>
      </c>
      <c r="D12" s="2">
        <v>1427.5972299687276</v>
      </c>
      <c r="E12" s="2">
        <v>939.72560944655515</v>
      </c>
      <c r="F12" s="2">
        <v>2.5228193099926828E-86</v>
      </c>
    </row>
    <row r="13" spans="1:9" x14ac:dyDescent="0.2">
      <c r="A13" s="2" t="s">
        <v>18</v>
      </c>
      <c r="B13" s="2">
        <v>248</v>
      </c>
      <c r="C13" s="2">
        <v>376.75264936193054</v>
      </c>
      <c r="D13" s="2">
        <v>1.5191639087174618</v>
      </c>
      <c r="E13" s="2"/>
      <c r="F13" s="2"/>
    </row>
    <row r="14" spans="1:9" ht="17" thickBot="1" x14ac:dyDescent="0.25">
      <c r="A14" s="3" t="s">
        <v>19</v>
      </c>
      <c r="B14" s="3">
        <v>249</v>
      </c>
      <c r="C14" s="3">
        <v>1804.349879330658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25</v>
      </c>
      <c r="C16" s="4" t="s">
        <v>14</v>
      </c>
      <c r="D16" s="4" t="s">
        <v>26</v>
      </c>
      <c r="E16" s="4" t="s">
        <v>27</v>
      </c>
      <c r="F16" s="4" t="s">
        <v>28</v>
      </c>
      <c r="G16" s="4" t="s">
        <v>29</v>
      </c>
      <c r="H16" s="4" t="s">
        <v>30</v>
      </c>
      <c r="I16" s="4" t="s">
        <v>31</v>
      </c>
    </row>
    <row r="17" spans="1:9" x14ac:dyDescent="0.2">
      <c r="A17" s="2" t="s">
        <v>32</v>
      </c>
      <c r="B17" s="2">
        <v>-0.12435265957863868</v>
      </c>
      <c r="C17" s="2">
        <v>7.8109690216550495E-2</v>
      </c>
      <c r="D17" s="2">
        <v>-1.5920260243496633</v>
      </c>
      <c r="E17" s="2">
        <v>0.11265264386104094</v>
      </c>
      <c r="F17" s="2">
        <v>-0.27819560374143348</v>
      </c>
      <c r="G17" s="2">
        <v>2.9490284584156132E-2</v>
      </c>
      <c r="H17" s="2">
        <v>-0.27819560374143348</v>
      </c>
      <c r="I17" s="2">
        <v>2.9490284584156132E-2</v>
      </c>
    </row>
    <row r="18" spans="1:9" ht="17" thickBot="1" x14ac:dyDescent="0.25">
      <c r="A18" s="3" t="s">
        <v>33</v>
      </c>
      <c r="B18" s="3">
        <v>1.1143101728899356</v>
      </c>
      <c r="C18" s="3">
        <v>3.6350096165057195E-2</v>
      </c>
      <c r="D18" s="3">
        <v>30.654944290384172</v>
      </c>
      <c r="E18" s="3">
        <v>2.5228193099921088E-86</v>
      </c>
      <c r="F18" s="3">
        <v>1.0427159084762714</v>
      </c>
      <c r="G18" s="3">
        <v>1.1859044373035998</v>
      </c>
      <c r="H18" s="3">
        <v>1.0427159084762714</v>
      </c>
      <c r="I18" s="3">
        <v>1.1859044373035998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CE0A-8CC7-D043-B2E2-4066E3D9D5EE}">
  <dimension ref="A1:I18"/>
  <sheetViews>
    <sheetView tabSelected="1" workbookViewId="0">
      <selection activeCell="I4" sqref="I4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0.81345314353993137</v>
      </c>
    </row>
    <row r="5" spans="1:9" x14ac:dyDescent="0.2">
      <c r="A5" s="2" t="s">
        <v>12</v>
      </c>
      <c r="B5" s="2">
        <v>0.66170601673499618</v>
      </c>
    </row>
    <row r="6" spans="1:9" x14ac:dyDescent="0.2">
      <c r="A6" s="2" t="s">
        <v>13</v>
      </c>
      <c r="B6" s="2">
        <v>0.66021573487039265</v>
      </c>
    </row>
    <row r="7" spans="1:9" x14ac:dyDescent="0.2">
      <c r="A7" s="2" t="s">
        <v>14</v>
      </c>
      <c r="B7" s="2">
        <v>1.1422997662128123</v>
      </c>
    </row>
    <row r="8" spans="1:9" ht="17" thickBot="1" x14ac:dyDescent="0.25">
      <c r="A8" s="3" t="s">
        <v>15</v>
      </c>
      <c r="B8" s="3">
        <v>229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20</v>
      </c>
      <c r="C11" s="4" t="s">
        <v>21</v>
      </c>
      <c r="D11" s="4" t="s">
        <v>22</v>
      </c>
      <c r="E11" s="4" t="s">
        <v>23</v>
      </c>
      <c r="F11" s="4" t="s">
        <v>24</v>
      </c>
    </row>
    <row r="12" spans="1:9" x14ac:dyDescent="0.2">
      <c r="A12" s="2" t="s">
        <v>17</v>
      </c>
      <c r="B12" s="2">
        <v>1</v>
      </c>
      <c r="C12" s="2">
        <v>579.37111979228303</v>
      </c>
      <c r="D12" s="2">
        <v>579.37111979228303</v>
      </c>
      <c r="E12" s="2">
        <v>444.01400329126972</v>
      </c>
      <c r="F12" s="2">
        <v>2.4381032354458795E-55</v>
      </c>
    </row>
    <row r="13" spans="1:9" x14ac:dyDescent="0.2">
      <c r="A13" s="2" t="s">
        <v>18</v>
      </c>
      <c r="B13" s="2">
        <v>227</v>
      </c>
      <c r="C13" s="2">
        <v>296.20066758699488</v>
      </c>
      <c r="D13" s="2">
        <v>1.3048487558898454</v>
      </c>
      <c r="E13" s="2"/>
      <c r="F13" s="2"/>
    </row>
    <row r="14" spans="1:9" ht="17" thickBot="1" x14ac:dyDescent="0.25">
      <c r="A14" s="3" t="s">
        <v>19</v>
      </c>
      <c r="B14" s="3">
        <v>228</v>
      </c>
      <c r="C14" s="3">
        <v>875.57178737927791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25</v>
      </c>
      <c r="C16" s="4" t="s">
        <v>14</v>
      </c>
      <c r="D16" s="4" t="s">
        <v>26</v>
      </c>
      <c r="E16" s="4" t="s">
        <v>27</v>
      </c>
      <c r="F16" s="4" t="s">
        <v>28</v>
      </c>
      <c r="G16" s="4" t="s">
        <v>29</v>
      </c>
      <c r="H16" s="4" t="s">
        <v>30</v>
      </c>
      <c r="I16" s="4" t="s">
        <v>31</v>
      </c>
    </row>
    <row r="17" spans="1:9" x14ac:dyDescent="0.2">
      <c r="A17" s="2" t="s">
        <v>37</v>
      </c>
      <c r="B17" s="2">
        <v>-0.10331384175404429</v>
      </c>
      <c r="C17" s="2">
        <v>7.6380284955646971E-2</v>
      </c>
      <c r="D17" s="2">
        <v>-1.3526244608021203</v>
      </c>
      <c r="E17" s="2">
        <v>0.17752142853366978</v>
      </c>
      <c r="F17" s="2">
        <v>-0.25381886462677888</v>
      </c>
      <c r="G17" s="2">
        <v>4.7191181118690306E-2</v>
      </c>
      <c r="H17" s="2">
        <v>-0.25381886462677888</v>
      </c>
      <c r="I17" s="2">
        <v>4.7191181118690306E-2</v>
      </c>
    </row>
    <row r="18" spans="1:9" ht="17" thickBot="1" x14ac:dyDescent="0.25">
      <c r="A18" s="3" t="s">
        <v>38</v>
      </c>
      <c r="B18" s="3">
        <v>1.1478583165869889</v>
      </c>
      <c r="C18" s="3">
        <v>5.4474085938169131E-2</v>
      </c>
      <c r="D18" s="3">
        <v>21.07163978648245</v>
      </c>
      <c r="E18" s="3">
        <v>2.4381032354457056E-55</v>
      </c>
      <c r="F18" s="3">
        <v>1.0405187910162701</v>
      </c>
      <c r="G18" s="3">
        <v>1.2551978421577077</v>
      </c>
      <c r="H18" s="3">
        <v>1.0405187910162701</v>
      </c>
      <c r="I18" s="3">
        <v>1.2551978421577077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52"/>
  <sheetViews>
    <sheetView topLeftCell="A24" workbookViewId="0">
      <selection activeCell="O6" sqref="O6"/>
    </sheetView>
  </sheetViews>
  <sheetFormatPr baseColWidth="10" defaultRowHeight="16" x14ac:dyDescent="0.2"/>
  <cols>
    <col min="9" max="9" width="12.83203125" bestFit="1" customWidth="1"/>
    <col min="11" max="11" width="20.16406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6" t="s">
        <v>34</v>
      </c>
      <c r="J1" s="6" t="s">
        <v>35</v>
      </c>
      <c r="K1" s="6" t="s">
        <v>36</v>
      </c>
      <c r="L1" s="6" t="s">
        <v>8</v>
      </c>
      <c r="M1" s="6" t="s">
        <v>7</v>
      </c>
    </row>
    <row r="2" spans="1:13" x14ac:dyDescent="0.2">
      <c r="A2" s="1">
        <v>43892</v>
      </c>
      <c r="B2">
        <v>186.320007</v>
      </c>
      <c r="C2">
        <v>192.44000199999999</v>
      </c>
      <c r="D2">
        <v>183.10000600000001</v>
      </c>
      <c r="E2">
        <v>192.33000200000001</v>
      </c>
      <c r="F2">
        <v>191.133499</v>
      </c>
      <c r="G2">
        <v>17434500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193.199997</v>
      </c>
      <c r="C3">
        <v>194.03999300000001</v>
      </c>
      <c r="D3">
        <v>184.5</v>
      </c>
      <c r="E3">
        <v>185.729996</v>
      </c>
      <c r="F3">
        <v>184.57455400000001</v>
      </c>
      <c r="G3">
        <v>15226400</v>
      </c>
      <c r="I3">
        <f>(F3-F2)/F2</f>
        <v>-3.4316041061959499E-2</v>
      </c>
      <c r="J3">
        <v>6.0000000000000001E-3</v>
      </c>
      <c r="K3">
        <f>I3-J3</f>
        <v>-4.0316041061959497E-2</v>
      </c>
      <c r="L3">
        <f>100*K3</f>
        <v>-4.0316041061959496</v>
      </c>
      <c r="M3">
        <v>-2.79</v>
      </c>
    </row>
    <row r="4" spans="1:13" x14ac:dyDescent="0.2">
      <c r="A4" s="1">
        <v>43894</v>
      </c>
      <c r="B4">
        <v>190.36000100000001</v>
      </c>
      <c r="C4">
        <v>194.490005</v>
      </c>
      <c r="D4">
        <v>186.16999799999999</v>
      </c>
      <c r="E4">
        <v>194.28999300000001</v>
      </c>
      <c r="F4">
        <v>193.08128400000001</v>
      </c>
      <c r="G4">
        <v>10789100</v>
      </c>
      <c r="I4">
        <f>(F4-F3)/F3</f>
        <v>4.6088313993704701E-2</v>
      </c>
      <c r="J4">
        <v>6.0000000000000001E-3</v>
      </c>
      <c r="K4">
        <f t="shared" ref="K4:K67" si="0">I4-J4</f>
        <v>4.0088313993704702E-2</v>
      </c>
      <c r="L4">
        <f t="shared" ref="L4:L67" si="1">100*K4</f>
        <v>4.0088313993704698</v>
      </c>
      <c r="M4">
        <v>4.03</v>
      </c>
    </row>
    <row r="5" spans="1:13" x14ac:dyDescent="0.2">
      <c r="A5" s="1">
        <v>43895</v>
      </c>
      <c r="B5">
        <v>191.240005</v>
      </c>
      <c r="C5">
        <v>191.91999799999999</v>
      </c>
      <c r="D5">
        <v>185.63999899999999</v>
      </c>
      <c r="E5">
        <v>186.96000699999999</v>
      </c>
      <c r="F5">
        <v>185.79690600000001</v>
      </c>
      <c r="G5">
        <v>10106900</v>
      </c>
      <c r="I5">
        <f t="shared" ref="I5:I68" si="2">(F5-F4)/F4</f>
        <v>-3.7727002064063354E-2</v>
      </c>
      <c r="J5">
        <v>6.0000000000000001E-3</v>
      </c>
      <c r="K5">
        <f t="shared" si="0"/>
        <v>-4.3727002064063353E-2</v>
      </c>
      <c r="L5">
        <f t="shared" si="1"/>
        <v>-4.3727002064063356</v>
      </c>
      <c r="M5">
        <v>-3.38</v>
      </c>
    </row>
    <row r="6" spans="1:13" x14ac:dyDescent="0.2">
      <c r="A6" s="1">
        <v>43896</v>
      </c>
      <c r="B6">
        <v>183.53999300000001</v>
      </c>
      <c r="C6">
        <v>185.990005</v>
      </c>
      <c r="D6">
        <v>179.979996</v>
      </c>
      <c r="E6">
        <v>184.36000100000001</v>
      </c>
      <c r="F6">
        <v>183.213089</v>
      </c>
      <c r="G6">
        <v>15183200</v>
      </c>
      <c r="I6">
        <f t="shared" si="2"/>
        <v>-1.3906673989501258E-2</v>
      </c>
      <c r="J6">
        <v>6.0000000000000001E-3</v>
      </c>
      <c r="K6">
        <f t="shared" si="0"/>
        <v>-1.9906673989501258E-2</v>
      </c>
      <c r="L6">
        <f t="shared" si="1"/>
        <v>-1.9906673989501258</v>
      </c>
      <c r="M6">
        <v>-1.78</v>
      </c>
    </row>
    <row r="7" spans="1:13" x14ac:dyDescent="0.2">
      <c r="A7" s="1">
        <v>43899</v>
      </c>
      <c r="B7">
        <v>171.21000699999999</v>
      </c>
      <c r="C7">
        <v>179.570007</v>
      </c>
      <c r="D7">
        <v>168.30999800000001</v>
      </c>
      <c r="E7">
        <v>171.13000500000001</v>
      </c>
      <c r="F7">
        <v>170.06539900000001</v>
      </c>
      <c r="G7">
        <v>20486400</v>
      </c>
      <c r="I7">
        <f t="shared" si="2"/>
        <v>-7.1761739686622403E-2</v>
      </c>
      <c r="J7">
        <v>6.0000000000000001E-3</v>
      </c>
      <c r="K7">
        <f t="shared" si="0"/>
        <v>-7.7761739686622408E-2</v>
      </c>
      <c r="L7">
        <f t="shared" si="1"/>
        <v>-7.7761739686622411</v>
      </c>
      <c r="M7">
        <v>-7.79</v>
      </c>
    </row>
    <row r="8" spans="1:13" x14ac:dyDescent="0.2">
      <c r="A8" s="1">
        <v>43900</v>
      </c>
      <c r="B8">
        <v>179.470001</v>
      </c>
      <c r="C8">
        <v>182.61000100000001</v>
      </c>
      <c r="D8">
        <v>171.88000500000001</v>
      </c>
      <c r="E8">
        <v>182.60000600000001</v>
      </c>
      <c r="F8">
        <v>181.46402</v>
      </c>
      <c r="G8">
        <v>16119400</v>
      </c>
      <c r="I8">
        <f t="shared" si="2"/>
        <v>6.7024927275183069E-2</v>
      </c>
      <c r="J8">
        <v>6.0000000000000001E-3</v>
      </c>
      <c r="K8">
        <f t="shared" si="0"/>
        <v>6.102492727518307E-2</v>
      </c>
      <c r="L8">
        <f t="shared" si="1"/>
        <v>6.1024927275183067</v>
      </c>
      <c r="M8">
        <v>4.74</v>
      </c>
    </row>
    <row r="9" spans="1:13" x14ac:dyDescent="0.2">
      <c r="A9" s="1">
        <v>43901</v>
      </c>
      <c r="B9">
        <v>177.64999399999999</v>
      </c>
      <c r="C9">
        <v>178.729996</v>
      </c>
      <c r="D9">
        <v>170.199997</v>
      </c>
      <c r="E9">
        <v>172.949997</v>
      </c>
      <c r="F9">
        <v>171.87406899999999</v>
      </c>
      <c r="G9">
        <v>14598200</v>
      </c>
      <c r="I9">
        <f t="shared" si="2"/>
        <v>-5.2847671951718106E-2</v>
      </c>
      <c r="J9">
        <v>6.0000000000000001E-3</v>
      </c>
      <c r="K9">
        <f t="shared" si="0"/>
        <v>-5.8847671951718104E-2</v>
      </c>
      <c r="L9">
        <f t="shared" si="1"/>
        <v>-5.8847671951718104</v>
      </c>
      <c r="M9">
        <v>-5.05</v>
      </c>
    </row>
    <row r="10" spans="1:13" x14ac:dyDescent="0.2">
      <c r="A10" s="1">
        <v>43902</v>
      </c>
      <c r="B10">
        <v>158.5</v>
      </c>
      <c r="C10">
        <v>172</v>
      </c>
      <c r="D10">
        <v>156.990005</v>
      </c>
      <c r="E10">
        <v>160.08000200000001</v>
      </c>
      <c r="F10">
        <v>159.08410599999999</v>
      </c>
      <c r="G10">
        <v>27467700</v>
      </c>
      <c r="I10">
        <f t="shared" si="2"/>
        <v>-7.4414733266133362E-2</v>
      </c>
      <c r="J10">
        <v>6.0000000000000001E-3</v>
      </c>
      <c r="K10">
        <f t="shared" si="0"/>
        <v>-8.0414733266133367E-2</v>
      </c>
      <c r="L10">
        <f t="shared" si="1"/>
        <v>-8.0414733266133371</v>
      </c>
      <c r="M10">
        <v>-9.6300000000000008</v>
      </c>
    </row>
    <row r="11" spans="1:13" x14ac:dyDescent="0.2">
      <c r="A11" s="1">
        <v>43903</v>
      </c>
      <c r="B11">
        <v>168.720001</v>
      </c>
      <c r="C11">
        <v>176.320007</v>
      </c>
      <c r="D11">
        <v>162.21000699999999</v>
      </c>
      <c r="E11">
        <v>175.83000200000001</v>
      </c>
      <c r="F11">
        <v>174.73616000000001</v>
      </c>
      <c r="G11">
        <v>19948900</v>
      </c>
      <c r="I11">
        <f t="shared" si="2"/>
        <v>9.8388546747718603E-2</v>
      </c>
      <c r="J11">
        <v>6.0000000000000001E-3</v>
      </c>
      <c r="K11">
        <f t="shared" si="0"/>
        <v>9.2388546747718597E-2</v>
      </c>
      <c r="L11">
        <f t="shared" si="1"/>
        <v>9.2388546747718596</v>
      </c>
      <c r="M11">
        <v>8.9600000000000009</v>
      </c>
    </row>
    <row r="12" spans="1:13" x14ac:dyDescent="0.2">
      <c r="A12" s="1">
        <v>43906</v>
      </c>
      <c r="B12">
        <v>151.13999899999999</v>
      </c>
      <c r="C12">
        <v>165.30999800000001</v>
      </c>
      <c r="D12">
        <v>147.979996</v>
      </c>
      <c r="E12">
        <v>152.009995</v>
      </c>
      <c r="F12">
        <v>151.06431599999999</v>
      </c>
      <c r="G12">
        <v>23692000</v>
      </c>
      <c r="I12">
        <f t="shared" si="2"/>
        <v>-0.13547192521570819</v>
      </c>
      <c r="J12">
        <v>6.0000000000000001E-3</v>
      </c>
      <c r="K12">
        <f t="shared" si="0"/>
        <v>-0.1414719252157082</v>
      </c>
      <c r="L12">
        <f t="shared" si="1"/>
        <v>-14.147192521570821</v>
      </c>
      <c r="M12">
        <v>-12</v>
      </c>
    </row>
    <row r="13" spans="1:13" x14ac:dyDescent="0.2">
      <c r="A13" s="1">
        <v>43907</v>
      </c>
      <c r="B13">
        <v>155.75</v>
      </c>
      <c r="C13">
        <v>163.699997</v>
      </c>
      <c r="D13">
        <v>149.25</v>
      </c>
      <c r="E13">
        <v>157.88999899999999</v>
      </c>
      <c r="F13">
        <v>156.90774500000001</v>
      </c>
      <c r="G13">
        <v>22298000</v>
      </c>
      <c r="I13">
        <f t="shared" si="2"/>
        <v>3.8681729442974572E-2</v>
      </c>
      <c r="J13">
        <v>6.0000000000000001E-3</v>
      </c>
      <c r="K13">
        <f t="shared" si="0"/>
        <v>3.2681729442974573E-2</v>
      </c>
      <c r="L13">
        <f t="shared" si="1"/>
        <v>3.2681729442974574</v>
      </c>
      <c r="M13">
        <v>5.87</v>
      </c>
    </row>
    <row r="14" spans="1:13" x14ac:dyDescent="0.2">
      <c r="A14" s="1">
        <v>43908</v>
      </c>
      <c r="B14">
        <v>148.46000699999999</v>
      </c>
      <c r="C14">
        <v>150.679993</v>
      </c>
      <c r="D14">
        <v>139.800003</v>
      </c>
      <c r="E14">
        <v>148.479996</v>
      </c>
      <c r="F14">
        <v>147.556274</v>
      </c>
      <c r="G14">
        <v>22787500</v>
      </c>
      <c r="I14">
        <f t="shared" si="2"/>
        <v>-5.9598530333859576E-2</v>
      </c>
      <c r="J14">
        <v>6.0000000000000001E-3</v>
      </c>
      <c r="K14">
        <f t="shared" si="0"/>
        <v>-6.5598530333859581E-2</v>
      </c>
      <c r="L14">
        <f t="shared" si="1"/>
        <v>-6.5598530333859584</v>
      </c>
      <c r="M14">
        <v>-5.56</v>
      </c>
    </row>
    <row r="15" spans="1:13" x14ac:dyDescent="0.2">
      <c r="A15" s="1">
        <v>43909</v>
      </c>
      <c r="B15">
        <v>146.91999799999999</v>
      </c>
      <c r="C15">
        <v>157.25</v>
      </c>
      <c r="D15">
        <v>141.470001</v>
      </c>
      <c r="E15">
        <v>152.25</v>
      </c>
      <c r="F15">
        <v>151.302841</v>
      </c>
      <c r="G15">
        <v>19362800</v>
      </c>
      <c r="I15">
        <f t="shared" si="2"/>
        <v>2.5390767186219399E-2</v>
      </c>
      <c r="J15">
        <v>6.0000000000000001E-3</v>
      </c>
      <c r="K15">
        <f t="shared" si="0"/>
        <v>1.9390767186219397E-2</v>
      </c>
      <c r="L15">
        <f t="shared" si="1"/>
        <v>1.9390767186219398</v>
      </c>
      <c r="M15">
        <v>1.31</v>
      </c>
    </row>
    <row r="16" spans="1:13" x14ac:dyDescent="0.2">
      <c r="A16" s="1">
        <v>43910</v>
      </c>
      <c r="B16">
        <v>154.820007</v>
      </c>
      <c r="C16">
        <v>158.259995</v>
      </c>
      <c r="D16">
        <v>145.66999799999999</v>
      </c>
      <c r="E16">
        <v>146.83000200000001</v>
      </c>
      <c r="F16">
        <v>145.91656499999999</v>
      </c>
      <c r="G16">
        <v>18692100</v>
      </c>
      <c r="I16">
        <f t="shared" si="2"/>
        <v>-3.5599305104918745E-2</v>
      </c>
      <c r="J16">
        <v>6.0000000000000001E-3</v>
      </c>
      <c r="K16">
        <f t="shared" si="0"/>
        <v>-4.1599305104918743E-2</v>
      </c>
      <c r="L16">
        <f t="shared" si="1"/>
        <v>-4.1599305104918747</v>
      </c>
      <c r="M16">
        <v>-4.1500000000000004</v>
      </c>
    </row>
    <row r="17" spans="1:13" x14ac:dyDescent="0.2">
      <c r="A17" s="1">
        <v>43913</v>
      </c>
      <c r="B17">
        <v>141.33000200000001</v>
      </c>
      <c r="C17">
        <v>143.35000600000001</v>
      </c>
      <c r="D17">
        <v>133.929993</v>
      </c>
      <c r="E17">
        <v>135.740005</v>
      </c>
      <c r="F17">
        <v>134.89553799999999</v>
      </c>
      <c r="G17">
        <v>30344100</v>
      </c>
      <c r="I17">
        <f t="shared" si="2"/>
        <v>-7.5529649426711795E-2</v>
      </c>
      <c r="J17">
        <v>6.0000000000000001E-3</v>
      </c>
      <c r="K17">
        <f t="shared" si="0"/>
        <v>-8.15296494267118E-2</v>
      </c>
      <c r="L17">
        <f t="shared" si="1"/>
        <v>-8.1529649426711792</v>
      </c>
      <c r="M17">
        <v>-2.5499999999999998</v>
      </c>
    </row>
    <row r="18" spans="1:13" x14ac:dyDescent="0.2">
      <c r="A18" s="1">
        <v>43914</v>
      </c>
      <c r="B18">
        <v>144.83999600000001</v>
      </c>
      <c r="C18">
        <v>155.25</v>
      </c>
      <c r="D18">
        <v>143.58000200000001</v>
      </c>
      <c r="E18">
        <v>154.529999</v>
      </c>
      <c r="F18">
        <v>153.56866500000001</v>
      </c>
      <c r="G18">
        <v>24488300</v>
      </c>
      <c r="I18">
        <f t="shared" si="2"/>
        <v>0.13842657271584494</v>
      </c>
      <c r="J18">
        <v>6.0000000000000001E-3</v>
      </c>
      <c r="K18">
        <f t="shared" si="0"/>
        <v>0.13242657271584493</v>
      </c>
      <c r="L18">
        <f t="shared" si="1"/>
        <v>13.242657271584493</v>
      </c>
      <c r="M18">
        <v>9.34</v>
      </c>
    </row>
    <row r="19" spans="1:13" x14ac:dyDescent="0.2">
      <c r="A19" s="1">
        <v>43915</v>
      </c>
      <c r="B19">
        <v>159.320007</v>
      </c>
      <c r="C19">
        <v>168.179993</v>
      </c>
      <c r="D19">
        <v>153.58000200000001</v>
      </c>
      <c r="E19">
        <v>161.779999</v>
      </c>
      <c r="F19">
        <v>160.77356</v>
      </c>
      <c r="G19">
        <v>20619600</v>
      </c>
      <c r="I19">
        <f t="shared" si="2"/>
        <v>4.691643962653444E-2</v>
      </c>
      <c r="J19">
        <v>6.0000000000000001E-3</v>
      </c>
      <c r="K19">
        <f t="shared" si="0"/>
        <v>4.0916439626534441E-2</v>
      </c>
      <c r="L19">
        <f t="shared" si="1"/>
        <v>4.0916439626534444</v>
      </c>
      <c r="M19">
        <v>1.18</v>
      </c>
    </row>
    <row r="20" spans="1:13" x14ac:dyDescent="0.2">
      <c r="A20" s="1">
        <v>43916</v>
      </c>
      <c r="B20">
        <v>162.08000200000001</v>
      </c>
      <c r="C20">
        <v>169.529999</v>
      </c>
      <c r="D20">
        <v>161.78999300000001</v>
      </c>
      <c r="E20">
        <v>168.88000500000001</v>
      </c>
      <c r="F20">
        <v>167.829376</v>
      </c>
      <c r="G20">
        <v>17062900</v>
      </c>
      <c r="I20">
        <f t="shared" si="2"/>
        <v>4.3886668927403193E-2</v>
      </c>
      <c r="J20">
        <v>6.0000000000000001E-3</v>
      </c>
      <c r="K20">
        <f t="shared" si="0"/>
        <v>3.7886668927403194E-2</v>
      </c>
      <c r="L20">
        <f t="shared" si="1"/>
        <v>3.7886668927403195</v>
      </c>
      <c r="M20">
        <v>6.02</v>
      </c>
    </row>
    <row r="21" spans="1:13" x14ac:dyDescent="0.2">
      <c r="A21" s="1">
        <v>43917</v>
      </c>
      <c r="B21">
        <v>161.08000200000001</v>
      </c>
      <c r="C21">
        <v>167.10000600000001</v>
      </c>
      <c r="D21">
        <v>158.14999399999999</v>
      </c>
      <c r="E21">
        <v>161.55999800000001</v>
      </c>
      <c r="F21">
        <v>160.55493200000001</v>
      </c>
      <c r="G21">
        <v>14950700</v>
      </c>
      <c r="I21">
        <f t="shared" si="2"/>
        <v>-4.3344283184369274E-2</v>
      </c>
      <c r="J21">
        <v>6.0000000000000001E-3</v>
      </c>
      <c r="K21">
        <f t="shared" si="0"/>
        <v>-4.9344283184369273E-2</v>
      </c>
      <c r="L21">
        <f t="shared" si="1"/>
        <v>-4.9344283184369271</v>
      </c>
      <c r="M21">
        <v>-3.48</v>
      </c>
    </row>
    <row r="22" spans="1:13" x14ac:dyDescent="0.2">
      <c r="A22" s="1">
        <v>43920</v>
      </c>
      <c r="B22">
        <v>161.03999300000001</v>
      </c>
      <c r="C22">
        <v>165.86999499999999</v>
      </c>
      <c r="D22">
        <v>160.69000199999999</v>
      </c>
      <c r="E22">
        <v>165.570007</v>
      </c>
      <c r="F22">
        <v>164.53997799999999</v>
      </c>
      <c r="G22">
        <v>15714500</v>
      </c>
      <c r="I22">
        <f t="shared" si="2"/>
        <v>2.4820452105451252E-2</v>
      </c>
      <c r="J22">
        <v>6.0000000000000001E-3</v>
      </c>
      <c r="K22">
        <f t="shared" si="0"/>
        <v>1.8820452105451253E-2</v>
      </c>
      <c r="L22">
        <f t="shared" si="1"/>
        <v>1.8820452105451253</v>
      </c>
      <c r="M22">
        <v>3.16</v>
      </c>
    </row>
    <row r="23" spans="1:13" x14ac:dyDescent="0.2">
      <c r="A23" s="1">
        <v>43921</v>
      </c>
      <c r="B23">
        <v>166.429993</v>
      </c>
      <c r="C23">
        <v>168.19000199999999</v>
      </c>
      <c r="D23">
        <v>160.53999300000001</v>
      </c>
      <c r="E23">
        <v>161.11999499999999</v>
      </c>
      <c r="F23">
        <v>160.117661</v>
      </c>
      <c r="G23">
        <v>20613100</v>
      </c>
      <c r="I23">
        <f t="shared" si="2"/>
        <v>-2.6876854207431539E-2</v>
      </c>
      <c r="J23">
        <v>6.0000000000000001E-3</v>
      </c>
      <c r="K23">
        <f t="shared" si="0"/>
        <v>-3.2876854207431541E-2</v>
      </c>
      <c r="L23">
        <f t="shared" si="1"/>
        <v>-3.2876854207431543</v>
      </c>
      <c r="M23">
        <v>-1.44</v>
      </c>
    </row>
    <row r="24" spans="1:13" x14ac:dyDescent="0.2">
      <c r="A24" s="1">
        <v>43922</v>
      </c>
      <c r="B24">
        <v>156.320007</v>
      </c>
      <c r="C24">
        <v>158.070007</v>
      </c>
      <c r="D24">
        <v>151.41999799999999</v>
      </c>
      <c r="E24">
        <v>153.11000100000001</v>
      </c>
      <c r="F24">
        <v>152.157501</v>
      </c>
      <c r="G24">
        <v>12595200</v>
      </c>
      <c r="I24">
        <f t="shared" si="2"/>
        <v>-4.9714440932284179E-2</v>
      </c>
      <c r="J24">
        <v>0</v>
      </c>
      <c r="K24">
        <f t="shared" si="0"/>
        <v>-4.9714440932284179E-2</v>
      </c>
      <c r="L24">
        <f t="shared" si="1"/>
        <v>-4.9714440932284178</v>
      </c>
      <c r="M24">
        <v>-4.51</v>
      </c>
    </row>
    <row r="25" spans="1:13" x14ac:dyDescent="0.2">
      <c r="A25" s="1">
        <v>43923</v>
      </c>
      <c r="B25">
        <v>152.529999</v>
      </c>
      <c r="C25">
        <v>158.35000600000001</v>
      </c>
      <c r="D25">
        <v>151.28999300000001</v>
      </c>
      <c r="E25">
        <v>157.38999899999999</v>
      </c>
      <c r="F25">
        <v>156.41085799999999</v>
      </c>
      <c r="G25">
        <v>14051100</v>
      </c>
      <c r="I25">
        <f t="shared" si="2"/>
        <v>2.795364653103756E-2</v>
      </c>
      <c r="J25">
        <v>0</v>
      </c>
      <c r="K25">
        <f t="shared" si="0"/>
        <v>2.795364653103756E-2</v>
      </c>
      <c r="L25">
        <f t="shared" si="1"/>
        <v>2.7953646531037561</v>
      </c>
      <c r="M25">
        <v>2.1</v>
      </c>
    </row>
    <row r="26" spans="1:13" x14ac:dyDescent="0.2">
      <c r="A26" s="1">
        <v>43924</v>
      </c>
      <c r="B26">
        <v>155.55999800000001</v>
      </c>
      <c r="C26">
        <v>157.720001</v>
      </c>
      <c r="D26">
        <v>150.60000600000001</v>
      </c>
      <c r="E26">
        <v>151.85000600000001</v>
      </c>
      <c r="F26">
        <v>150.90533400000001</v>
      </c>
      <c r="G26">
        <v>11994700</v>
      </c>
      <c r="I26">
        <f t="shared" si="2"/>
        <v>-3.5199116419398324E-2</v>
      </c>
      <c r="J26">
        <v>0</v>
      </c>
      <c r="K26">
        <f t="shared" si="0"/>
        <v>-3.5199116419398324E-2</v>
      </c>
      <c r="L26">
        <f t="shared" si="1"/>
        <v>-3.5199116419398324</v>
      </c>
      <c r="M26">
        <v>-1.64</v>
      </c>
    </row>
    <row r="27" spans="1:13" x14ac:dyDescent="0.2">
      <c r="A27" s="1">
        <v>43927</v>
      </c>
      <c r="B27">
        <v>160.020004</v>
      </c>
      <c r="C27">
        <v>170.729996</v>
      </c>
      <c r="D27">
        <v>158.25</v>
      </c>
      <c r="E27">
        <v>169.44000199999999</v>
      </c>
      <c r="F27">
        <v>168.38591</v>
      </c>
      <c r="G27">
        <v>16479100</v>
      </c>
      <c r="I27">
        <f t="shared" si="2"/>
        <v>0.11583802597726588</v>
      </c>
      <c r="J27">
        <v>0</v>
      </c>
      <c r="K27">
        <f t="shared" si="0"/>
        <v>0.11583802597726588</v>
      </c>
      <c r="L27">
        <f t="shared" si="1"/>
        <v>11.583802597726587</v>
      </c>
      <c r="M27">
        <v>7.06</v>
      </c>
    </row>
    <row r="28" spans="1:13" x14ac:dyDescent="0.2">
      <c r="A28" s="1">
        <v>43928</v>
      </c>
      <c r="B28">
        <v>177.759995</v>
      </c>
      <c r="C28">
        <v>178.800003</v>
      </c>
      <c r="D28">
        <v>168.10000600000001</v>
      </c>
      <c r="E28">
        <v>168.58999600000001</v>
      </c>
      <c r="F28">
        <v>167.54118299999999</v>
      </c>
      <c r="G28">
        <v>15379000</v>
      </c>
      <c r="I28">
        <f t="shared" si="2"/>
        <v>-5.0166133259012353E-3</v>
      </c>
      <c r="J28">
        <v>0</v>
      </c>
      <c r="K28">
        <f t="shared" si="0"/>
        <v>-5.0166133259012353E-3</v>
      </c>
      <c r="L28">
        <f t="shared" si="1"/>
        <v>-0.50166133259012358</v>
      </c>
      <c r="M28">
        <v>-0.11</v>
      </c>
    </row>
    <row r="29" spans="1:13" x14ac:dyDescent="0.2">
      <c r="A29" s="1">
        <v>43929</v>
      </c>
      <c r="B29">
        <v>171.009995</v>
      </c>
      <c r="C29">
        <v>176</v>
      </c>
      <c r="D29">
        <v>167.929993</v>
      </c>
      <c r="E29">
        <v>174.94000199999999</v>
      </c>
      <c r="F29">
        <v>173.851685</v>
      </c>
      <c r="G29">
        <v>11146500</v>
      </c>
      <c r="I29">
        <f t="shared" si="2"/>
        <v>3.766537807005943E-2</v>
      </c>
      <c r="J29">
        <v>0</v>
      </c>
      <c r="K29">
        <f t="shared" si="0"/>
        <v>3.766537807005943E-2</v>
      </c>
      <c r="L29">
        <f t="shared" si="1"/>
        <v>3.766537807005943</v>
      </c>
      <c r="M29">
        <v>3.4</v>
      </c>
    </row>
    <row r="30" spans="1:13" x14ac:dyDescent="0.2">
      <c r="A30" s="1">
        <v>43930</v>
      </c>
      <c r="B30">
        <v>176.270004</v>
      </c>
      <c r="C30">
        <v>177.19000199999999</v>
      </c>
      <c r="D30">
        <v>172.85000600000001</v>
      </c>
      <c r="E30">
        <v>173.69000199999999</v>
      </c>
      <c r="F30">
        <v>172.609467</v>
      </c>
      <c r="G30">
        <v>12231800</v>
      </c>
      <c r="I30">
        <f t="shared" si="2"/>
        <v>-7.1452744332044195E-3</v>
      </c>
      <c r="J30">
        <v>0</v>
      </c>
      <c r="K30">
        <f t="shared" si="0"/>
        <v>-7.1452744332044195E-3</v>
      </c>
      <c r="L30">
        <f t="shared" si="1"/>
        <v>-0.71452744332044194</v>
      </c>
      <c r="M30">
        <v>1.59</v>
      </c>
    </row>
    <row r="31" spans="1:13" x14ac:dyDescent="0.2">
      <c r="A31" s="1">
        <v>43934</v>
      </c>
      <c r="B31">
        <v>172.259995</v>
      </c>
      <c r="C31">
        <v>172.320007</v>
      </c>
      <c r="D31">
        <v>166.14999399999999</v>
      </c>
      <c r="E31">
        <v>168.990005</v>
      </c>
      <c r="F31">
        <v>167.938705</v>
      </c>
      <c r="G31">
        <v>14043700</v>
      </c>
      <c r="I31">
        <f t="shared" si="2"/>
        <v>-2.705970930319828E-2</v>
      </c>
      <c r="J31">
        <v>0</v>
      </c>
      <c r="K31">
        <f t="shared" si="0"/>
        <v>-2.705970930319828E-2</v>
      </c>
      <c r="L31">
        <f t="shared" si="1"/>
        <v>-2.705970930319828</v>
      </c>
      <c r="M31">
        <v>-0.92</v>
      </c>
    </row>
    <row r="32" spans="1:13" x14ac:dyDescent="0.2">
      <c r="A32" s="1">
        <v>43935</v>
      </c>
      <c r="B32">
        <v>173.08999600000001</v>
      </c>
      <c r="C32">
        <v>175.429993</v>
      </c>
      <c r="D32">
        <v>170.83000200000001</v>
      </c>
      <c r="E32">
        <v>174.61999499999999</v>
      </c>
      <c r="F32">
        <v>173.533661</v>
      </c>
      <c r="G32">
        <v>9980500</v>
      </c>
      <c r="I32">
        <f t="shared" si="2"/>
        <v>3.3315464710770494E-2</v>
      </c>
      <c r="J32">
        <v>0</v>
      </c>
      <c r="K32">
        <f t="shared" si="0"/>
        <v>3.3315464710770494E-2</v>
      </c>
      <c r="L32">
        <f t="shared" si="1"/>
        <v>3.3315464710770493</v>
      </c>
      <c r="M32">
        <v>3.02</v>
      </c>
    </row>
    <row r="33" spans="1:13" x14ac:dyDescent="0.2">
      <c r="A33" s="1">
        <v>43936</v>
      </c>
      <c r="B33">
        <v>168.699997</v>
      </c>
      <c r="C33">
        <v>169.36000100000001</v>
      </c>
      <c r="D33">
        <v>164.949997</v>
      </c>
      <c r="E33">
        <v>165.96000699999999</v>
      </c>
      <c r="F33">
        <v>164.92755099999999</v>
      </c>
      <c r="G33">
        <v>12118700</v>
      </c>
      <c r="I33">
        <f t="shared" si="2"/>
        <v>-4.959331780593277E-2</v>
      </c>
      <c r="J33">
        <v>0</v>
      </c>
      <c r="K33">
        <f t="shared" si="0"/>
        <v>-4.959331780593277E-2</v>
      </c>
      <c r="L33">
        <f t="shared" si="1"/>
        <v>-4.9593317805932768</v>
      </c>
      <c r="M33">
        <v>-2.15</v>
      </c>
    </row>
    <row r="34" spans="1:13" x14ac:dyDescent="0.2">
      <c r="A34" s="1">
        <v>43937</v>
      </c>
      <c r="B34">
        <v>167.11000100000001</v>
      </c>
      <c r="C34">
        <v>168</v>
      </c>
      <c r="D34">
        <v>159.800003</v>
      </c>
      <c r="E34">
        <v>162.41999799999999</v>
      </c>
      <c r="F34">
        <v>161.40957599999999</v>
      </c>
      <c r="G34">
        <v>20308200</v>
      </c>
      <c r="I34">
        <f t="shared" si="2"/>
        <v>-2.1330426473136724E-2</v>
      </c>
      <c r="J34">
        <v>0</v>
      </c>
      <c r="K34">
        <f t="shared" si="0"/>
        <v>-2.1330426473136724E-2</v>
      </c>
      <c r="L34">
        <f t="shared" si="1"/>
        <v>-2.1330426473136725</v>
      </c>
      <c r="M34">
        <v>0.62</v>
      </c>
    </row>
    <row r="35" spans="1:13" x14ac:dyDescent="0.2">
      <c r="A35" s="1">
        <v>43938</v>
      </c>
      <c r="B35">
        <v>169.64999399999999</v>
      </c>
      <c r="C35">
        <v>170.990005</v>
      </c>
      <c r="D35">
        <v>164.949997</v>
      </c>
      <c r="E35">
        <v>169.53999300000001</v>
      </c>
      <c r="F35">
        <v>168.485275</v>
      </c>
      <c r="G35">
        <v>15375800</v>
      </c>
      <c r="I35">
        <f t="shared" si="2"/>
        <v>4.3836922042345336E-2</v>
      </c>
      <c r="J35">
        <v>0</v>
      </c>
      <c r="K35">
        <f t="shared" si="0"/>
        <v>4.3836922042345336E-2</v>
      </c>
      <c r="L35">
        <f t="shared" si="1"/>
        <v>4.3836922042345332</v>
      </c>
      <c r="M35">
        <v>2.72</v>
      </c>
    </row>
    <row r="36" spans="1:13" x14ac:dyDescent="0.2">
      <c r="A36" s="1">
        <v>43941</v>
      </c>
      <c r="B36">
        <v>167.33000200000001</v>
      </c>
      <c r="C36">
        <v>167.429993</v>
      </c>
      <c r="D36">
        <v>163.199997</v>
      </c>
      <c r="E36">
        <v>164.220001</v>
      </c>
      <c r="F36">
        <v>163.19837999999999</v>
      </c>
      <c r="G36">
        <v>10505200</v>
      </c>
      <c r="I36">
        <f t="shared" si="2"/>
        <v>-3.1378973622472439E-2</v>
      </c>
      <c r="J36">
        <v>0</v>
      </c>
      <c r="K36">
        <f t="shared" si="0"/>
        <v>-3.1378973622472439E-2</v>
      </c>
      <c r="L36">
        <f t="shared" si="1"/>
        <v>-3.1378973622472439</v>
      </c>
      <c r="M36">
        <v>-1.56</v>
      </c>
    </row>
    <row r="37" spans="1:13" x14ac:dyDescent="0.2">
      <c r="A37" s="1">
        <v>43942</v>
      </c>
      <c r="B37">
        <v>162</v>
      </c>
      <c r="C37">
        <v>162.570007</v>
      </c>
      <c r="D37">
        <v>159.14999399999999</v>
      </c>
      <c r="E37">
        <v>160.529999</v>
      </c>
      <c r="F37">
        <v>159.53132600000001</v>
      </c>
      <c r="G37">
        <v>10562100</v>
      </c>
      <c r="I37">
        <f t="shared" si="2"/>
        <v>-2.2469916674417841E-2</v>
      </c>
      <c r="J37">
        <v>0</v>
      </c>
      <c r="K37">
        <f t="shared" si="0"/>
        <v>-2.2469916674417841E-2</v>
      </c>
      <c r="L37">
        <f t="shared" si="1"/>
        <v>-2.246991667441784</v>
      </c>
      <c r="M37">
        <v>-3.08</v>
      </c>
    </row>
    <row r="38" spans="1:13" x14ac:dyDescent="0.2">
      <c r="A38" s="1">
        <v>43943</v>
      </c>
      <c r="B38">
        <v>164.66000399999999</v>
      </c>
      <c r="C38">
        <v>167.699997</v>
      </c>
      <c r="D38">
        <v>162.91999799999999</v>
      </c>
      <c r="E38">
        <v>166.58999600000001</v>
      </c>
      <c r="F38">
        <v>165.553619</v>
      </c>
      <c r="G38">
        <v>14512900</v>
      </c>
      <c r="I38">
        <f t="shared" si="2"/>
        <v>3.7749908754597765E-2</v>
      </c>
      <c r="J38">
        <v>0</v>
      </c>
      <c r="K38">
        <f t="shared" si="0"/>
        <v>3.7749908754597765E-2</v>
      </c>
      <c r="L38">
        <f t="shared" si="1"/>
        <v>3.7749908754597765</v>
      </c>
      <c r="M38">
        <v>2.31</v>
      </c>
    </row>
    <row r="39" spans="1:13" x14ac:dyDescent="0.2">
      <c r="A39" s="1">
        <v>43944</v>
      </c>
      <c r="B39">
        <v>167.88000500000001</v>
      </c>
      <c r="C39">
        <v>170.41000399999999</v>
      </c>
      <c r="D39">
        <v>166.21000699999999</v>
      </c>
      <c r="E39">
        <v>166.38000500000001</v>
      </c>
      <c r="F39">
        <v>165.34492499999999</v>
      </c>
      <c r="G39">
        <v>11411300</v>
      </c>
      <c r="I39">
        <f t="shared" si="2"/>
        <v>-1.2605825306664445E-3</v>
      </c>
      <c r="J39">
        <v>0</v>
      </c>
      <c r="K39">
        <f t="shared" si="0"/>
        <v>-1.2605825306664445E-3</v>
      </c>
      <c r="L39">
        <f t="shared" si="1"/>
        <v>-0.12605825306664445</v>
      </c>
      <c r="M39">
        <v>0.13</v>
      </c>
    </row>
    <row r="40" spans="1:13" x14ac:dyDescent="0.2">
      <c r="A40" s="1">
        <v>43945</v>
      </c>
      <c r="B40">
        <v>168.44000199999999</v>
      </c>
      <c r="C40">
        <v>168.75</v>
      </c>
      <c r="D40">
        <v>164.009995</v>
      </c>
      <c r="E40">
        <v>167.320007</v>
      </c>
      <c r="F40">
        <v>166.279099</v>
      </c>
      <c r="G40">
        <v>8393600</v>
      </c>
      <c r="I40">
        <f t="shared" si="2"/>
        <v>5.6498498517569438E-3</v>
      </c>
      <c r="J40">
        <v>0</v>
      </c>
      <c r="K40">
        <f t="shared" si="0"/>
        <v>5.6498498517569438E-3</v>
      </c>
      <c r="L40">
        <f t="shared" si="1"/>
        <v>0.5649849851756944</v>
      </c>
      <c r="M40">
        <v>1.44</v>
      </c>
    </row>
    <row r="41" spans="1:13" x14ac:dyDescent="0.2">
      <c r="A41" s="1">
        <v>43948</v>
      </c>
      <c r="B41">
        <v>168.64999399999999</v>
      </c>
      <c r="C41">
        <v>172.35000600000001</v>
      </c>
      <c r="D41">
        <v>168.550003</v>
      </c>
      <c r="E41">
        <v>171.759995</v>
      </c>
      <c r="F41">
        <v>170.691452</v>
      </c>
      <c r="G41">
        <v>9903300</v>
      </c>
      <c r="I41">
        <f t="shared" si="2"/>
        <v>2.6535824565659907E-2</v>
      </c>
      <c r="J41">
        <v>0</v>
      </c>
      <c r="K41">
        <f t="shared" si="0"/>
        <v>2.6535824565659907E-2</v>
      </c>
      <c r="L41">
        <f t="shared" si="1"/>
        <v>2.6535824565659909</v>
      </c>
      <c r="M41">
        <v>1.73</v>
      </c>
    </row>
    <row r="42" spans="1:13" x14ac:dyDescent="0.2">
      <c r="A42" s="1">
        <v>43949</v>
      </c>
      <c r="B42">
        <v>175</v>
      </c>
      <c r="C42">
        <v>175.009995</v>
      </c>
      <c r="D42">
        <v>170.38000500000001</v>
      </c>
      <c r="E42">
        <v>171.25</v>
      </c>
      <c r="F42">
        <v>170.18464700000001</v>
      </c>
      <c r="G42">
        <v>8614400</v>
      </c>
      <c r="I42">
        <f t="shared" si="2"/>
        <v>-2.9691293504257362E-3</v>
      </c>
      <c r="J42">
        <v>0</v>
      </c>
      <c r="K42">
        <f t="shared" si="0"/>
        <v>-2.9691293504257362E-3</v>
      </c>
      <c r="L42">
        <f t="shared" si="1"/>
        <v>-0.2969129350425736</v>
      </c>
      <c r="M42">
        <v>-0.45</v>
      </c>
    </row>
    <row r="43" spans="1:13" x14ac:dyDescent="0.2">
      <c r="A43" s="1">
        <v>43950</v>
      </c>
      <c r="B43">
        <v>176.85000600000001</v>
      </c>
      <c r="C43">
        <v>182.25</v>
      </c>
      <c r="D43">
        <v>176.10000600000001</v>
      </c>
      <c r="E43">
        <v>181.78999300000001</v>
      </c>
      <c r="F43">
        <v>180.65905799999999</v>
      </c>
      <c r="G43">
        <v>12862800</v>
      </c>
      <c r="I43">
        <f t="shared" si="2"/>
        <v>6.1547332175034414E-2</v>
      </c>
      <c r="J43">
        <v>0</v>
      </c>
      <c r="K43">
        <f t="shared" si="0"/>
        <v>6.1547332175034414E-2</v>
      </c>
      <c r="L43">
        <f t="shared" si="1"/>
        <v>6.1547332175034413</v>
      </c>
      <c r="M43">
        <v>2.92</v>
      </c>
    </row>
    <row r="44" spans="1:13" x14ac:dyDescent="0.2">
      <c r="A44" s="1">
        <v>43951</v>
      </c>
      <c r="B44">
        <v>181.779999</v>
      </c>
      <c r="C44">
        <v>181.83000200000001</v>
      </c>
      <c r="D44">
        <v>177.66000399999999</v>
      </c>
      <c r="E44">
        <v>178.720001</v>
      </c>
      <c r="F44">
        <v>177.60817</v>
      </c>
      <c r="G44">
        <v>11331600</v>
      </c>
      <c r="I44">
        <f t="shared" si="2"/>
        <v>-1.6887545157021611E-2</v>
      </c>
      <c r="J44">
        <v>0</v>
      </c>
      <c r="K44">
        <f t="shared" si="0"/>
        <v>-1.6887545157021611E-2</v>
      </c>
      <c r="L44">
        <f t="shared" si="1"/>
        <v>-1.6887545157021611</v>
      </c>
      <c r="M44">
        <v>-1.18</v>
      </c>
    </row>
    <row r="45" spans="1:13" x14ac:dyDescent="0.2">
      <c r="A45" s="1">
        <v>43952</v>
      </c>
      <c r="B45">
        <v>174.449997</v>
      </c>
      <c r="C45">
        <v>179.63999899999999</v>
      </c>
      <c r="D45">
        <v>174.270004</v>
      </c>
      <c r="E45">
        <v>175.570007</v>
      </c>
      <c r="F45">
        <v>174.477768</v>
      </c>
      <c r="G45">
        <v>10109600</v>
      </c>
      <c r="I45">
        <f t="shared" si="2"/>
        <v>-1.7625326582667925E-2</v>
      </c>
      <c r="J45">
        <v>0</v>
      </c>
      <c r="K45">
        <f t="shared" si="0"/>
        <v>-1.7625326582667925E-2</v>
      </c>
      <c r="L45">
        <f t="shared" si="1"/>
        <v>-1.7625326582667924</v>
      </c>
      <c r="M45">
        <v>-2.91</v>
      </c>
    </row>
    <row r="46" spans="1:13" x14ac:dyDescent="0.2">
      <c r="A46" s="1">
        <v>43955</v>
      </c>
      <c r="B46">
        <v>172.949997</v>
      </c>
      <c r="C46">
        <v>176.94000199999999</v>
      </c>
      <c r="D46">
        <v>171.720001</v>
      </c>
      <c r="E46">
        <v>176.14999399999999</v>
      </c>
      <c r="F46">
        <v>175.05415300000001</v>
      </c>
      <c r="G46">
        <v>9386200</v>
      </c>
      <c r="I46">
        <f t="shared" si="2"/>
        <v>3.3034867800464766E-3</v>
      </c>
      <c r="J46">
        <v>0</v>
      </c>
      <c r="K46">
        <f t="shared" si="0"/>
        <v>3.3034867800464766E-3</v>
      </c>
      <c r="L46">
        <f t="shared" si="1"/>
        <v>0.33034867800464768</v>
      </c>
      <c r="M46">
        <v>0.53</v>
      </c>
    </row>
    <row r="47" spans="1:13" x14ac:dyDescent="0.2">
      <c r="A47" s="1">
        <v>43956</v>
      </c>
      <c r="B47">
        <v>179.08999600000001</v>
      </c>
      <c r="C47">
        <v>181.10000600000001</v>
      </c>
      <c r="D47">
        <v>178.259995</v>
      </c>
      <c r="E47">
        <v>178.44000199999999</v>
      </c>
      <c r="F47">
        <v>177.32991000000001</v>
      </c>
      <c r="G47">
        <v>13513000</v>
      </c>
      <c r="I47">
        <f t="shared" si="2"/>
        <v>1.3000302826291693E-2</v>
      </c>
      <c r="J47">
        <v>0</v>
      </c>
      <c r="K47">
        <f t="shared" si="0"/>
        <v>1.3000302826291693E-2</v>
      </c>
      <c r="L47">
        <f t="shared" si="1"/>
        <v>1.3000302826291694</v>
      </c>
      <c r="M47">
        <v>0.95</v>
      </c>
    </row>
    <row r="48" spans="1:13" x14ac:dyDescent="0.2">
      <c r="A48" s="1">
        <v>43957</v>
      </c>
      <c r="B48">
        <v>179.720001</v>
      </c>
      <c r="C48">
        <v>180.509995</v>
      </c>
      <c r="D48">
        <v>177.88000500000001</v>
      </c>
      <c r="E48">
        <v>178.779999</v>
      </c>
      <c r="F48">
        <v>177.66778600000001</v>
      </c>
      <c r="G48">
        <v>8540500</v>
      </c>
      <c r="I48">
        <f t="shared" si="2"/>
        <v>1.9053525713738548E-3</v>
      </c>
      <c r="J48">
        <v>0</v>
      </c>
      <c r="K48">
        <f t="shared" si="0"/>
        <v>1.9053525713738548E-3</v>
      </c>
      <c r="L48">
        <f t="shared" si="1"/>
        <v>0.19053525713738548</v>
      </c>
      <c r="M48">
        <v>-0.52</v>
      </c>
    </row>
    <row r="49" spans="1:13" x14ac:dyDescent="0.2">
      <c r="A49" s="1">
        <v>43958</v>
      </c>
      <c r="B49">
        <v>181.75</v>
      </c>
      <c r="C49">
        <v>184.979996</v>
      </c>
      <c r="D49">
        <v>181.71000699999999</v>
      </c>
      <c r="E49">
        <v>182.720001</v>
      </c>
      <c r="F49">
        <v>181.583282</v>
      </c>
      <c r="G49">
        <v>9262200</v>
      </c>
      <c r="I49">
        <f t="shared" si="2"/>
        <v>2.2038300178964295E-2</v>
      </c>
      <c r="J49">
        <v>0</v>
      </c>
      <c r="K49">
        <f t="shared" si="0"/>
        <v>2.2038300178964295E-2</v>
      </c>
      <c r="L49">
        <f t="shared" si="1"/>
        <v>2.2038300178964296</v>
      </c>
      <c r="M49">
        <v>1.33</v>
      </c>
    </row>
    <row r="50" spans="1:13" x14ac:dyDescent="0.2">
      <c r="A50" s="1">
        <v>43959</v>
      </c>
      <c r="B50">
        <v>185.029999</v>
      </c>
      <c r="C50">
        <v>185.75</v>
      </c>
      <c r="D50">
        <v>183.61999499999999</v>
      </c>
      <c r="E50">
        <v>185.08999600000001</v>
      </c>
      <c r="F50">
        <v>183.93853799999999</v>
      </c>
      <c r="G50">
        <v>6475200</v>
      </c>
      <c r="I50">
        <f t="shared" si="2"/>
        <v>1.2970665438242256E-2</v>
      </c>
      <c r="J50">
        <v>0</v>
      </c>
      <c r="K50">
        <f t="shared" si="0"/>
        <v>1.2970665438242256E-2</v>
      </c>
      <c r="L50">
        <f t="shared" si="1"/>
        <v>1.2970665438242257</v>
      </c>
      <c r="M50">
        <v>1.9</v>
      </c>
    </row>
    <row r="51" spans="1:13" x14ac:dyDescent="0.2">
      <c r="A51" s="1">
        <v>43962</v>
      </c>
      <c r="B51">
        <v>183.86999499999999</v>
      </c>
      <c r="C51">
        <v>184.61999499999999</v>
      </c>
      <c r="D51">
        <v>181.429993</v>
      </c>
      <c r="E51">
        <v>183.55999800000001</v>
      </c>
      <c r="F51">
        <v>182.41804500000001</v>
      </c>
      <c r="G51">
        <v>8683100</v>
      </c>
      <c r="I51">
        <f t="shared" si="2"/>
        <v>-8.2663101301804834E-3</v>
      </c>
      <c r="J51">
        <v>0</v>
      </c>
      <c r="K51">
        <f t="shared" si="0"/>
        <v>-8.2663101301804834E-3</v>
      </c>
      <c r="L51">
        <f t="shared" si="1"/>
        <v>-0.82663101301804831</v>
      </c>
      <c r="M51">
        <v>7.0000000000000007E-2</v>
      </c>
    </row>
    <row r="52" spans="1:13" x14ac:dyDescent="0.2">
      <c r="A52" s="1">
        <v>43963</v>
      </c>
      <c r="B52">
        <v>183.55999800000001</v>
      </c>
      <c r="C52">
        <v>183.990005</v>
      </c>
      <c r="D52">
        <v>179.36999499999999</v>
      </c>
      <c r="E52">
        <v>179.470001</v>
      </c>
      <c r="F52">
        <v>178.35351600000001</v>
      </c>
      <c r="G52">
        <v>8219700</v>
      </c>
      <c r="I52">
        <f t="shared" si="2"/>
        <v>-2.2281397654491872E-2</v>
      </c>
      <c r="J52">
        <v>0</v>
      </c>
      <c r="K52">
        <f t="shared" si="0"/>
        <v>-2.2281397654491872E-2</v>
      </c>
      <c r="L52">
        <f t="shared" si="1"/>
        <v>-2.2281397654491872</v>
      </c>
      <c r="M52">
        <v>-2.06</v>
      </c>
    </row>
    <row r="53" spans="1:13" x14ac:dyDescent="0.2">
      <c r="A53" s="1">
        <v>43964</v>
      </c>
      <c r="B53">
        <v>178.5</v>
      </c>
      <c r="C53">
        <v>181.08999600000001</v>
      </c>
      <c r="D53">
        <v>175.03999300000001</v>
      </c>
      <c r="E53">
        <v>177.08999600000001</v>
      </c>
      <c r="F53">
        <v>176.282974</v>
      </c>
      <c r="G53">
        <v>13377100</v>
      </c>
      <c r="I53">
        <f t="shared" si="2"/>
        <v>-1.1609202029972975E-2</v>
      </c>
      <c r="J53">
        <v>0</v>
      </c>
      <c r="K53">
        <f t="shared" si="0"/>
        <v>-1.1609202029972975E-2</v>
      </c>
      <c r="L53">
        <f t="shared" si="1"/>
        <v>-1.1609202029972974</v>
      </c>
      <c r="M53">
        <v>-1.89</v>
      </c>
    </row>
    <row r="54" spans="1:13" x14ac:dyDescent="0.2">
      <c r="A54" s="1">
        <v>43965</v>
      </c>
      <c r="B54">
        <v>175.94000199999999</v>
      </c>
      <c r="C54">
        <v>181.050003</v>
      </c>
      <c r="D54">
        <v>173.820007</v>
      </c>
      <c r="E54">
        <v>180.89999399999999</v>
      </c>
      <c r="F54">
        <v>180.07560699999999</v>
      </c>
      <c r="G54">
        <v>9695100</v>
      </c>
      <c r="I54">
        <f t="shared" si="2"/>
        <v>2.1514460040820478E-2</v>
      </c>
      <c r="J54">
        <v>0</v>
      </c>
      <c r="K54">
        <f t="shared" si="0"/>
        <v>2.1514460040820478E-2</v>
      </c>
      <c r="L54">
        <f t="shared" si="1"/>
        <v>2.151446004082048</v>
      </c>
      <c r="M54">
        <v>1.1399999999999999</v>
      </c>
    </row>
    <row r="55" spans="1:13" x14ac:dyDescent="0.2">
      <c r="A55" s="1">
        <v>43966</v>
      </c>
      <c r="B55">
        <v>179.979996</v>
      </c>
      <c r="C55">
        <v>184.13999899999999</v>
      </c>
      <c r="D55">
        <v>178.86999499999999</v>
      </c>
      <c r="E55">
        <v>183.490005</v>
      </c>
      <c r="F55">
        <v>182.653809</v>
      </c>
      <c r="G55">
        <v>10785900</v>
      </c>
      <c r="I55">
        <f t="shared" si="2"/>
        <v>1.4317330608803693E-2</v>
      </c>
      <c r="J55">
        <v>0</v>
      </c>
      <c r="K55">
        <f t="shared" si="0"/>
        <v>1.4317330608803693E-2</v>
      </c>
      <c r="L55">
        <f t="shared" si="1"/>
        <v>1.4317330608803693</v>
      </c>
      <c r="M55">
        <v>0.56999999999999995</v>
      </c>
    </row>
    <row r="56" spans="1:13" x14ac:dyDescent="0.2">
      <c r="A56" s="1">
        <v>43969</v>
      </c>
      <c r="B56">
        <v>188</v>
      </c>
      <c r="C56">
        <v>192.83000200000001</v>
      </c>
      <c r="D56">
        <v>187.470001</v>
      </c>
      <c r="E56">
        <v>191.38000500000001</v>
      </c>
      <c r="F56">
        <v>190.507858</v>
      </c>
      <c r="G56">
        <v>11806300</v>
      </c>
      <c r="I56">
        <f t="shared" si="2"/>
        <v>4.2999645301675604E-2</v>
      </c>
      <c r="J56">
        <v>0</v>
      </c>
      <c r="K56">
        <f t="shared" si="0"/>
        <v>4.2999645301675604E-2</v>
      </c>
      <c r="L56">
        <f t="shared" si="1"/>
        <v>4.2999645301675606</v>
      </c>
      <c r="M56">
        <v>3.24</v>
      </c>
    </row>
    <row r="57" spans="1:13" x14ac:dyDescent="0.2">
      <c r="A57" s="1">
        <v>43970</v>
      </c>
      <c r="B57">
        <v>191.13999899999999</v>
      </c>
      <c r="C57">
        <v>194.5</v>
      </c>
      <c r="D57">
        <v>189.229996</v>
      </c>
      <c r="E57">
        <v>189.36000100000001</v>
      </c>
      <c r="F57">
        <v>188.497086</v>
      </c>
      <c r="G57">
        <v>7446800</v>
      </c>
      <c r="I57">
        <f t="shared" si="2"/>
        <v>-1.0554798217299797E-2</v>
      </c>
      <c r="J57">
        <v>0</v>
      </c>
      <c r="K57">
        <f t="shared" si="0"/>
        <v>-1.0554798217299797E-2</v>
      </c>
      <c r="L57">
        <f t="shared" si="1"/>
        <v>-1.0554798217299797</v>
      </c>
      <c r="M57">
        <v>-1.01</v>
      </c>
    </row>
    <row r="58" spans="1:13" x14ac:dyDescent="0.2">
      <c r="A58" s="1">
        <v>43971</v>
      </c>
      <c r="B58">
        <v>193</v>
      </c>
      <c r="C58">
        <v>194.990005</v>
      </c>
      <c r="D58">
        <v>192.41000399999999</v>
      </c>
      <c r="E58">
        <v>193.86000100000001</v>
      </c>
      <c r="F58">
        <v>192.976563</v>
      </c>
      <c r="G58">
        <v>9545600</v>
      </c>
      <c r="I58">
        <f t="shared" si="2"/>
        <v>2.3764171081138107E-2</v>
      </c>
      <c r="J58">
        <v>0</v>
      </c>
      <c r="K58">
        <f t="shared" si="0"/>
        <v>2.3764171081138107E-2</v>
      </c>
      <c r="L58">
        <f t="shared" si="1"/>
        <v>2.3764171081138108</v>
      </c>
      <c r="M58">
        <v>1.8</v>
      </c>
    </row>
    <row r="59" spans="1:13" x14ac:dyDescent="0.2">
      <c r="A59" s="1">
        <v>43972</v>
      </c>
      <c r="B59">
        <v>193.5</v>
      </c>
      <c r="C59">
        <v>193.61999499999999</v>
      </c>
      <c r="D59">
        <v>190.020004</v>
      </c>
      <c r="E59">
        <v>190.61999499999999</v>
      </c>
      <c r="F59">
        <v>189.75131200000001</v>
      </c>
      <c r="G59">
        <v>11338100</v>
      </c>
      <c r="I59">
        <f t="shared" si="2"/>
        <v>-1.6713174645980124E-2</v>
      </c>
      <c r="J59">
        <v>0</v>
      </c>
      <c r="K59">
        <f t="shared" si="0"/>
        <v>-1.6713174645980124E-2</v>
      </c>
      <c r="L59">
        <f t="shared" si="1"/>
        <v>-1.6713174645980124</v>
      </c>
      <c r="M59">
        <v>-0.7</v>
      </c>
    </row>
    <row r="60" spans="1:13" x14ac:dyDescent="0.2">
      <c r="A60" s="1">
        <v>43973</v>
      </c>
      <c r="B60">
        <v>191</v>
      </c>
      <c r="C60">
        <v>191.36999499999999</v>
      </c>
      <c r="D60">
        <v>189.229996</v>
      </c>
      <c r="E60">
        <v>190.86000100000001</v>
      </c>
      <c r="F60">
        <v>189.99023399999999</v>
      </c>
      <c r="G60">
        <v>5807600</v>
      </c>
      <c r="I60">
        <f t="shared" si="2"/>
        <v>1.2591322688718688E-3</v>
      </c>
      <c r="J60">
        <v>0</v>
      </c>
      <c r="K60">
        <f t="shared" si="0"/>
        <v>1.2591322688718688E-3</v>
      </c>
      <c r="L60">
        <f t="shared" si="1"/>
        <v>0.12591322688718687</v>
      </c>
      <c r="M60">
        <v>0.27</v>
      </c>
    </row>
    <row r="61" spans="1:13" x14ac:dyDescent="0.2">
      <c r="A61" s="1">
        <v>43977</v>
      </c>
      <c r="B61">
        <v>195.800003</v>
      </c>
      <c r="C61">
        <v>196.270004</v>
      </c>
      <c r="D61">
        <v>192.759995</v>
      </c>
      <c r="E61">
        <v>193.220001</v>
      </c>
      <c r="F61">
        <v>192.33947800000001</v>
      </c>
      <c r="G61">
        <v>9662200</v>
      </c>
      <c r="I61">
        <f t="shared" si="2"/>
        <v>1.2365077670255553E-2</v>
      </c>
      <c r="J61">
        <v>0</v>
      </c>
      <c r="K61">
        <f t="shared" si="0"/>
        <v>1.2365077670255553E-2</v>
      </c>
      <c r="L61">
        <f t="shared" si="1"/>
        <v>1.2365077670255553</v>
      </c>
      <c r="M61">
        <v>1.23</v>
      </c>
    </row>
    <row r="62" spans="1:13" x14ac:dyDescent="0.2">
      <c r="A62" s="1">
        <v>43978</v>
      </c>
      <c r="B62">
        <v>194.30999800000001</v>
      </c>
      <c r="C62">
        <v>194.30999800000001</v>
      </c>
      <c r="D62">
        <v>188.520004</v>
      </c>
      <c r="E62">
        <v>192.820007</v>
      </c>
      <c r="F62">
        <v>191.94129899999999</v>
      </c>
      <c r="G62">
        <v>7650300</v>
      </c>
      <c r="I62">
        <f t="shared" si="2"/>
        <v>-2.070188627630711E-3</v>
      </c>
      <c r="J62">
        <v>0</v>
      </c>
      <c r="K62">
        <f t="shared" si="0"/>
        <v>-2.070188627630711E-3</v>
      </c>
      <c r="L62">
        <f t="shared" si="1"/>
        <v>-0.2070188627630711</v>
      </c>
      <c r="M62">
        <v>1.54</v>
      </c>
    </row>
    <row r="63" spans="1:13" x14ac:dyDescent="0.2">
      <c r="A63" s="1">
        <v>43979</v>
      </c>
      <c r="B63">
        <v>193.53999300000001</v>
      </c>
      <c r="C63">
        <v>198.28999300000001</v>
      </c>
      <c r="D63">
        <v>192.71000699999999</v>
      </c>
      <c r="E63">
        <v>194.259995</v>
      </c>
      <c r="F63">
        <v>193.37472500000001</v>
      </c>
      <c r="G63">
        <v>8352200</v>
      </c>
      <c r="I63">
        <f t="shared" si="2"/>
        <v>7.4680436543259291E-3</v>
      </c>
      <c r="J63">
        <v>0</v>
      </c>
      <c r="K63">
        <f t="shared" si="0"/>
        <v>7.4680436543259291E-3</v>
      </c>
      <c r="L63">
        <f t="shared" si="1"/>
        <v>0.74680436543259288</v>
      </c>
      <c r="M63">
        <v>-0.41</v>
      </c>
    </row>
    <row r="64" spans="1:13" x14ac:dyDescent="0.2">
      <c r="A64" s="1">
        <v>43980</v>
      </c>
      <c r="B64">
        <v>194.5</v>
      </c>
      <c r="C64">
        <v>196.740005</v>
      </c>
      <c r="D64">
        <v>193.279999</v>
      </c>
      <c r="E64">
        <v>195.240005</v>
      </c>
      <c r="F64">
        <v>194.350281</v>
      </c>
      <c r="G64">
        <v>10213500</v>
      </c>
      <c r="I64">
        <f t="shared" si="2"/>
        <v>5.0448992235152925E-3</v>
      </c>
      <c r="J64">
        <v>0</v>
      </c>
      <c r="K64">
        <f t="shared" si="0"/>
        <v>5.0448992235152925E-3</v>
      </c>
      <c r="L64">
        <f t="shared" si="1"/>
        <v>0.50448992235152923</v>
      </c>
      <c r="M64">
        <v>0.6</v>
      </c>
    </row>
    <row r="65" spans="1:13" x14ac:dyDescent="0.2">
      <c r="A65" s="1">
        <v>43983</v>
      </c>
      <c r="B65">
        <v>194.71000699999999</v>
      </c>
      <c r="C65">
        <v>195.88000500000001</v>
      </c>
      <c r="D65">
        <v>193.520004</v>
      </c>
      <c r="E65">
        <v>194.35000600000001</v>
      </c>
      <c r="F65">
        <v>193.46433999999999</v>
      </c>
      <c r="G65">
        <v>6011300</v>
      </c>
      <c r="I65">
        <f t="shared" si="2"/>
        <v>-4.5584755290371953E-3</v>
      </c>
      <c r="J65">
        <v>0</v>
      </c>
      <c r="K65">
        <f t="shared" si="0"/>
        <v>-4.5584755290371953E-3</v>
      </c>
      <c r="L65">
        <f t="shared" si="1"/>
        <v>-0.45584755290371953</v>
      </c>
      <c r="M65">
        <v>0.52</v>
      </c>
    </row>
    <row r="66" spans="1:13" x14ac:dyDescent="0.2">
      <c r="A66" s="1">
        <v>43984</v>
      </c>
      <c r="B66">
        <v>195.94000199999999</v>
      </c>
      <c r="C66">
        <v>197.520004</v>
      </c>
      <c r="D66">
        <v>194.91999799999999</v>
      </c>
      <c r="E66">
        <v>196.36000100000001</v>
      </c>
      <c r="F66">
        <v>195.46516399999999</v>
      </c>
      <c r="G66">
        <v>8462100</v>
      </c>
      <c r="I66">
        <f t="shared" si="2"/>
        <v>1.0342081646674495E-2</v>
      </c>
      <c r="J66">
        <v>0</v>
      </c>
      <c r="K66">
        <f t="shared" si="0"/>
        <v>1.0342081646674495E-2</v>
      </c>
      <c r="L66">
        <f t="shared" si="1"/>
        <v>1.0342081646674495</v>
      </c>
      <c r="M66">
        <v>0.81</v>
      </c>
    </row>
    <row r="67" spans="1:13" x14ac:dyDescent="0.2">
      <c r="A67" s="1">
        <v>43985</v>
      </c>
      <c r="B67">
        <v>198</v>
      </c>
      <c r="C67">
        <v>198.13999899999999</v>
      </c>
      <c r="D67">
        <v>195.570007</v>
      </c>
      <c r="E67">
        <v>196.86999499999999</v>
      </c>
      <c r="F67">
        <v>195.97283899999999</v>
      </c>
      <c r="G67">
        <v>8879400</v>
      </c>
      <c r="I67">
        <f t="shared" si="2"/>
        <v>2.5972658739334552E-3</v>
      </c>
      <c r="J67">
        <v>0</v>
      </c>
      <c r="K67">
        <f t="shared" si="0"/>
        <v>2.5972658739334552E-3</v>
      </c>
      <c r="L67">
        <f t="shared" si="1"/>
        <v>0.25972658739334553</v>
      </c>
      <c r="M67">
        <v>1.42</v>
      </c>
    </row>
    <row r="68" spans="1:13" x14ac:dyDescent="0.2">
      <c r="A68" s="1">
        <v>43986</v>
      </c>
      <c r="B68">
        <v>195.979996</v>
      </c>
      <c r="C68">
        <v>196.46000699999999</v>
      </c>
      <c r="D68">
        <v>193.11999499999999</v>
      </c>
      <c r="E68">
        <v>193.63999899999999</v>
      </c>
      <c r="F68">
        <v>192.75756799999999</v>
      </c>
      <c r="G68">
        <v>7829800</v>
      </c>
      <c r="I68">
        <f t="shared" si="2"/>
        <v>-1.640671746353586E-2</v>
      </c>
      <c r="J68">
        <v>0</v>
      </c>
      <c r="K68">
        <f t="shared" ref="K68:K131" si="3">I68-J68</f>
        <v>-1.640671746353586E-2</v>
      </c>
      <c r="L68">
        <f t="shared" ref="L68:L131" si="4">100*K68</f>
        <v>-1.640671746353586</v>
      </c>
      <c r="M68">
        <v>-0.34</v>
      </c>
    </row>
    <row r="69" spans="1:13" x14ac:dyDescent="0.2">
      <c r="A69" s="1">
        <v>43987</v>
      </c>
      <c r="B69">
        <v>196.199997</v>
      </c>
      <c r="C69">
        <v>199.770004</v>
      </c>
      <c r="D69">
        <v>195.479996</v>
      </c>
      <c r="E69">
        <v>199.61000100000001</v>
      </c>
      <c r="F69">
        <v>198.70036300000001</v>
      </c>
      <c r="G69">
        <v>8561200</v>
      </c>
      <c r="I69">
        <f t="shared" ref="I69:I132" si="5">(F69-F68)/F68</f>
        <v>3.0830410767581473E-2</v>
      </c>
      <c r="J69">
        <v>0</v>
      </c>
      <c r="K69">
        <f t="shared" si="3"/>
        <v>3.0830410767581473E-2</v>
      </c>
      <c r="L69">
        <f t="shared" si="4"/>
        <v>3.0830410767581471</v>
      </c>
      <c r="M69">
        <v>2.5</v>
      </c>
    </row>
    <row r="70" spans="1:13" x14ac:dyDescent="0.2">
      <c r="A70" s="1">
        <v>43990</v>
      </c>
      <c r="B70">
        <v>199.58000200000001</v>
      </c>
      <c r="C70">
        <v>199.96000699999999</v>
      </c>
      <c r="D70">
        <v>197.13000500000001</v>
      </c>
      <c r="E70">
        <v>199.60000600000001</v>
      </c>
      <c r="F70">
        <v>198.690414</v>
      </c>
      <c r="G70">
        <v>7628100</v>
      </c>
      <c r="I70">
        <f t="shared" si="5"/>
        <v>-5.0070366504594563E-5</v>
      </c>
      <c r="J70">
        <v>0</v>
      </c>
      <c r="K70">
        <f t="shared" si="3"/>
        <v>-5.0070366504594563E-5</v>
      </c>
      <c r="L70">
        <f t="shared" si="4"/>
        <v>-5.0070366504594566E-3</v>
      </c>
      <c r="M70">
        <v>1.39</v>
      </c>
    </row>
    <row r="71" spans="1:13" x14ac:dyDescent="0.2">
      <c r="A71" s="1">
        <v>43991</v>
      </c>
      <c r="B71">
        <v>198.36000100000001</v>
      </c>
      <c r="C71">
        <v>201.66999799999999</v>
      </c>
      <c r="D71">
        <v>198.240005</v>
      </c>
      <c r="E71">
        <v>199.08000200000001</v>
      </c>
      <c r="F71">
        <v>198.17276000000001</v>
      </c>
      <c r="G71">
        <v>6892300</v>
      </c>
      <c r="I71">
        <f t="shared" si="5"/>
        <v>-2.6053295152930387E-3</v>
      </c>
      <c r="J71">
        <v>0</v>
      </c>
      <c r="K71">
        <f t="shared" si="3"/>
        <v>-2.6053295152930387E-3</v>
      </c>
      <c r="L71">
        <f t="shared" si="4"/>
        <v>-0.26053295152930389</v>
      </c>
      <c r="M71">
        <v>-0.85</v>
      </c>
    </row>
    <row r="72" spans="1:13" x14ac:dyDescent="0.2">
      <c r="A72" s="1">
        <v>43992</v>
      </c>
      <c r="B72">
        <v>199.89999399999999</v>
      </c>
      <c r="C72">
        <v>202.179993</v>
      </c>
      <c r="D72">
        <v>198.949997</v>
      </c>
      <c r="E72">
        <v>200.479996</v>
      </c>
      <c r="F72">
        <v>199.56637599999999</v>
      </c>
      <c r="G72">
        <v>8405300</v>
      </c>
      <c r="I72">
        <f t="shared" si="5"/>
        <v>7.03232876203561E-3</v>
      </c>
      <c r="J72">
        <v>0</v>
      </c>
      <c r="K72">
        <f t="shared" si="3"/>
        <v>7.03232876203561E-3</v>
      </c>
      <c r="L72">
        <f t="shared" si="4"/>
        <v>0.70323287620356101</v>
      </c>
      <c r="M72">
        <v>-0.56000000000000005</v>
      </c>
    </row>
    <row r="73" spans="1:13" x14ac:dyDescent="0.2">
      <c r="A73" s="1">
        <v>43993</v>
      </c>
      <c r="B73">
        <v>195.13999899999999</v>
      </c>
      <c r="C73">
        <v>196.36000100000001</v>
      </c>
      <c r="D73">
        <v>188.75</v>
      </c>
      <c r="E73">
        <v>188.88000500000001</v>
      </c>
      <c r="F73">
        <v>188.01925700000001</v>
      </c>
      <c r="G73">
        <v>11974600</v>
      </c>
      <c r="I73">
        <f t="shared" si="5"/>
        <v>-5.7861044688209309E-2</v>
      </c>
      <c r="J73">
        <v>0</v>
      </c>
      <c r="K73">
        <f t="shared" si="3"/>
        <v>-5.7861044688209309E-2</v>
      </c>
      <c r="L73">
        <f t="shared" si="4"/>
        <v>-5.7861044688209313</v>
      </c>
      <c r="M73">
        <v>-5.91</v>
      </c>
    </row>
    <row r="74" spans="1:13" x14ac:dyDescent="0.2">
      <c r="A74" s="1">
        <v>43994</v>
      </c>
      <c r="B74">
        <v>194.21000699999999</v>
      </c>
      <c r="C74">
        <v>195</v>
      </c>
      <c r="D74">
        <v>187.85000600000001</v>
      </c>
      <c r="E74">
        <v>192.259995</v>
      </c>
      <c r="F74">
        <v>191.38385</v>
      </c>
      <c r="G74">
        <v>11706300</v>
      </c>
      <c r="I74">
        <f t="shared" si="5"/>
        <v>1.7894938282837617E-2</v>
      </c>
      <c r="J74">
        <v>0</v>
      </c>
      <c r="K74">
        <f t="shared" si="3"/>
        <v>1.7894938282837617E-2</v>
      </c>
      <c r="L74">
        <f t="shared" si="4"/>
        <v>1.7894938282837618</v>
      </c>
      <c r="M74">
        <v>1.29</v>
      </c>
    </row>
    <row r="75" spans="1:13" x14ac:dyDescent="0.2">
      <c r="A75" s="1">
        <v>43997</v>
      </c>
      <c r="B75">
        <v>187</v>
      </c>
      <c r="C75">
        <v>192.479996</v>
      </c>
      <c r="D75">
        <v>186.21000699999999</v>
      </c>
      <c r="E75">
        <v>191.759995</v>
      </c>
      <c r="F75">
        <v>190.88613900000001</v>
      </c>
      <c r="G75">
        <v>6752700</v>
      </c>
      <c r="I75">
        <f t="shared" si="5"/>
        <v>-2.6005903841937613E-3</v>
      </c>
      <c r="J75">
        <v>0</v>
      </c>
      <c r="K75">
        <f t="shared" si="3"/>
        <v>-2.6005903841937613E-3</v>
      </c>
      <c r="L75">
        <f t="shared" si="4"/>
        <v>-0.26005903841937611</v>
      </c>
      <c r="M75">
        <v>1.0900000000000001</v>
      </c>
    </row>
    <row r="76" spans="1:13" x14ac:dyDescent="0.2">
      <c r="A76" s="1">
        <v>43998</v>
      </c>
      <c r="B76">
        <v>196.86000100000001</v>
      </c>
      <c r="C76">
        <v>198.38000500000001</v>
      </c>
      <c r="D76">
        <v>191.800003</v>
      </c>
      <c r="E76">
        <v>192.88000500000001</v>
      </c>
      <c r="F76">
        <v>192.00102200000001</v>
      </c>
      <c r="G76">
        <v>11057200</v>
      </c>
      <c r="I76">
        <f t="shared" si="5"/>
        <v>5.8405655111500353E-3</v>
      </c>
      <c r="J76">
        <v>0</v>
      </c>
      <c r="K76">
        <f t="shared" si="3"/>
        <v>5.8405655111500353E-3</v>
      </c>
      <c r="L76">
        <f t="shared" si="4"/>
        <v>0.58405655111500354</v>
      </c>
      <c r="M76">
        <v>1.86</v>
      </c>
    </row>
    <row r="77" spans="1:13" x14ac:dyDescent="0.2">
      <c r="A77" s="1">
        <v>43999</v>
      </c>
      <c r="B77">
        <v>193.66000399999999</v>
      </c>
      <c r="C77">
        <v>195.36999499999999</v>
      </c>
      <c r="D77">
        <v>193.05999800000001</v>
      </c>
      <c r="E77">
        <v>193.55999800000001</v>
      </c>
      <c r="F77">
        <v>192.67791700000001</v>
      </c>
      <c r="G77">
        <v>5968900</v>
      </c>
      <c r="I77">
        <f t="shared" si="5"/>
        <v>3.52547602585158E-3</v>
      </c>
      <c r="J77">
        <v>0</v>
      </c>
      <c r="K77">
        <f t="shared" si="3"/>
        <v>3.52547602585158E-3</v>
      </c>
      <c r="L77">
        <f t="shared" si="4"/>
        <v>0.35254760258515799</v>
      </c>
      <c r="M77">
        <v>-0.4</v>
      </c>
    </row>
    <row r="78" spans="1:13" x14ac:dyDescent="0.2">
      <c r="A78" s="1">
        <v>44000</v>
      </c>
      <c r="B78">
        <v>192.60000600000001</v>
      </c>
      <c r="C78">
        <v>194.25</v>
      </c>
      <c r="D78">
        <v>192.11000100000001</v>
      </c>
      <c r="E78">
        <v>193.91000399999999</v>
      </c>
      <c r="F78">
        <v>193.02633700000001</v>
      </c>
      <c r="G78">
        <v>5803200</v>
      </c>
      <c r="I78">
        <f t="shared" si="5"/>
        <v>1.8083027127597834E-3</v>
      </c>
      <c r="J78">
        <v>0</v>
      </c>
      <c r="K78">
        <f t="shared" si="3"/>
        <v>1.8083027127597834E-3</v>
      </c>
      <c r="L78">
        <f t="shared" si="4"/>
        <v>0.18083027127597834</v>
      </c>
      <c r="M78">
        <v>0.19</v>
      </c>
    </row>
    <row r="79" spans="1:13" x14ac:dyDescent="0.2">
      <c r="A79" s="1">
        <v>44001</v>
      </c>
      <c r="B79">
        <v>196.88999899999999</v>
      </c>
      <c r="C79">
        <v>197.10000600000001</v>
      </c>
      <c r="D79">
        <v>191.36999499999999</v>
      </c>
      <c r="E79">
        <v>192.199997</v>
      </c>
      <c r="F79">
        <v>191.324127</v>
      </c>
      <c r="G79">
        <v>11483300</v>
      </c>
      <c r="I79">
        <f t="shared" si="5"/>
        <v>-8.8185375449569246E-3</v>
      </c>
      <c r="J79">
        <v>0</v>
      </c>
      <c r="K79">
        <f t="shared" si="3"/>
        <v>-8.8185375449569246E-3</v>
      </c>
      <c r="L79">
        <f t="shared" si="4"/>
        <v>-0.88185375449569248</v>
      </c>
      <c r="M79">
        <v>-0.45</v>
      </c>
    </row>
    <row r="80" spans="1:13" x14ac:dyDescent="0.2">
      <c r="A80" s="1">
        <v>44004</v>
      </c>
      <c r="B80">
        <v>191.990005</v>
      </c>
      <c r="C80">
        <v>196.36000100000001</v>
      </c>
      <c r="D80">
        <v>191.28999300000001</v>
      </c>
      <c r="E80">
        <v>194.96000699999999</v>
      </c>
      <c r="F80">
        <v>194.07153299999999</v>
      </c>
      <c r="G80">
        <v>6674500</v>
      </c>
      <c r="I80">
        <f t="shared" si="5"/>
        <v>1.4359955762400964E-2</v>
      </c>
      <c r="J80">
        <v>0</v>
      </c>
      <c r="K80">
        <f t="shared" si="3"/>
        <v>1.4359955762400964E-2</v>
      </c>
      <c r="L80">
        <f t="shared" si="4"/>
        <v>1.4359955762400964</v>
      </c>
      <c r="M80">
        <v>0.71</v>
      </c>
    </row>
    <row r="81" spans="1:13" x14ac:dyDescent="0.2">
      <c r="A81" s="1">
        <v>44005</v>
      </c>
      <c r="B81">
        <v>196.25</v>
      </c>
      <c r="C81">
        <v>200.14999399999999</v>
      </c>
      <c r="D81">
        <v>195.820007</v>
      </c>
      <c r="E81">
        <v>197.970001</v>
      </c>
      <c r="F81">
        <v>197.06784099999999</v>
      </c>
      <c r="G81">
        <v>9866800</v>
      </c>
      <c r="I81">
        <f t="shared" si="5"/>
        <v>1.5439193753367214E-2</v>
      </c>
      <c r="J81">
        <v>0</v>
      </c>
      <c r="K81">
        <f t="shared" si="3"/>
        <v>1.5439193753367214E-2</v>
      </c>
      <c r="L81">
        <f t="shared" si="4"/>
        <v>1.5439193753367215</v>
      </c>
      <c r="M81">
        <v>0.42</v>
      </c>
    </row>
    <row r="82" spans="1:13" x14ac:dyDescent="0.2">
      <c r="A82" s="1">
        <v>44006</v>
      </c>
      <c r="B82">
        <v>197.020004</v>
      </c>
      <c r="C82">
        <v>197.479996</v>
      </c>
      <c r="D82">
        <v>190.69000199999999</v>
      </c>
      <c r="E82">
        <v>191.41000399999999</v>
      </c>
      <c r="F82">
        <v>190.53772000000001</v>
      </c>
      <c r="G82">
        <v>9453100</v>
      </c>
      <c r="I82">
        <f t="shared" si="5"/>
        <v>-3.3136411130621664E-2</v>
      </c>
      <c r="J82">
        <v>0</v>
      </c>
      <c r="K82">
        <f t="shared" si="3"/>
        <v>-3.3136411130621664E-2</v>
      </c>
      <c r="L82">
        <f t="shared" si="4"/>
        <v>-3.3136411130621664</v>
      </c>
      <c r="M82">
        <v>-2.61</v>
      </c>
    </row>
    <row r="83" spans="1:13" x14ac:dyDescent="0.2">
      <c r="A83" s="1">
        <v>44007</v>
      </c>
      <c r="B83">
        <v>191.10000600000001</v>
      </c>
      <c r="C83">
        <v>194.240005</v>
      </c>
      <c r="D83">
        <v>189.89999399999999</v>
      </c>
      <c r="E83">
        <v>193.979996</v>
      </c>
      <c r="F83">
        <v>193.09600800000001</v>
      </c>
      <c r="G83">
        <v>9936600</v>
      </c>
      <c r="I83">
        <f t="shared" si="5"/>
        <v>1.3426674781245438E-2</v>
      </c>
      <c r="J83">
        <v>0</v>
      </c>
      <c r="K83">
        <f t="shared" si="3"/>
        <v>1.3426674781245438E-2</v>
      </c>
      <c r="L83">
        <f t="shared" si="4"/>
        <v>1.3426674781245438</v>
      </c>
      <c r="M83">
        <v>1.1200000000000001</v>
      </c>
    </row>
    <row r="84" spans="1:13" x14ac:dyDescent="0.2">
      <c r="A84" s="1">
        <v>44008</v>
      </c>
      <c r="B84">
        <v>193.10000600000001</v>
      </c>
      <c r="C84">
        <v>194.13000500000001</v>
      </c>
      <c r="D84">
        <v>189.08000200000001</v>
      </c>
      <c r="E84">
        <v>189.270004</v>
      </c>
      <c r="F84">
        <v>188.40747099999999</v>
      </c>
      <c r="G84">
        <v>11836000</v>
      </c>
      <c r="I84">
        <f t="shared" si="5"/>
        <v>-2.4280859291508632E-2</v>
      </c>
      <c r="J84">
        <v>0</v>
      </c>
      <c r="K84">
        <f t="shared" si="3"/>
        <v>-2.4280859291508632E-2</v>
      </c>
      <c r="L84">
        <f t="shared" si="4"/>
        <v>-2.4280859291508632</v>
      </c>
      <c r="M84">
        <v>-2.44</v>
      </c>
    </row>
    <row r="85" spans="1:13" x14ac:dyDescent="0.2">
      <c r="A85" s="1">
        <v>44011</v>
      </c>
      <c r="B85">
        <v>189.91000399999999</v>
      </c>
      <c r="C85">
        <v>191.449997</v>
      </c>
      <c r="D85">
        <v>187.300003</v>
      </c>
      <c r="E85">
        <v>191.38000500000001</v>
      </c>
      <c r="F85">
        <v>190.507858</v>
      </c>
      <c r="G85">
        <v>8020400</v>
      </c>
      <c r="I85">
        <f t="shared" si="5"/>
        <v>1.1148108877274894E-2</v>
      </c>
      <c r="J85">
        <v>0</v>
      </c>
      <c r="K85">
        <f t="shared" si="3"/>
        <v>1.1148108877274894E-2</v>
      </c>
      <c r="L85">
        <f t="shared" si="4"/>
        <v>1.1148108877274894</v>
      </c>
      <c r="M85">
        <v>1.51</v>
      </c>
    </row>
    <row r="86" spans="1:13" x14ac:dyDescent="0.2">
      <c r="A86" s="1">
        <v>44012</v>
      </c>
      <c r="B86">
        <v>191.490005</v>
      </c>
      <c r="C86">
        <v>193.75</v>
      </c>
      <c r="D86">
        <v>190.16000399999999</v>
      </c>
      <c r="E86">
        <v>193.16999799999999</v>
      </c>
      <c r="F86">
        <v>192.289703</v>
      </c>
      <c r="G86">
        <v>9040100</v>
      </c>
      <c r="I86">
        <f t="shared" si="5"/>
        <v>9.3531312498406453E-3</v>
      </c>
      <c r="J86">
        <v>0</v>
      </c>
      <c r="K86">
        <f t="shared" si="3"/>
        <v>9.3531312498406453E-3</v>
      </c>
      <c r="L86">
        <f t="shared" si="4"/>
        <v>0.93531312498406449</v>
      </c>
      <c r="M86">
        <v>1.58</v>
      </c>
    </row>
    <row r="87" spans="1:13" x14ac:dyDescent="0.2">
      <c r="A87" s="1">
        <v>44013</v>
      </c>
      <c r="B87">
        <v>193.85000600000001</v>
      </c>
      <c r="C87">
        <v>195.35000600000001</v>
      </c>
      <c r="D87">
        <v>192.66000399999999</v>
      </c>
      <c r="E87">
        <v>193.779999</v>
      </c>
      <c r="F87">
        <v>192.89692700000001</v>
      </c>
      <c r="G87">
        <v>6394100</v>
      </c>
      <c r="I87">
        <f t="shared" si="5"/>
        <v>3.1578602001377173E-3</v>
      </c>
      <c r="J87">
        <v>0</v>
      </c>
      <c r="K87">
        <f t="shared" si="3"/>
        <v>3.1578602001377173E-3</v>
      </c>
      <c r="L87">
        <f t="shared" si="4"/>
        <v>0.31578602001377176</v>
      </c>
      <c r="M87">
        <v>0.41</v>
      </c>
    </row>
    <row r="88" spans="1:13" x14ac:dyDescent="0.2">
      <c r="A88" s="1">
        <v>44014</v>
      </c>
      <c r="B88">
        <v>196</v>
      </c>
      <c r="C88">
        <v>197.91999799999999</v>
      </c>
      <c r="D88">
        <v>195</v>
      </c>
      <c r="E88">
        <v>195.66999799999999</v>
      </c>
      <c r="F88">
        <v>194.77830499999999</v>
      </c>
      <c r="G88">
        <v>6299300</v>
      </c>
      <c r="I88">
        <f t="shared" si="5"/>
        <v>9.7532813469858107E-3</v>
      </c>
      <c r="J88">
        <v>0</v>
      </c>
      <c r="K88">
        <f t="shared" si="3"/>
        <v>9.7532813469858107E-3</v>
      </c>
      <c r="L88">
        <f t="shared" si="4"/>
        <v>0.97532813469858104</v>
      </c>
      <c r="M88">
        <v>0.5</v>
      </c>
    </row>
    <row r="89" spans="1:13" x14ac:dyDescent="0.2">
      <c r="A89" s="1">
        <v>44018</v>
      </c>
      <c r="B89">
        <v>198.729996</v>
      </c>
      <c r="C89">
        <v>199.179993</v>
      </c>
      <c r="D89">
        <v>195.679993</v>
      </c>
      <c r="E89">
        <v>197.759995</v>
      </c>
      <c r="F89">
        <v>196.85878</v>
      </c>
      <c r="G89">
        <v>7292200</v>
      </c>
      <c r="I89">
        <f t="shared" si="5"/>
        <v>1.0681246045343741E-2</v>
      </c>
      <c r="J89">
        <v>0</v>
      </c>
      <c r="K89">
        <f t="shared" si="3"/>
        <v>1.0681246045343741E-2</v>
      </c>
      <c r="L89">
        <f t="shared" si="4"/>
        <v>1.0681246045343742</v>
      </c>
      <c r="M89">
        <v>1.65</v>
      </c>
    </row>
    <row r="90" spans="1:13" x14ac:dyDescent="0.2">
      <c r="A90" s="1">
        <v>44019</v>
      </c>
      <c r="B90">
        <v>196.80999800000001</v>
      </c>
      <c r="C90">
        <v>198.89999399999999</v>
      </c>
      <c r="D90">
        <v>193.80999800000001</v>
      </c>
      <c r="E90">
        <v>194.199997</v>
      </c>
      <c r="F90">
        <v>193.31500199999999</v>
      </c>
      <c r="G90">
        <v>7660100</v>
      </c>
      <c r="I90">
        <f t="shared" si="5"/>
        <v>-1.8001625327557162E-2</v>
      </c>
      <c r="J90">
        <v>0</v>
      </c>
      <c r="K90">
        <f t="shared" si="3"/>
        <v>-1.8001625327557162E-2</v>
      </c>
      <c r="L90">
        <f t="shared" si="4"/>
        <v>-1.8001625327557162</v>
      </c>
      <c r="M90">
        <v>-1.03</v>
      </c>
    </row>
    <row r="91" spans="1:13" x14ac:dyDescent="0.2">
      <c r="A91" s="1">
        <v>44020</v>
      </c>
      <c r="B91">
        <v>195.08000200000001</v>
      </c>
      <c r="C91">
        <v>195.520004</v>
      </c>
      <c r="D91">
        <v>193.11999499999999</v>
      </c>
      <c r="E91">
        <v>195.070007</v>
      </c>
      <c r="F91">
        <v>194.181061</v>
      </c>
      <c r="G91">
        <v>8368000</v>
      </c>
      <c r="I91">
        <f t="shared" si="5"/>
        <v>4.4800403023041481E-3</v>
      </c>
      <c r="J91">
        <v>0</v>
      </c>
      <c r="K91">
        <f t="shared" si="3"/>
        <v>4.4800403023041481E-3</v>
      </c>
      <c r="L91">
        <f t="shared" si="4"/>
        <v>0.4480040302304148</v>
      </c>
      <c r="M91">
        <v>0.91</v>
      </c>
    </row>
    <row r="92" spans="1:13" x14ac:dyDescent="0.2">
      <c r="A92" s="1">
        <v>44021</v>
      </c>
      <c r="B92">
        <v>195</v>
      </c>
      <c r="C92">
        <v>195.490005</v>
      </c>
      <c r="D92">
        <v>189.949997</v>
      </c>
      <c r="E92">
        <v>192.21000699999999</v>
      </c>
      <c r="F92">
        <v>191.334091</v>
      </c>
      <c r="G92">
        <v>8548200</v>
      </c>
      <c r="I92">
        <f t="shared" si="5"/>
        <v>-1.4661419529477176E-2</v>
      </c>
      <c r="J92">
        <v>0</v>
      </c>
      <c r="K92">
        <f t="shared" si="3"/>
        <v>-1.4661419529477176E-2</v>
      </c>
      <c r="L92">
        <f t="shared" si="4"/>
        <v>-1.4661419529477175</v>
      </c>
      <c r="M92">
        <v>-0.53</v>
      </c>
    </row>
    <row r="93" spans="1:13" x14ac:dyDescent="0.2">
      <c r="A93" s="1">
        <v>44022</v>
      </c>
      <c r="B93">
        <v>191.64999399999999</v>
      </c>
      <c r="C93">
        <v>192.820007</v>
      </c>
      <c r="D93">
        <v>189.44000199999999</v>
      </c>
      <c r="E93">
        <v>192.550003</v>
      </c>
      <c r="F93">
        <v>191.67253099999999</v>
      </c>
      <c r="G93">
        <v>7674200</v>
      </c>
      <c r="I93">
        <f t="shared" si="5"/>
        <v>1.7688431697202953E-3</v>
      </c>
      <c r="J93">
        <v>0</v>
      </c>
      <c r="K93">
        <f t="shared" si="3"/>
        <v>1.7688431697202953E-3</v>
      </c>
      <c r="L93">
        <f t="shared" si="4"/>
        <v>0.17688431697202953</v>
      </c>
      <c r="M93">
        <v>1.1100000000000001</v>
      </c>
    </row>
    <row r="94" spans="1:13" x14ac:dyDescent="0.2">
      <c r="A94" s="1">
        <v>44025</v>
      </c>
      <c r="B94">
        <v>193.61000100000001</v>
      </c>
      <c r="C94">
        <v>195.19000199999999</v>
      </c>
      <c r="D94">
        <v>188.699997</v>
      </c>
      <c r="E94">
        <v>189.020004</v>
      </c>
      <c r="F94">
        <v>188.158615</v>
      </c>
      <c r="G94">
        <v>8564100</v>
      </c>
      <c r="I94">
        <f t="shared" si="5"/>
        <v>-1.8332913859211233E-2</v>
      </c>
      <c r="J94">
        <v>0</v>
      </c>
      <c r="K94">
        <f t="shared" si="3"/>
        <v>-1.8332913859211233E-2</v>
      </c>
      <c r="L94">
        <f t="shared" si="4"/>
        <v>-1.8332913859211233</v>
      </c>
      <c r="M94">
        <v>-1.2</v>
      </c>
    </row>
    <row r="95" spans="1:13" x14ac:dyDescent="0.2">
      <c r="A95" s="1">
        <v>44026</v>
      </c>
      <c r="B95">
        <v>189.5</v>
      </c>
      <c r="C95">
        <v>193.470001</v>
      </c>
      <c r="D95">
        <v>187.179993</v>
      </c>
      <c r="E95">
        <v>193.33000200000001</v>
      </c>
      <c r="F95">
        <v>192.44897499999999</v>
      </c>
      <c r="G95">
        <v>8003900</v>
      </c>
      <c r="I95">
        <f t="shared" si="5"/>
        <v>2.2801826001961126E-2</v>
      </c>
      <c r="J95">
        <v>0</v>
      </c>
      <c r="K95">
        <f t="shared" si="3"/>
        <v>2.2801826001961126E-2</v>
      </c>
      <c r="L95">
        <f t="shared" si="4"/>
        <v>2.2801826001961127</v>
      </c>
      <c r="M95">
        <v>1.35</v>
      </c>
    </row>
    <row r="96" spans="1:13" x14ac:dyDescent="0.2">
      <c r="A96" s="1">
        <v>44027</v>
      </c>
      <c r="B96">
        <v>195.229996</v>
      </c>
      <c r="C96">
        <v>197.770004</v>
      </c>
      <c r="D96">
        <v>194.5</v>
      </c>
      <c r="E96">
        <v>196.550003</v>
      </c>
      <c r="F96">
        <v>195.65429700000001</v>
      </c>
      <c r="G96">
        <v>7681100</v>
      </c>
      <c r="I96">
        <f t="shared" si="5"/>
        <v>1.6655438149255013E-2</v>
      </c>
      <c r="J96">
        <v>0</v>
      </c>
      <c r="K96">
        <f t="shared" si="3"/>
        <v>1.6655438149255013E-2</v>
      </c>
      <c r="L96">
        <f t="shared" si="4"/>
        <v>1.6655438149255013</v>
      </c>
      <c r="M96">
        <v>1.1399999999999999</v>
      </c>
    </row>
    <row r="97" spans="1:13" x14ac:dyDescent="0.2">
      <c r="A97" s="1">
        <v>44028</v>
      </c>
      <c r="B97">
        <v>195.33000200000001</v>
      </c>
      <c r="C97">
        <v>195.71000699999999</v>
      </c>
      <c r="D97">
        <v>192.520004</v>
      </c>
      <c r="E97">
        <v>193.5</v>
      </c>
      <c r="F97">
        <v>192.61819499999999</v>
      </c>
      <c r="G97">
        <v>5064000</v>
      </c>
      <c r="I97">
        <f t="shared" si="5"/>
        <v>-1.5517686279080433E-2</v>
      </c>
      <c r="J97">
        <v>0</v>
      </c>
      <c r="K97">
        <f t="shared" si="3"/>
        <v>-1.5517686279080433E-2</v>
      </c>
      <c r="L97">
        <f t="shared" si="4"/>
        <v>-1.5517686279080434</v>
      </c>
      <c r="M97">
        <v>-0.37</v>
      </c>
    </row>
    <row r="98" spans="1:13" x14ac:dyDescent="0.2">
      <c r="A98" s="1">
        <v>44029</v>
      </c>
      <c r="B98">
        <v>194.83000200000001</v>
      </c>
      <c r="C98">
        <v>195.570007</v>
      </c>
      <c r="D98">
        <v>193.11999499999999</v>
      </c>
      <c r="E98">
        <v>195.08999600000001</v>
      </c>
      <c r="F98">
        <v>194.20095800000001</v>
      </c>
      <c r="G98">
        <v>6395000</v>
      </c>
      <c r="I98">
        <f t="shared" si="5"/>
        <v>8.2171001550504011E-3</v>
      </c>
      <c r="J98">
        <v>0</v>
      </c>
      <c r="K98">
        <f t="shared" si="3"/>
        <v>8.2171001550504011E-3</v>
      </c>
      <c r="L98">
        <f t="shared" si="4"/>
        <v>0.82171001550504008</v>
      </c>
      <c r="M98">
        <v>0.3</v>
      </c>
    </row>
    <row r="99" spans="1:13" x14ac:dyDescent="0.2">
      <c r="A99" s="1">
        <v>44032</v>
      </c>
      <c r="B99">
        <v>194.740005</v>
      </c>
      <c r="C99">
        <v>199.479996</v>
      </c>
      <c r="D99">
        <v>193.66999799999999</v>
      </c>
      <c r="E99">
        <v>198.470001</v>
      </c>
      <c r="F99">
        <v>197.565552</v>
      </c>
      <c r="G99">
        <v>6985300</v>
      </c>
      <c r="I99">
        <f t="shared" si="5"/>
        <v>1.7325321330289124E-2</v>
      </c>
      <c r="J99">
        <v>0</v>
      </c>
      <c r="K99">
        <f t="shared" si="3"/>
        <v>1.7325321330289124E-2</v>
      </c>
      <c r="L99">
        <f t="shared" si="4"/>
        <v>1.7325321330289123</v>
      </c>
      <c r="M99">
        <v>1.01</v>
      </c>
    </row>
    <row r="100" spans="1:13" x14ac:dyDescent="0.2">
      <c r="A100" s="1">
        <v>44033</v>
      </c>
      <c r="B100">
        <v>200</v>
      </c>
      <c r="C100">
        <v>200.16999799999999</v>
      </c>
      <c r="D100">
        <v>195.679993</v>
      </c>
      <c r="E100">
        <v>196.479996</v>
      </c>
      <c r="F100">
        <v>195.58462499999999</v>
      </c>
      <c r="G100">
        <v>7219400</v>
      </c>
      <c r="I100">
        <f t="shared" si="5"/>
        <v>-1.0026682181922122E-2</v>
      </c>
      <c r="J100">
        <v>0</v>
      </c>
      <c r="K100">
        <f t="shared" si="3"/>
        <v>-1.0026682181922122E-2</v>
      </c>
      <c r="L100">
        <f t="shared" si="4"/>
        <v>-1.0026682181922122</v>
      </c>
      <c r="M100">
        <v>0.16</v>
      </c>
    </row>
    <row r="101" spans="1:13" x14ac:dyDescent="0.2">
      <c r="A101" s="1">
        <v>44034</v>
      </c>
      <c r="B101">
        <v>196.479996</v>
      </c>
      <c r="C101">
        <v>199</v>
      </c>
      <c r="D101">
        <v>196.25</v>
      </c>
      <c r="E101">
        <v>198.86000100000001</v>
      </c>
      <c r="F101">
        <v>197.953766</v>
      </c>
      <c r="G101">
        <v>6823400</v>
      </c>
      <c r="I101">
        <f t="shared" si="5"/>
        <v>1.2113124945276313E-2</v>
      </c>
      <c r="J101">
        <v>0</v>
      </c>
      <c r="K101">
        <f t="shared" si="3"/>
        <v>1.2113124945276313E-2</v>
      </c>
      <c r="L101">
        <f t="shared" si="4"/>
        <v>1.2113124945276312</v>
      </c>
      <c r="M101">
        <v>0.49</v>
      </c>
    </row>
    <row r="102" spans="1:13" x14ac:dyDescent="0.2">
      <c r="A102" s="1">
        <v>44035</v>
      </c>
      <c r="B102">
        <v>198.44000199999999</v>
      </c>
      <c r="C102">
        <v>200.949997</v>
      </c>
      <c r="D102">
        <v>196.429993</v>
      </c>
      <c r="E102">
        <v>197.429993</v>
      </c>
      <c r="F102">
        <v>196.53027299999999</v>
      </c>
      <c r="G102">
        <v>6106700</v>
      </c>
      <c r="I102">
        <f t="shared" si="5"/>
        <v>-7.191037729486832E-3</v>
      </c>
      <c r="J102">
        <v>0</v>
      </c>
      <c r="K102">
        <f t="shared" si="3"/>
        <v>-7.191037729486832E-3</v>
      </c>
      <c r="L102">
        <f t="shared" si="4"/>
        <v>-0.71910377294868322</v>
      </c>
      <c r="M102">
        <v>-1.2</v>
      </c>
    </row>
    <row r="103" spans="1:13" x14ac:dyDescent="0.2">
      <c r="A103" s="1">
        <v>44036</v>
      </c>
      <c r="B103">
        <v>195.66999799999999</v>
      </c>
      <c r="C103">
        <v>197.479996</v>
      </c>
      <c r="D103">
        <v>194.029999</v>
      </c>
      <c r="E103">
        <v>195.14999399999999</v>
      </c>
      <c r="F103">
        <v>194.26068100000001</v>
      </c>
      <c r="G103">
        <v>7160300</v>
      </c>
      <c r="I103">
        <f t="shared" si="5"/>
        <v>-1.1548307369419818E-2</v>
      </c>
      <c r="J103">
        <v>0</v>
      </c>
      <c r="K103">
        <f t="shared" si="3"/>
        <v>-1.1548307369419818E-2</v>
      </c>
      <c r="L103">
        <f t="shared" si="4"/>
        <v>-1.1548307369419819</v>
      </c>
      <c r="M103">
        <v>-0.75</v>
      </c>
    </row>
    <row r="104" spans="1:13" x14ac:dyDescent="0.2">
      <c r="A104" s="1">
        <v>44039</v>
      </c>
      <c r="B104">
        <v>195.16000399999999</v>
      </c>
      <c r="C104">
        <v>197.80999800000001</v>
      </c>
      <c r="D104">
        <v>194.199997</v>
      </c>
      <c r="E104">
        <v>196.91000399999999</v>
      </c>
      <c r="F104">
        <v>196.012665</v>
      </c>
      <c r="G104">
        <v>5604700</v>
      </c>
      <c r="I104">
        <f t="shared" si="5"/>
        <v>9.018726748929666E-3</v>
      </c>
      <c r="J104">
        <v>0</v>
      </c>
      <c r="K104">
        <f t="shared" si="3"/>
        <v>9.018726748929666E-3</v>
      </c>
      <c r="L104">
        <f t="shared" si="4"/>
        <v>0.90187267489296663</v>
      </c>
      <c r="M104">
        <v>0.88</v>
      </c>
    </row>
    <row r="105" spans="1:13" x14ac:dyDescent="0.2">
      <c r="A105" s="1">
        <v>44040</v>
      </c>
      <c r="B105">
        <v>197.69000199999999</v>
      </c>
      <c r="C105">
        <v>199.36999499999999</v>
      </c>
      <c r="D105">
        <v>196.71000699999999</v>
      </c>
      <c r="E105">
        <v>196.740005</v>
      </c>
      <c r="F105">
        <v>195.843445</v>
      </c>
      <c r="G105">
        <v>6897300</v>
      </c>
      <c r="I105">
        <f t="shared" si="5"/>
        <v>-8.6331156203603323E-4</v>
      </c>
      <c r="J105">
        <v>0</v>
      </c>
      <c r="K105">
        <f t="shared" si="3"/>
        <v>-8.6331156203603323E-4</v>
      </c>
      <c r="L105">
        <f t="shared" si="4"/>
        <v>-8.6331156203603321E-2</v>
      </c>
      <c r="M105">
        <v>-0.81</v>
      </c>
    </row>
    <row r="106" spans="1:13" x14ac:dyDescent="0.2">
      <c r="A106" s="1">
        <v>44041</v>
      </c>
      <c r="B106">
        <v>193.08999600000001</v>
      </c>
      <c r="C106">
        <v>198.88999899999999</v>
      </c>
      <c r="D106">
        <v>193.050003</v>
      </c>
      <c r="E106">
        <v>198.58000200000001</v>
      </c>
      <c r="F106">
        <v>197.675049</v>
      </c>
      <c r="G106">
        <v>9471300</v>
      </c>
      <c r="I106">
        <f t="shared" si="5"/>
        <v>9.3523885877313823E-3</v>
      </c>
      <c r="J106">
        <v>0</v>
      </c>
      <c r="K106">
        <f t="shared" si="3"/>
        <v>9.3523885877313823E-3</v>
      </c>
      <c r="L106">
        <f t="shared" si="4"/>
        <v>0.93523885877313828</v>
      </c>
      <c r="M106">
        <v>1.35</v>
      </c>
    </row>
    <row r="107" spans="1:13" x14ac:dyDescent="0.2">
      <c r="A107" s="1">
        <v>44042</v>
      </c>
      <c r="B107">
        <v>195.199997</v>
      </c>
      <c r="C107">
        <v>196.55999800000001</v>
      </c>
      <c r="D107">
        <v>192.11999499999999</v>
      </c>
      <c r="E107">
        <v>194.05999800000001</v>
      </c>
      <c r="F107">
        <v>193.17564400000001</v>
      </c>
      <c r="G107">
        <v>10499400</v>
      </c>
      <c r="I107">
        <f t="shared" si="5"/>
        <v>-2.2761623294197317E-2</v>
      </c>
      <c r="J107">
        <v>0</v>
      </c>
      <c r="K107">
        <f t="shared" si="3"/>
        <v>-2.2761623294197317E-2</v>
      </c>
      <c r="L107">
        <f t="shared" si="4"/>
        <v>-2.2761623294197317</v>
      </c>
      <c r="M107">
        <v>-0.28999999999999998</v>
      </c>
    </row>
    <row r="108" spans="1:13" x14ac:dyDescent="0.2">
      <c r="A108" s="1">
        <v>44043</v>
      </c>
      <c r="B108">
        <v>194.41999799999999</v>
      </c>
      <c r="C108">
        <v>194.69000199999999</v>
      </c>
      <c r="D108">
        <v>189.44000199999999</v>
      </c>
      <c r="E108">
        <v>190.39999399999999</v>
      </c>
      <c r="F108">
        <v>189.532318</v>
      </c>
      <c r="G108">
        <v>14186000</v>
      </c>
      <c r="I108">
        <f t="shared" si="5"/>
        <v>-1.8860172662346613E-2</v>
      </c>
      <c r="J108">
        <v>0</v>
      </c>
      <c r="K108">
        <f t="shared" si="3"/>
        <v>-1.8860172662346613E-2</v>
      </c>
      <c r="L108">
        <f t="shared" si="4"/>
        <v>-1.8860172662346613</v>
      </c>
      <c r="M108">
        <v>0.61</v>
      </c>
    </row>
    <row r="109" spans="1:13" x14ac:dyDescent="0.2">
      <c r="A109" s="1">
        <v>44046</v>
      </c>
      <c r="B109">
        <v>191.800003</v>
      </c>
      <c r="C109">
        <v>193.33999600000001</v>
      </c>
      <c r="D109">
        <v>190.21000699999999</v>
      </c>
      <c r="E109">
        <v>190.69000199999999</v>
      </c>
      <c r="F109">
        <v>189.820999</v>
      </c>
      <c r="G109">
        <v>11405200</v>
      </c>
      <c r="I109">
        <f t="shared" si="5"/>
        <v>1.5231228269998621E-3</v>
      </c>
      <c r="J109">
        <v>0</v>
      </c>
      <c r="K109">
        <f t="shared" si="3"/>
        <v>1.5231228269998621E-3</v>
      </c>
      <c r="L109">
        <f t="shared" si="4"/>
        <v>0.1523122826999862</v>
      </c>
      <c r="M109">
        <v>0.98</v>
      </c>
    </row>
    <row r="110" spans="1:13" x14ac:dyDescent="0.2">
      <c r="A110" s="1">
        <v>44047</v>
      </c>
      <c r="B110">
        <v>191.13000500000001</v>
      </c>
      <c r="C110">
        <v>192.94000199999999</v>
      </c>
      <c r="D110">
        <v>190.08000200000001</v>
      </c>
      <c r="E110">
        <v>192.28999300000001</v>
      </c>
      <c r="F110">
        <v>191.413712</v>
      </c>
      <c r="G110">
        <v>8204000</v>
      </c>
      <c r="I110">
        <f t="shared" si="5"/>
        <v>8.3906048771769624E-3</v>
      </c>
      <c r="J110">
        <v>0</v>
      </c>
      <c r="K110">
        <f t="shared" si="3"/>
        <v>8.3906048771769624E-3</v>
      </c>
      <c r="L110">
        <f t="shared" si="4"/>
        <v>0.83906048771769626</v>
      </c>
      <c r="M110">
        <v>0.37</v>
      </c>
    </row>
    <row r="111" spans="1:13" x14ac:dyDescent="0.2">
      <c r="A111" s="1">
        <v>44048</v>
      </c>
      <c r="B111">
        <v>193.55999800000001</v>
      </c>
      <c r="C111">
        <v>198.179993</v>
      </c>
      <c r="D111">
        <v>193.10000600000001</v>
      </c>
      <c r="E111">
        <v>196.10000600000001</v>
      </c>
      <c r="F111">
        <v>195.20635999999999</v>
      </c>
      <c r="G111">
        <v>8907300</v>
      </c>
      <c r="I111">
        <f t="shared" si="5"/>
        <v>1.9813878328632933E-2</v>
      </c>
      <c r="J111">
        <v>0</v>
      </c>
      <c r="K111">
        <f t="shared" si="3"/>
        <v>1.9813878328632933E-2</v>
      </c>
      <c r="L111">
        <f t="shared" si="4"/>
        <v>1.9813878328632932</v>
      </c>
      <c r="M111">
        <v>0.78</v>
      </c>
    </row>
    <row r="112" spans="1:13" x14ac:dyDescent="0.2">
      <c r="A112" s="1">
        <v>44049</v>
      </c>
      <c r="B112">
        <v>195.979996</v>
      </c>
      <c r="C112">
        <v>198.91999799999999</v>
      </c>
      <c r="D112">
        <v>194.78999300000001</v>
      </c>
      <c r="E112">
        <v>198.770004</v>
      </c>
      <c r="F112">
        <v>197.86419699999999</v>
      </c>
      <c r="G112">
        <v>7480300</v>
      </c>
      <c r="I112">
        <f t="shared" si="5"/>
        <v>1.3615524617128257E-2</v>
      </c>
      <c r="J112">
        <v>0</v>
      </c>
      <c r="K112">
        <f t="shared" si="3"/>
        <v>1.3615524617128257E-2</v>
      </c>
      <c r="L112">
        <f t="shared" si="4"/>
        <v>1.3615524617128256</v>
      </c>
      <c r="M112">
        <v>0.53</v>
      </c>
    </row>
    <row r="113" spans="1:13" x14ac:dyDescent="0.2">
      <c r="A113" s="1">
        <v>44050</v>
      </c>
      <c r="B113">
        <v>197.58999600000001</v>
      </c>
      <c r="C113">
        <v>197.979996</v>
      </c>
      <c r="D113">
        <v>195.300003</v>
      </c>
      <c r="E113">
        <v>196.36000100000001</v>
      </c>
      <c r="F113">
        <v>195.46516399999999</v>
      </c>
      <c r="G113">
        <v>5654000</v>
      </c>
      <c r="I113">
        <f t="shared" si="5"/>
        <v>-1.212464425789979E-2</v>
      </c>
      <c r="J113">
        <v>0</v>
      </c>
      <c r="K113">
        <f t="shared" si="3"/>
        <v>-1.212464425789979E-2</v>
      </c>
      <c r="L113">
        <f t="shared" si="4"/>
        <v>-1.212464425789979</v>
      </c>
      <c r="M113">
        <v>0.02</v>
      </c>
    </row>
    <row r="114" spans="1:13" x14ac:dyDescent="0.2">
      <c r="A114" s="1">
        <v>44053</v>
      </c>
      <c r="B114">
        <v>196.36000100000001</v>
      </c>
      <c r="C114">
        <v>198.30999800000001</v>
      </c>
      <c r="D114">
        <v>195.33000200000001</v>
      </c>
      <c r="E114">
        <v>196.78999300000001</v>
      </c>
      <c r="F114">
        <v>195.893204</v>
      </c>
      <c r="G114">
        <v>5525400</v>
      </c>
      <c r="I114">
        <f t="shared" si="5"/>
        <v>2.189853123905035E-3</v>
      </c>
      <c r="J114">
        <v>0</v>
      </c>
      <c r="K114">
        <f t="shared" si="3"/>
        <v>2.189853123905035E-3</v>
      </c>
      <c r="L114">
        <f t="shared" si="4"/>
        <v>0.21898531239050351</v>
      </c>
      <c r="M114">
        <v>0.24</v>
      </c>
    </row>
    <row r="115" spans="1:13" x14ac:dyDescent="0.2">
      <c r="A115" s="1">
        <v>44054</v>
      </c>
      <c r="B115">
        <v>197.820007</v>
      </c>
      <c r="C115">
        <v>202.88999899999999</v>
      </c>
      <c r="D115">
        <v>196.33999600000001</v>
      </c>
      <c r="E115">
        <v>197.770004</v>
      </c>
      <c r="F115">
        <v>196.86874399999999</v>
      </c>
      <c r="G115">
        <v>11549600</v>
      </c>
      <c r="I115">
        <f t="shared" si="5"/>
        <v>4.9799583654775246E-3</v>
      </c>
      <c r="J115">
        <v>0</v>
      </c>
      <c r="K115">
        <f t="shared" si="3"/>
        <v>4.9799583654775246E-3</v>
      </c>
      <c r="L115">
        <f t="shared" si="4"/>
        <v>0.49799583654775248</v>
      </c>
      <c r="M115">
        <v>-0.83</v>
      </c>
    </row>
    <row r="116" spans="1:13" x14ac:dyDescent="0.2">
      <c r="A116" s="1">
        <v>44055</v>
      </c>
      <c r="B116">
        <v>199</v>
      </c>
      <c r="C116">
        <v>200.229996</v>
      </c>
      <c r="D116">
        <v>198.240005</v>
      </c>
      <c r="E116">
        <v>198.740005</v>
      </c>
      <c r="F116">
        <v>197.83433500000001</v>
      </c>
      <c r="G116">
        <v>5432500</v>
      </c>
      <c r="I116">
        <f t="shared" si="5"/>
        <v>4.9047450620196857E-3</v>
      </c>
      <c r="J116">
        <v>0</v>
      </c>
      <c r="K116">
        <f t="shared" si="3"/>
        <v>4.9047450620196857E-3</v>
      </c>
      <c r="L116">
        <f t="shared" si="4"/>
        <v>0.49047450620196859</v>
      </c>
      <c r="M116">
        <v>1.4</v>
      </c>
    </row>
    <row r="117" spans="1:13" x14ac:dyDescent="0.2">
      <c r="A117" s="1">
        <v>44056</v>
      </c>
      <c r="B117">
        <v>197.13000500000001</v>
      </c>
      <c r="C117">
        <v>199.94000199999999</v>
      </c>
      <c r="D117">
        <v>197.029999</v>
      </c>
      <c r="E117">
        <v>197.58000200000001</v>
      </c>
      <c r="F117">
        <v>196.976944</v>
      </c>
      <c r="G117">
        <v>7014800</v>
      </c>
      <c r="I117">
        <f t="shared" si="5"/>
        <v>-4.3338837012291461E-3</v>
      </c>
      <c r="J117">
        <v>0</v>
      </c>
      <c r="K117">
        <f t="shared" si="3"/>
        <v>-4.3338837012291461E-3</v>
      </c>
      <c r="L117">
        <f t="shared" si="4"/>
        <v>-0.43338837012291459</v>
      </c>
      <c r="M117">
        <v>-0.01</v>
      </c>
    </row>
    <row r="118" spans="1:13" x14ac:dyDescent="0.2">
      <c r="A118" s="1">
        <v>44057</v>
      </c>
      <c r="B118">
        <v>197.009995</v>
      </c>
      <c r="C118">
        <v>198.070007</v>
      </c>
      <c r="D118">
        <v>195.770004</v>
      </c>
      <c r="E118">
        <v>196.63999899999999</v>
      </c>
      <c r="F118">
        <v>196.03980999999999</v>
      </c>
      <c r="G118">
        <v>5014400</v>
      </c>
      <c r="I118">
        <f t="shared" si="5"/>
        <v>-4.7575821868777422E-3</v>
      </c>
      <c r="J118">
        <v>0</v>
      </c>
      <c r="K118">
        <f t="shared" si="3"/>
        <v>-4.7575821868777422E-3</v>
      </c>
      <c r="L118">
        <f t="shared" si="4"/>
        <v>-0.47575821868777424</v>
      </c>
      <c r="M118">
        <v>-0.04</v>
      </c>
    </row>
    <row r="119" spans="1:13" x14ac:dyDescent="0.2">
      <c r="A119" s="1">
        <v>44060</v>
      </c>
      <c r="B119">
        <v>197.300003</v>
      </c>
      <c r="C119">
        <v>200.46000699999999</v>
      </c>
      <c r="D119">
        <v>196.71000699999999</v>
      </c>
      <c r="E119">
        <v>199.429993</v>
      </c>
      <c r="F119">
        <v>198.82128900000001</v>
      </c>
      <c r="G119">
        <v>6256200</v>
      </c>
      <c r="I119">
        <f t="shared" si="5"/>
        <v>1.4188337562661475E-2</v>
      </c>
      <c r="J119">
        <v>0</v>
      </c>
      <c r="K119">
        <f t="shared" si="3"/>
        <v>1.4188337562661475E-2</v>
      </c>
      <c r="L119">
        <f t="shared" si="4"/>
        <v>1.4188337562661475</v>
      </c>
      <c r="M119">
        <v>0.45</v>
      </c>
    </row>
    <row r="120" spans="1:13" x14ac:dyDescent="0.2">
      <c r="A120" s="1">
        <v>44061</v>
      </c>
      <c r="B120">
        <v>199.979996</v>
      </c>
      <c r="C120">
        <v>200.10000600000001</v>
      </c>
      <c r="D120">
        <v>196.820007</v>
      </c>
      <c r="E120">
        <v>199.009995</v>
      </c>
      <c r="F120">
        <v>198.40257299999999</v>
      </c>
      <c r="G120">
        <v>6519900</v>
      </c>
      <c r="I120">
        <f t="shared" si="5"/>
        <v>-2.1059917783754919E-3</v>
      </c>
      <c r="J120">
        <v>0</v>
      </c>
      <c r="K120">
        <f t="shared" si="3"/>
        <v>-2.1059917783754919E-3</v>
      </c>
      <c r="L120">
        <f t="shared" si="4"/>
        <v>-0.2105991778375492</v>
      </c>
      <c r="M120">
        <v>0.22</v>
      </c>
    </row>
    <row r="121" spans="1:13" x14ac:dyDescent="0.2">
      <c r="A121" s="1">
        <v>44062</v>
      </c>
      <c r="B121">
        <v>198.91999799999999</v>
      </c>
      <c r="C121">
        <v>202.83999600000001</v>
      </c>
      <c r="D121">
        <v>198.89999399999999</v>
      </c>
      <c r="E121">
        <v>200.990005</v>
      </c>
      <c r="F121">
        <v>200.376541</v>
      </c>
      <c r="G121">
        <v>9467600</v>
      </c>
      <c r="I121">
        <f t="shared" si="5"/>
        <v>9.9493064538029637E-3</v>
      </c>
      <c r="J121">
        <v>0</v>
      </c>
      <c r="K121">
        <f t="shared" si="3"/>
        <v>9.9493064538029637E-3</v>
      </c>
      <c r="L121">
        <f t="shared" si="4"/>
        <v>0.99493064538029641</v>
      </c>
      <c r="M121">
        <v>-0.38</v>
      </c>
    </row>
    <row r="122" spans="1:13" x14ac:dyDescent="0.2">
      <c r="A122" s="1">
        <v>44063</v>
      </c>
      <c r="B122">
        <v>199.89999399999999</v>
      </c>
      <c r="C122">
        <v>204.44000199999999</v>
      </c>
      <c r="D122">
        <v>199.60000600000001</v>
      </c>
      <c r="E122">
        <v>204.14999399999999</v>
      </c>
      <c r="F122">
        <v>203.526871</v>
      </c>
      <c r="G122">
        <v>8849200</v>
      </c>
      <c r="I122">
        <f t="shared" si="5"/>
        <v>1.572205001782118E-2</v>
      </c>
      <c r="J122">
        <v>0</v>
      </c>
      <c r="K122">
        <f t="shared" si="3"/>
        <v>1.572205001782118E-2</v>
      </c>
      <c r="L122">
        <f t="shared" si="4"/>
        <v>1.5722050017821181</v>
      </c>
      <c r="M122">
        <v>0.31</v>
      </c>
    </row>
    <row r="123" spans="1:13" x14ac:dyDescent="0.2">
      <c r="A123" s="1">
        <v>44064</v>
      </c>
      <c r="B123">
        <v>204.5</v>
      </c>
      <c r="C123">
        <v>205.13999899999999</v>
      </c>
      <c r="D123">
        <v>203.33999600000001</v>
      </c>
      <c r="E123">
        <v>204.13000500000001</v>
      </c>
      <c r="F123">
        <v>203.50694300000001</v>
      </c>
      <c r="G123">
        <v>9998300</v>
      </c>
      <c r="I123">
        <f t="shared" si="5"/>
        <v>-9.7913361032278938E-5</v>
      </c>
      <c r="J123">
        <v>0</v>
      </c>
      <c r="K123">
        <f t="shared" si="3"/>
        <v>-9.7913361032278938E-5</v>
      </c>
      <c r="L123">
        <f t="shared" si="4"/>
        <v>-9.7913361032278944E-3</v>
      </c>
      <c r="M123">
        <v>0.25</v>
      </c>
    </row>
    <row r="124" spans="1:13" x14ac:dyDescent="0.2">
      <c r="A124" s="1">
        <v>44067</v>
      </c>
      <c r="B124">
        <v>205.009995</v>
      </c>
      <c r="C124">
        <v>206.449997</v>
      </c>
      <c r="D124">
        <v>204.66999799999999</v>
      </c>
      <c r="E124">
        <v>206.41000399999999</v>
      </c>
      <c r="F124">
        <v>205.77998400000001</v>
      </c>
      <c r="G124">
        <v>6159600</v>
      </c>
      <c r="I124">
        <f t="shared" si="5"/>
        <v>1.1169353568443148E-2</v>
      </c>
      <c r="J124">
        <v>0</v>
      </c>
      <c r="K124">
        <f t="shared" si="3"/>
        <v>1.1169353568443148E-2</v>
      </c>
      <c r="L124">
        <f t="shared" si="4"/>
        <v>1.1169353568443148</v>
      </c>
      <c r="M124">
        <v>0.92</v>
      </c>
    </row>
    <row r="125" spans="1:13" x14ac:dyDescent="0.2">
      <c r="A125" s="1">
        <v>44068</v>
      </c>
      <c r="B125">
        <v>207.19000199999999</v>
      </c>
      <c r="C125">
        <v>208.199997</v>
      </c>
      <c r="D125">
        <v>205.53999300000001</v>
      </c>
      <c r="E125">
        <v>208.10000600000001</v>
      </c>
      <c r="F125">
        <v>207.464844</v>
      </c>
      <c r="G125">
        <v>5828300</v>
      </c>
      <c r="I125">
        <f t="shared" si="5"/>
        <v>8.1876767956206385E-3</v>
      </c>
      <c r="J125">
        <v>0</v>
      </c>
      <c r="K125">
        <f t="shared" si="3"/>
        <v>8.1876767956206385E-3</v>
      </c>
      <c r="L125">
        <f t="shared" si="4"/>
        <v>0.81876767956206387</v>
      </c>
      <c r="M125">
        <v>0.36</v>
      </c>
    </row>
    <row r="126" spans="1:13" x14ac:dyDescent="0.2">
      <c r="A126" s="1">
        <v>44069</v>
      </c>
      <c r="B126">
        <v>208.10000600000001</v>
      </c>
      <c r="C126">
        <v>210.800003</v>
      </c>
      <c r="D126">
        <v>207.300003</v>
      </c>
      <c r="E126">
        <v>210.259995</v>
      </c>
      <c r="F126">
        <v>209.61823999999999</v>
      </c>
      <c r="G126">
        <v>7035200</v>
      </c>
      <c r="I126">
        <f t="shared" si="5"/>
        <v>1.0379570622577321E-2</v>
      </c>
      <c r="J126">
        <v>0</v>
      </c>
      <c r="K126">
        <f t="shared" si="3"/>
        <v>1.0379570622577321E-2</v>
      </c>
      <c r="L126">
        <f t="shared" si="4"/>
        <v>1.0379570622577321</v>
      </c>
      <c r="M126">
        <v>1</v>
      </c>
    </row>
    <row r="127" spans="1:13" x14ac:dyDescent="0.2">
      <c r="A127" s="1">
        <v>44070</v>
      </c>
      <c r="B127">
        <v>211.21000699999999</v>
      </c>
      <c r="C127">
        <v>212.179993</v>
      </c>
      <c r="D127">
        <v>209.050003</v>
      </c>
      <c r="E127">
        <v>211.029999</v>
      </c>
      <c r="F127">
        <v>210.385895</v>
      </c>
      <c r="G127">
        <v>8619600</v>
      </c>
      <c r="I127">
        <f t="shared" si="5"/>
        <v>3.6621574534736055E-3</v>
      </c>
      <c r="J127">
        <v>0</v>
      </c>
      <c r="K127">
        <f t="shared" si="3"/>
        <v>3.6621574534736055E-3</v>
      </c>
      <c r="L127">
        <f t="shared" si="4"/>
        <v>0.36621574534736057</v>
      </c>
      <c r="M127">
        <v>0.18</v>
      </c>
    </row>
    <row r="128" spans="1:13" x14ac:dyDescent="0.2">
      <c r="A128" s="1">
        <v>44071</v>
      </c>
      <c r="B128">
        <v>212</v>
      </c>
      <c r="C128">
        <v>216.16000399999999</v>
      </c>
      <c r="D128">
        <v>211.220001</v>
      </c>
      <c r="E128">
        <v>215.71000699999999</v>
      </c>
      <c r="F128">
        <v>215.051605</v>
      </c>
      <c r="G128">
        <v>7349800</v>
      </c>
      <c r="I128">
        <f t="shared" si="5"/>
        <v>2.2176914474233124E-2</v>
      </c>
      <c r="J128">
        <v>0</v>
      </c>
      <c r="K128">
        <f t="shared" si="3"/>
        <v>2.2176914474233124E-2</v>
      </c>
      <c r="L128">
        <f t="shared" si="4"/>
        <v>2.2176914474233125</v>
      </c>
      <c r="M128">
        <v>0.7</v>
      </c>
    </row>
    <row r="129" spans="1:13" x14ac:dyDescent="0.2">
      <c r="A129" s="1">
        <v>44074</v>
      </c>
      <c r="B129">
        <v>215.53999300000001</v>
      </c>
      <c r="C129">
        <v>215.96000699999999</v>
      </c>
      <c r="D129">
        <v>211.55999800000001</v>
      </c>
      <c r="E129">
        <v>211.990005</v>
      </c>
      <c r="F129">
        <v>211.34295700000001</v>
      </c>
      <c r="G129">
        <v>9326900</v>
      </c>
      <c r="I129">
        <f t="shared" si="5"/>
        <v>-1.724538628763074E-2</v>
      </c>
      <c r="J129">
        <v>0</v>
      </c>
      <c r="K129">
        <f t="shared" si="3"/>
        <v>-1.724538628763074E-2</v>
      </c>
      <c r="L129">
        <f t="shared" si="4"/>
        <v>-1.724538628763074</v>
      </c>
      <c r="M129">
        <v>-0.04</v>
      </c>
    </row>
    <row r="130" spans="1:13" x14ac:dyDescent="0.2">
      <c r="A130" s="1">
        <v>44075</v>
      </c>
      <c r="B130">
        <v>212.21000699999999</v>
      </c>
      <c r="C130">
        <v>213.88999899999999</v>
      </c>
      <c r="D130">
        <v>211.11999499999999</v>
      </c>
      <c r="E130">
        <v>213.35000600000001</v>
      </c>
      <c r="F130">
        <v>212.69880699999999</v>
      </c>
      <c r="G130">
        <v>5648800</v>
      </c>
      <c r="I130">
        <f t="shared" si="5"/>
        <v>6.4154018626699505E-3</v>
      </c>
      <c r="J130">
        <v>0</v>
      </c>
      <c r="K130">
        <f t="shared" si="3"/>
        <v>6.4154018626699505E-3</v>
      </c>
      <c r="L130">
        <f t="shared" si="4"/>
        <v>0.64154018626699505</v>
      </c>
      <c r="M130">
        <v>0.92</v>
      </c>
    </row>
    <row r="131" spans="1:13" x14ac:dyDescent="0.2">
      <c r="A131" s="1">
        <v>44076</v>
      </c>
      <c r="B131">
        <v>214.13000500000001</v>
      </c>
      <c r="C131">
        <v>217.35000600000001</v>
      </c>
      <c r="D131">
        <v>213.770004</v>
      </c>
      <c r="E131">
        <v>216.479996</v>
      </c>
      <c r="F131">
        <v>215.81926000000001</v>
      </c>
      <c r="G131">
        <v>9863800</v>
      </c>
      <c r="I131">
        <f t="shared" si="5"/>
        <v>1.4670759295796268E-2</v>
      </c>
      <c r="J131">
        <v>0</v>
      </c>
      <c r="K131">
        <f t="shared" si="3"/>
        <v>1.4670759295796268E-2</v>
      </c>
      <c r="L131">
        <f t="shared" si="4"/>
        <v>1.4670759295796267</v>
      </c>
      <c r="M131">
        <v>1.27</v>
      </c>
    </row>
    <row r="132" spans="1:13" x14ac:dyDescent="0.2">
      <c r="A132" s="1">
        <v>44077</v>
      </c>
      <c r="B132">
        <v>214.929993</v>
      </c>
      <c r="C132">
        <v>214.929993</v>
      </c>
      <c r="D132">
        <v>207.08999600000001</v>
      </c>
      <c r="E132">
        <v>208.96000699999999</v>
      </c>
      <c r="F132">
        <v>208.32221999999999</v>
      </c>
      <c r="G132">
        <v>11310200</v>
      </c>
      <c r="I132">
        <f t="shared" si="5"/>
        <v>-3.4737585514842496E-2</v>
      </c>
      <c r="J132">
        <v>0</v>
      </c>
      <c r="K132">
        <f t="shared" ref="K132:K195" si="6">I132-J132</f>
        <v>-3.4737585514842496E-2</v>
      </c>
      <c r="L132">
        <f t="shared" ref="L132:L195" si="7">100*K132</f>
        <v>-3.4737585514842495</v>
      </c>
      <c r="M132">
        <v>-3.7</v>
      </c>
    </row>
    <row r="133" spans="1:13" x14ac:dyDescent="0.2">
      <c r="A133" s="1">
        <v>44078</v>
      </c>
      <c r="B133">
        <v>208.490005</v>
      </c>
      <c r="C133">
        <v>210.5</v>
      </c>
      <c r="D133">
        <v>200.14999399999999</v>
      </c>
      <c r="E133">
        <v>204.66000399999999</v>
      </c>
      <c r="F133">
        <v>204.03533899999999</v>
      </c>
      <c r="G133">
        <v>13243600</v>
      </c>
      <c r="I133">
        <f t="shared" ref="I133:I196" si="8">(F133-F132)/F132</f>
        <v>-2.0578126519581033E-2</v>
      </c>
      <c r="J133">
        <v>0</v>
      </c>
      <c r="K133">
        <f t="shared" si="6"/>
        <v>-2.0578126519581033E-2</v>
      </c>
      <c r="L133">
        <f t="shared" si="7"/>
        <v>-2.0578126519581033</v>
      </c>
      <c r="M133">
        <v>-0.87</v>
      </c>
    </row>
    <row r="134" spans="1:13" x14ac:dyDescent="0.2">
      <c r="A134" s="1">
        <v>44082</v>
      </c>
      <c r="B134">
        <v>200.779999</v>
      </c>
      <c r="C134">
        <v>202.25</v>
      </c>
      <c r="D134">
        <v>199.21000699999999</v>
      </c>
      <c r="E134">
        <v>200.11999499999999</v>
      </c>
      <c r="F134">
        <v>199.509186</v>
      </c>
      <c r="G134">
        <v>14186900</v>
      </c>
      <c r="I134">
        <f t="shared" si="8"/>
        <v>-2.2183181708537236E-2</v>
      </c>
      <c r="J134">
        <v>0</v>
      </c>
      <c r="K134">
        <f t="shared" si="6"/>
        <v>-2.2183181708537236E-2</v>
      </c>
      <c r="L134">
        <f t="shared" si="7"/>
        <v>-2.2183181708537236</v>
      </c>
      <c r="M134">
        <v>-2.91</v>
      </c>
    </row>
    <row r="135" spans="1:13" x14ac:dyDescent="0.2">
      <c r="A135" s="1">
        <v>44083</v>
      </c>
      <c r="B135">
        <v>204.35000600000001</v>
      </c>
      <c r="C135">
        <v>206.28999300000001</v>
      </c>
      <c r="D135">
        <v>201.949997</v>
      </c>
      <c r="E135">
        <v>204.05999800000001</v>
      </c>
      <c r="F135">
        <v>203.437164</v>
      </c>
      <c r="G135">
        <v>7532600</v>
      </c>
      <c r="I135">
        <f t="shared" si="8"/>
        <v>1.9688206236278243E-2</v>
      </c>
      <c r="J135">
        <v>0</v>
      </c>
      <c r="K135">
        <f t="shared" si="6"/>
        <v>1.9688206236278243E-2</v>
      </c>
      <c r="L135">
        <f t="shared" si="7"/>
        <v>1.9688206236278243</v>
      </c>
      <c r="M135">
        <v>2.0699999999999998</v>
      </c>
    </row>
    <row r="136" spans="1:13" x14ac:dyDescent="0.2">
      <c r="A136" s="1">
        <v>44084</v>
      </c>
      <c r="B136">
        <v>204.86000100000001</v>
      </c>
      <c r="C136">
        <v>207</v>
      </c>
      <c r="D136">
        <v>200.449997</v>
      </c>
      <c r="E136">
        <v>201.53999300000001</v>
      </c>
      <c r="F136">
        <v>200.92484999999999</v>
      </c>
      <c r="G136">
        <v>7243000</v>
      </c>
      <c r="I136">
        <f t="shared" si="8"/>
        <v>-1.2349336525355827E-2</v>
      </c>
      <c r="J136">
        <v>0</v>
      </c>
      <c r="K136">
        <f t="shared" si="6"/>
        <v>-1.2349336525355827E-2</v>
      </c>
      <c r="L136">
        <f t="shared" si="7"/>
        <v>-1.2349336525355827</v>
      </c>
      <c r="M136">
        <v>-1.64</v>
      </c>
    </row>
    <row r="137" spans="1:13" x14ac:dyDescent="0.2">
      <c r="A137" s="1">
        <v>44085</v>
      </c>
      <c r="B137">
        <v>201.58000200000001</v>
      </c>
      <c r="C137">
        <v>202.41000399999999</v>
      </c>
      <c r="D137">
        <v>198.91000399999999</v>
      </c>
      <c r="E137">
        <v>200.679993</v>
      </c>
      <c r="F137">
        <v>200.06745900000001</v>
      </c>
      <c r="G137">
        <v>7439000</v>
      </c>
      <c r="I137">
        <f t="shared" si="8"/>
        <v>-4.267222297291642E-3</v>
      </c>
      <c r="J137">
        <v>0</v>
      </c>
      <c r="K137">
        <f t="shared" si="6"/>
        <v>-4.267222297291642E-3</v>
      </c>
      <c r="L137">
        <f t="shared" si="7"/>
        <v>-0.42672222972916418</v>
      </c>
      <c r="M137">
        <v>-0.06</v>
      </c>
    </row>
    <row r="138" spans="1:13" x14ac:dyDescent="0.2">
      <c r="A138" s="1">
        <v>44088</v>
      </c>
      <c r="B138">
        <v>203.35000600000001</v>
      </c>
      <c r="C138">
        <v>206.41000399999999</v>
      </c>
      <c r="D138">
        <v>203.13999899999999</v>
      </c>
      <c r="E138">
        <v>204.979996</v>
      </c>
      <c r="F138">
        <v>204.35434000000001</v>
      </c>
      <c r="G138">
        <v>11730500</v>
      </c>
      <c r="I138">
        <f t="shared" si="8"/>
        <v>2.1427177720090871E-2</v>
      </c>
      <c r="J138">
        <v>0</v>
      </c>
      <c r="K138">
        <f t="shared" si="6"/>
        <v>2.1427177720090871E-2</v>
      </c>
      <c r="L138">
        <f t="shared" si="7"/>
        <v>2.1427177720090871</v>
      </c>
      <c r="M138">
        <v>1.59</v>
      </c>
    </row>
    <row r="139" spans="1:13" x14ac:dyDescent="0.2">
      <c r="A139" s="1">
        <v>44089</v>
      </c>
      <c r="B139">
        <v>206.75</v>
      </c>
      <c r="C139">
        <v>208.21000699999999</v>
      </c>
      <c r="D139">
        <v>204.770004</v>
      </c>
      <c r="E139">
        <v>205.38999899999999</v>
      </c>
      <c r="F139">
        <v>204.76310699999999</v>
      </c>
      <c r="G139">
        <v>6328600</v>
      </c>
      <c r="I139">
        <f t="shared" si="8"/>
        <v>2.0002853866474437E-3</v>
      </c>
      <c r="J139">
        <v>0</v>
      </c>
      <c r="K139">
        <f t="shared" si="6"/>
        <v>2.0002853866474437E-3</v>
      </c>
      <c r="L139">
        <f t="shared" si="7"/>
        <v>0.20002853866474438</v>
      </c>
      <c r="M139">
        <v>0.56999999999999995</v>
      </c>
    </row>
    <row r="140" spans="1:13" x14ac:dyDescent="0.2">
      <c r="A140" s="1">
        <v>44090</v>
      </c>
      <c r="B140">
        <v>206.740005</v>
      </c>
      <c r="C140">
        <v>207.75</v>
      </c>
      <c r="D140">
        <v>204.949997</v>
      </c>
      <c r="E140">
        <v>205.13000500000001</v>
      </c>
      <c r="F140">
        <v>204.503906</v>
      </c>
      <c r="G140">
        <v>6135000</v>
      </c>
      <c r="I140">
        <f t="shared" si="8"/>
        <v>-1.2658579164848787E-3</v>
      </c>
      <c r="J140">
        <v>0</v>
      </c>
      <c r="K140">
        <f t="shared" si="6"/>
        <v>-1.2658579164848787E-3</v>
      </c>
      <c r="L140">
        <f t="shared" si="7"/>
        <v>-0.12658579164848788</v>
      </c>
      <c r="M140">
        <v>-0.39</v>
      </c>
    </row>
    <row r="141" spans="1:13" x14ac:dyDescent="0.2">
      <c r="A141" s="1">
        <v>44091</v>
      </c>
      <c r="B141">
        <v>202.85000600000001</v>
      </c>
      <c r="C141">
        <v>205.58000200000001</v>
      </c>
      <c r="D141">
        <v>202</v>
      </c>
      <c r="E141">
        <v>205.270004</v>
      </c>
      <c r="F141">
        <v>204.64347799999999</v>
      </c>
      <c r="G141">
        <v>7474900</v>
      </c>
      <c r="I141">
        <f t="shared" si="8"/>
        <v>6.8249063174366422E-4</v>
      </c>
      <c r="J141">
        <v>0</v>
      </c>
      <c r="K141">
        <f t="shared" si="6"/>
        <v>6.8249063174366422E-4</v>
      </c>
      <c r="L141">
        <f t="shared" si="7"/>
        <v>6.8249063174366423E-2</v>
      </c>
      <c r="M141">
        <v>-0.85</v>
      </c>
    </row>
    <row r="142" spans="1:13" x14ac:dyDescent="0.2">
      <c r="A142" s="1">
        <v>44092</v>
      </c>
      <c r="B142">
        <v>205.470001</v>
      </c>
      <c r="C142">
        <v>205.720001</v>
      </c>
      <c r="D142">
        <v>201.720001</v>
      </c>
      <c r="E142">
        <v>202.61000100000001</v>
      </c>
      <c r="F142">
        <v>201.991592</v>
      </c>
      <c r="G142">
        <v>9084100</v>
      </c>
      <c r="I142">
        <f t="shared" si="8"/>
        <v>-1.2958565921167498E-2</v>
      </c>
      <c r="J142">
        <v>0</v>
      </c>
      <c r="K142">
        <f t="shared" si="6"/>
        <v>-1.2958565921167498E-2</v>
      </c>
      <c r="L142">
        <f t="shared" si="7"/>
        <v>-1.2958565921167498</v>
      </c>
      <c r="M142">
        <v>-0.88</v>
      </c>
    </row>
    <row r="143" spans="1:13" x14ac:dyDescent="0.2">
      <c r="A143" s="1">
        <v>44095</v>
      </c>
      <c r="B143">
        <v>199.91000399999999</v>
      </c>
      <c r="C143">
        <v>201.25</v>
      </c>
      <c r="D143">
        <v>194.699997</v>
      </c>
      <c r="E143">
        <v>197.449997</v>
      </c>
      <c r="F143">
        <v>196.84733600000001</v>
      </c>
      <c r="G143">
        <v>9656000</v>
      </c>
      <c r="I143">
        <f t="shared" si="8"/>
        <v>-2.5467673921793658E-2</v>
      </c>
      <c r="J143">
        <v>0</v>
      </c>
      <c r="K143">
        <f t="shared" si="6"/>
        <v>-2.5467673921793658E-2</v>
      </c>
      <c r="L143">
        <f t="shared" si="7"/>
        <v>-2.5467673921793659</v>
      </c>
      <c r="M143">
        <v>-1.08</v>
      </c>
    </row>
    <row r="144" spans="1:13" x14ac:dyDescent="0.2">
      <c r="A144" s="1">
        <v>44096</v>
      </c>
      <c r="B144">
        <v>198.08999600000001</v>
      </c>
      <c r="C144">
        <v>200.71000699999999</v>
      </c>
      <c r="D144">
        <v>196.800003</v>
      </c>
      <c r="E144">
        <v>200.55999800000001</v>
      </c>
      <c r="F144">
        <v>199.947845</v>
      </c>
      <c r="G144">
        <v>7543100</v>
      </c>
      <c r="I144">
        <f t="shared" si="8"/>
        <v>1.5750830379538325E-2</v>
      </c>
      <c r="J144">
        <v>0</v>
      </c>
      <c r="K144">
        <f t="shared" si="6"/>
        <v>1.5750830379538325E-2</v>
      </c>
      <c r="L144">
        <f t="shared" si="7"/>
        <v>1.5750830379538325</v>
      </c>
      <c r="M144">
        <v>1.02</v>
      </c>
    </row>
    <row r="145" spans="1:13" x14ac:dyDescent="0.2">
      <c r="A145" s="1">
        <v>44097</v>
      </c>
      <c r="B145">
        <v>200.800003</v>
      </c>
      <c r="C145">
        <v>201.08999600000001</v>
      </c>
      <c r="D145">
        <v>194.570007</v>
      </c>
      <c r="E145">
        <v>195.36999499999999</v>
      </c>
      <c r="F145">
        <v>194.77368200000001</v>
      </c>
      <c r="G145">
        <v>6310600</v>
      </c>
      <c r="I145">
        <f t="shared" si="8"/>
        <v>-2.5877563221549063E-2</v>
      </c>
      <c r="J145">
        <v>0</v>
      </c>
      <c r="K145">
        <f t="shared" si="6"/>
        <v>-2.5877563221549063E-2</v>
      </c>
      <c r="L145">
        <f t="shared" si="7"/>
        <v>-2.5877563221549065</v>
      </c>
      <c r="M145">
        <v>-2.48</v>
      </c>
    </row>
    <row r="146" spans="1:13" x14ac:dyDescent="0.2">
      <c r="A146" s="1">
        <v>44098</v>
      </c>
      <c r="B146">
        <v>195.14999399999999</v>
      </c>
      <c r="C146">
        <v>197.66999799999999</v>
      </c>
      <c r="D146">
        <v>193.13000500000001</v>
      </c>
      <c r="E146">
        <v>195.520004</v>
      </c>
      <c r="F146">
        <v>194.92323300000001</v>
      </c>
      <c r="G146">
        <v>9865300</v>
      </c>
      <c r="I146">
        <f t="shared" si="8"/>
        <v>7.678193401919795E-4</v>
      </c>
      <c r="J146">
        <v>0</v>
      </c>
      <c r="K146">
        <f t="shared" si="6"/>
        <v>7.678193401919795E-4</v>
      </c>
      <c r="L146">
        <f t="shared" si="7"/>
        <v>7.6781934019197945E-2</v>
      </c>
      <c r="M146">
        <v>0.25</v>
      </c>
    </row>
    <row r="147" spans="1:13" x14ac:dyDescent="0.2">
      <c r="A147" s="1">
        <v>44099</v>
      </c>
      <c r="B147">
        <v>195.020004</v>
      </c>
      <c r="C147">
        <v>198.13999899999999</v>
      </c>
      <c r="D147">
        <v>193.509995</v>
      </c>
      <c r="E147">
        <v>197.25</v>
      </c>
      <c r="F147">
        <v>196.64794900000001</v>
      </c>
      <c r="G147">
        <v>5496100</v>
      </c>
      <c r="I147">
        <f t="shared" si="8"/>
        <v>8.8481807604740507E-3</v>
      </c>
      <c r="J147">
        <v>0</v>
      </c>
      <c r="K147">
        <f t="shared" si="6"/>
        <v>8.8481807604740507E-3</v>
      </c>
      <c r="L147">
        <f t="shared" si="7"/>
        <v>0.88481807604740503</v>
      </c>
      <c r="M147">
        <v>1.72</v>
      </c>
    </row>
    <row r="148" spans="1:13" x14ac:dyDescent="0.2">
      <c r="A148" s="1">
        <v>44102</v>
      </c>
      <c r="B148">
        <v>200.63000500000001</v>
      </c>
      <c r="C148">
        <v>201.720001</v>
      </c>
      <c r="D148">
        <v>199.83000200000001</v>
      </c>
      <c r="E148">
        <v>200.320007</v>
      </c>
      <c r="F148">
        <v>199.70858799999999</v>
      </c>
      <c r="G148">
        <v>5565300</v>
      </c>
      <c r="I148">
        <f t="shared" si="8"/>
        <v>1.5564052488541237E-2</v>
      </c>
      <c r="J148">
        <v>0</v>
      </c>
      <c r="K148">
        <f t="shared" si="6"/>
        <v>1.5564052488541237E-2</v>
      </c>
      <c r="L148">
        <f t="shared" si="7"/>
        <v>1.5564052488541238</v>
      </c>
      <c r="M148">
        <v>1.66</v>
      </c>
    </row>
    <row r="149" spans="1:13" x14ac:dyDescent="0.2">
      <c r="A149" s="1">
        <v>44103</v>
      </c>
      <c r="B149">
        <v>200.58000200000001</v>
      </c>
      <c r="C149">
        <v>202.38000500000001</v>
      </c>
      <c r="D149">
        <v>199.36999499999999</v>
      </c>
      <c r="E149">
        <v>199.44000199999999</v>
      </c>
      <c r="F149">
        <v>198.83126799999999</v>
      </c>
      <c r="G149">
        <v>5513500</v>
      </c>
      <c r="I149">
        <f t="shared" si="8"/>
        <v>-4.3930008658415705E-3</v>
      </c>
      <c r="J149">
        <v>0</v>
      </c>
      <c r="K149">
        <f t="shared" si="6"/>
        <v>-4.3930008658415705E-3</v>
      </c>
      <c r="L149">
        <f t="shared" si="7"/>
        <v>-0.43930008658415703</v>
      </c>
      <c r="M149">
        <v>-0.42</v>
      </c>
    </row>
    <row r="150" spans="1:13" x14ac:dyDescent="0.2">
      <c r="A150" s="1">
        <v>44104</v>
      </c>
      <c r="B150">
        <v>200.85000600000001</v>
      </c>
      <c r="C150">
        <v>202.53999300000001</v>
      </c>
      <c r="D150">
        <v>198.88999899999999</v>
      </c>
      <c r="E150">
        <v>199.970001</v>
      </c>
      <c r="F150">
        <v>199.359634</v>
      </c>
      <c r="G150">
        <v>9157600</v>
      </c>
      <c r="I150">
        <f t="shared" si="8"/>
        <v>2.6573587007452243E-3</v>
      </c>
      <c r="J150">
        <v>0</v>
      </c>
      <c r="K150">
        <f t="shared" si="6"/>
        <v>2.6573587007452243E-3</v>
      </c>
      <c r="L150">
        <f t="shared" si="7"/>
        <v>0.26573587007452243</v>
      </c>
      <c r="M150">
        <v>0.79</v>
      </c>
    </row>
    <row r="151" spans="1:13" x14ac:dyDescent="0.2">
      <c r="A151" s="1">
        <v>44105</v>
      </c>
      <c r="B151">
        <v>202.21000699999999</v>
      </c>
      <c r="C151">
        <v>205.199997</v>
      </c>
      <c r="D151">
        <v>201.63999899999999</v>
      </c>
      <c r="E151">
        <v>203.35000600000001</v>
      </c>
      <c r="F151">
        <v>202.72934000000001</v>
      </c>
      <c r="G151">
        <v>7234600</v>
      </c>
      <c r="I151">
        <f t="shared" si="8"/>
        <v>1.6902649409960332E-2</v>
      </c>
      <c r="J151">
        <v>0</v>
      </c>
      <c r="K151">
        <f t="shared" si="6"/>
        <v>1.6902649409960332E-2</v>
      </c>
      <c r="L151">
        <f t="shared" si="7"/>
        <v>1.6902649409960331</v>
      </c>
      <c r="M151">
        <v>0.79</v>
      </c>
    </row>
    <row r="152" spans="1:13" x14ac:dyDescent="0.2">
      <c r="A152" s="1">
        <v>44106</v>
      </c>
      <c r="B152">
        <v>200</v>
      </c>
      <c r="C152">
        <v>202.83000200000001</v>
      </c>
      <c r="D152">
        <v>199.39999399999999</v>
      </c>
      <c r="E152">
        <v>201.46000699999999</v>
      </c>
      <c r="F152">
        <v>200.84510800000001</v>
      </c>
      <c r="G152">
        <v>6019700</v>
      </c>
      <c r="I152">
        <f t="shared" si="8"/>
        <v>-9.2943231601306311E-3</v>
      </c>
      <c r="J152">
        <v>0</v>
      </c>
      <c r="K152">
        <f t="shared" si="6"/>
        <v>-9.2943231601306311E-3</v>
      </c>
      <c r="L152">
        <f t="shared" si="7"/>
        <v>-0.92943231601306309</v>
      </c>
      <c r="M152">
        <v>-0.96</v>
      </c>
    </row>
    <row r="153" spans="1:13" x14ac:dyDescent="0.2">
      <c r="A153" s="1">
        <v>44109</v>
      </c>
      <c r="B153">
        <v>202.71000699999999</v>
      </c>
      <c r="C153">
        <v>203.64999399999999</v>
      </c>
      <c r="D153">
        <v>201.050003</v>
      </c>
      <c r="E153">
        <v>203.53999300000001</v>
      </c>
      <c r="F153">
        <v>202.91873200000001</v>
      </c>
      <c r="G153">
        <v>6090500</v>
      </c>
      <c r="I153">
        <f t="shared" si="8"/>
        <v>1.0324493439989563E-2</v>
      </c>
      <c r="J153">
        <v>0</v>
      </c>
      <c r="K153">
        <f t="shared" si="6"/>
        <v>1.0324493439989563E-2</v>
      </c>
      <c r="L153">
        <f t="shared" si="7"/>
        <v>1.0324493439989562</v>
      </c>
      <c r="M153">
        <v>1.93</v>
      </c>
    </row>
    <row r="154" spans="1:13" x14ac:dyDescent="0.2">
      <c r="A154" s="1">
        <v>44110</v>
      </c>
      <c r="B154">
        <v>204.11000100000001</v>
      </c>
      <c r="C154">
        <v>205.10000600000001</v>
      </c>
      <c r="D154">
        <v>199.71000699999999</v>
      </c>
      <c r="E154">
        <v>200.449997</v>
      </c>
      <c r="F154">
        <v>199.83818099999999</v>
      </c>
      <c r="G154">
        <v>5841100</v>
      </c>
      <c r="I154">
        <f t="shared" si="8"/>
        <v>-1.5181205646406336E-2</v>
      </c>
      <c r="J154">
        <v>0</v>
      </c>
      <c r="K154">
        <f t="shared" si="6"/>
        <v>-1.5181205646406336E-2</v>
      </c>
      <c r="L154">
        <f t="shared" si="7"/>
        <v>-1.5181205646406337</v>
      </c>
      <c r="M154">
        <v>-1.28</v>
      </c>
    </row>
    <row r="155" spans="1:13" x14ac:dyDescent="0.2">
      <c r="A155" s="1">
        <v>44111</v>
      </c>
      <c r="B155">
        <v>202</v>
      </c>
      <c r="C155">
        <v>202.78999300000001</v>
      </c>
      <c r="D155">
        <v>199.990005</v>
      </c>
      <c r="E155">
        <v>202.470001</v>
      </c>
      <c r="F155">
        <v>201.85202000000001</v>
      </c>
      <c r="G155">
        <v>6713400</v>
      </c>
      <c r="I155">
        <f t="shared" si="8"/>
        <v>1.0077348532310843E-2</v>
      </c>
      <c r="J155">
        <v>0</v>
      </c>
      <c r="K155">
        <f t="shared" si="6"/>
        <v>1.0077348532310843E-2</v>
      </c>
      <c r="L155">
        <f t="shared" si="7"/>
        <v>1.0077348532310844</v>
      </c>
      <c r="M155">
        <v>1.84</v>
      </c>
    </row>
    <row r="156" spans="1:13" x14ac:dyDescent="0.2">
      <c r="A156" s="1">
        <v>44112</v>
      </c>
      <c r="B156">
        <v>204</v>
      </c>
      <c r="C156">
        <v>204.300003</v>
      </c>
      <c r="D156">
        <v>202.229996</v>
      </c>
      <c r="E156">
        <v>202.979996</v>
      </c>
      <c r="F156">
        <v>202.36045799999999</v>
      </c>
      <c r="G156">
        <v>3955600</v>
      </c>
      <c r="I156">
        <f t="shared" si="8"/>
        <v>2.5188650576793035E-3</v>
      </c>
      <c r="J156">
        <v>0</v>
      </c>
      <c r="K156">
        <f t="shared" si="6"/>
        <v>2.5188650576793035E-3</v>
      </c>
      <c r="L156">
        <f t="shared" si="7"/>
        <v>0.25188650576793037</v>
      </c>
      <c r="M156">
        <v>0.8</v>
      </c>
    </row>
    <row r="157" spans="1:13" x14ac:dyDescent="0.2">
      <c r="A157" s="1">
        <v>44113</v>
      </c>
      <c r="B157">
        <v>204</v>
      </c>
      <c r="C157">
        <v>207.08000200000001</v>
      </c>
      <c r="D157">
        <v>203.679993</v>
      </c>
      <c r="E157">
        <v>206.63999899999999</v>
      </c>
      <c r="F157">
        <v>206.00929300000001</v>
      </c>
      <c r="G157">
        <v>5562900</v>
      </c>
      <c r="I157">
        <f t="shared" si="8"/>
        <v>1.8031363617491022E-2</v>
      </c>
      <c r="J157">
        <v>0</v>
      </c>
      <c r="K157">
        <f t="shared" si="6"/>
        <v>1.8031363617491022E-2</v>
      </c>
      <c r="L157">
        <f t="shared" si="7"/>
        <v>1.8031363617491021</v>
      </c>
      <c r="M157">
        <v>0.93</v>
      </c>
    </row>
    <row r="158" spans="1:13" x14ac:dyDescent="0.2">
      <c r="A158" s="1">
        <v>44116</v>
      </c>
      <c r="B158">
        <v>206.94000199999999</v>
      </c>
      <c r="C158">
        <v>207.970001</v>
      </c>
      <c r="D158">
        <v>205.729996</v>
      </c>
      <c r="E158">
        <v>206.39999399999999</v>
      </c>
      <c r="F158">
        <v>205.770004</v>
      </c>
      <c r="G158">
        <v>6622700</v>
      </c>
      <c r="I158">
        <f t="shared" si="8"/>
        <v>-1.1615446881807104E-3</v>
      </c>
      <c r="J158">
        <v>0</v>
      </c>
      <c r="K158">
        <f t="shared" si="6"/>
        <v>-1.1615446881807104E-3</v>
      </c>
      <c r="L158">
        <f t="shared" si="7"/>
        <v>-0.11615446881807104</v>
      </c>
      <c r="M158">
        <v>1.53</v>
      </c>
    </row>
    <row r="159" spans="1:13" x14ac:dyDescent="0.2">
      <c r="A159" s="1">
        <v>44117</v>
      </c>
      <c r="B159">
        <v>203.38000500000001</v>
      </c>
      <c r="C159">
        <v>205.21000699999999</v>
      </c>
      <c r="D159">
        <v>203.029999</v>
      </c>
      <c r="E159">
        <v>204.320007</v>
      </c>
      <c r="F159">
        <v>203.696381</v>
      </c>
      <c r="G159">
        <v>5621700</v>
      </c>
      <c r="I159">
        <f t="shared" si="8"/>
        <v>-1.0077382318561834E-2</v>
      </c>
      <c r="J159">
        <v>0</v>
      </c>
      <c r="K159">
        <f t="shared" si="6"/>
        <v>-1.0077382318561834E-2</v>
      </c>
      <c r="L159">
        <f t="shared" si="7"/>
        <v>-1.0077382318561834</v>
      </c>
      <c r="M159">
        <v>-0.41</v>
      </c>
    </row>
    <row r="160" spans="1:13" x14ac:dyDescent="0.2">
      <c r="A160" s="1">
        <v>44118</v>
      </c>
      <c r="B160">
        <v>204.71000699999999</v>
      </c>
      <c r="C160">
        <v>204.970001</v>
      </c>
      <c r="D160">
        <v>201.13000500000001</v>
      </c>
      <c r="E160">
        <v>202.199997</v>
      </c>
      <c r="F160">
        <v>201.58284</v>
      </c>
      <c r="G160">
        <v>5321900</v>
      </c>
      <c r="I160">
        <f t="shared" si="8"/>
        <v>-1.0375937901420045E-2</v>
      </c>
      <c r="J160">
        <v>0</v>
      </c>
      <c r="K160">
        <f t="shared" si="6"/>
        <v>-1.0375937901420045E-2</v>
      </c>
      <c r="L160">
        <f t="shared" si="7"/>
        <v>-1.0375937901420045</v>
      </c>
      <c r="M160">
        <v>-0.65</v>
      </c>
    </row>
    <row r="161" spans="1:13" x14ac:dyDescent="0.2">
      <c r="A161" s="1">
        <v>44119</v>
      </c>
      <c r="B161">
        <v>201.009995</v>
      </c>
      <c r="C161">
        <v>204.699997</v>
      </c>
      <c r="D161">
        <v>197.60000600000001</v>
      </c>
      <c r="E161">
        <v>199.550003</v>
      </c>
      <c r="F161">
        <v>198.940933</v>
      </c>
      <c r="G161">
        <v>8885500</v>
      </c>
      <c r="I161">
        <f t="shared" si="8"/>
        <v>-1.3105812974953638E-2</v>
      </c>
      <c r="J161">
        <v>0</v>
      </c>
      <c r="K161">
        <f t="shared" si="6"/>
        <v>-1.3105812974953638E-2</v>
      </c>
      <c r="L161">
        <f t="shared" si="7"/>
        <v>-1.3105812974953639</v>
      </c>
      <c r="M161">
        <v>-0.08</v>
      </c>
    </row>
    <row r="162" spans="1:13" x14ac:dyDescent="0.2">
      <c r="A162" s="1">
        <v>44120</v>
      </c>
      <c r="B162">
        <v>199.990005</v>
      </c>
      <c r="C162">
        <v>202.64999399999999</v>
      </c>
      <c r="D162">
        <v>199.41000399999999</v>
      </c>
      <c r="E162">
        <v>200.259995</v>
      </c>
      <c r="F162">
        <v>199.64875799999999</v>
      </c>
      <c r="G162">
        <v>6385900</v>
      </c>
      <c r="I162">
        <f t="shared" si="8"/>
        <v>3.5579656198756518E-3</v>
      </c>
      <c r="J162">
        <v>0</v>
      </c>
      <c r="K162">
        <f t="shared" si="6"/>
        <v>3.5579656198756518E-3</v>
      </c>
      <c r="L162">
        <f t="shared" si="7"/>
        <v>0.35579656198756521</v>
      </c>
      <c r="M162">
        <v>-0.06</v>
      </c>
    </row>
    <row r="163" spans="1:13" x14ac:dyDescent="0.2">
      <c r="A163" s="1">
        <v>44123</v>
      </c>
      <c r="B163">
        <v>200.85000600000001</v>
      </c>
      <c r="C163">
        <v>201.070007</v>
      </c>
      <c r="D163">
        <v>196.5</v>
      </c>
      <c r="E163">
        <v>196.970001</v>
      </c>
      <c r="F163">
        <v>196.36880500000001</v>
      </c>
      <c r="G163">
        <v>7449600</v>
      </c>
      <c r="I163">
        <f t="shared" si="8"/>
        <v>-1.642861710163996E-2</v>
      </c>
      <c r="J163">
        <v>0</v>
      </c>
      <c r="K163">
        <f t="shared" si="6"/>
        <v>-1.642861710163996E-2</v>
      </c>
      <c r="L163">
        <f t="shared" si="7"/>
        <v>-1.642861710163996</v>
      </c>
      <c r="M163">
        <v>-1.53</v>
      </c>
    </row>
    <row r="164" spans="1:13" x14ac:dyDescent="0.2">
      <c r="A164" s="1">
        <v>44124</v>
      </c>
      <c r="B164">
        <v>197.550003</v>
      </c>
      <c r="C164">
        <v>199.66000399999999</v>
      </c>
      <c r="D164">
        <v>196.71000699999999</v>
      </c>
      <c r="E164">
        <v>197.699997</v>
      </c>
      <c r="F164">
        <v>197.09657300000001</v>
      </c>
      <c r="G164">
        <v>7427000</v>
      </c>
      <c r="I164">
        <f t="shared" si="8"/>
        <v>3.706128374107066E-3</v>
      </c>
      <c r="J164">
        <v>0</v>
      </c>
      <c r="K164">
        <f t="shared" si="6"/>
        <v>3.706128374107066E-3</v>
      </c>
      <c r="L164">
        <f t="shared" si="7"/>
        <v>0.37061283741070661</v>
      </c>
      <c r="M164">
        <v>0.34</v>
      </c>
    </row>
    <row r="165" spans="1:13" x14ac:dyDescent="0.2">
      <c r="A165" s="1">
        <v>44125</v>
      </c>
      <c r="B165">
        <v>197.83000200000001</v>
      </c>
      <c r="C165">
        <v>200.41999799999999</v>
      </c>
      <c r="D165">
        <v>197.83000200000001</v>
      </c>
      <c r="E165">
        <v>198.429993</v>
      </c>
      <c r="F165">
        <v>197.824341</v>
      </c>
      <c r="G165">
        <v>6067200</v>
      </c>
      <c r="I165">
        <f t="shared" si="8"/>
        <v>3.6924437037268907E-3</v>
      </c>
      <c r="J165">
        <v>0</v>
      </c>
      <c r="K165">
        <f t="shared" si="6"/>
        <v>3.6924437037268907E-3</v>
      </c>
      <c r="L165">
        <f t="shared" si="7"/>
        <v>0.36924437037268909</v>
      </c>
      <c r="M165">
        <v>-0.36</v>
      </c>
    </row>
    <row r="166" spans="1:13" x14ac:dyDescent="0.2">
      <c r="A166" s="1">
        <v>44126</v>
      </c>
      <c r="B166">
        <v>199.33999600000001</v>
      </c>
      <c r="C166">
        <v>199.770004</v>
      </c>
      <c r="D166">
        <v>195.759995</v>
      </c>
      <c r="E166">
        <v>197.990005</v>
      </c>
      <c r="F166">
        <v>197.385696</v>
      </c>
      <c r="G166">
        <v>4908200</v>
      </c>
      <c r="I166">
        <f t="shared" si="8"/>
        <v>-2.2173459432881827E-3</v>
      </c>
      <c r="J166">
        <v>0</v>
      </c>
      <c r="K166">
        <f t="shared" si="6"/>
        <v>-2.2173459432881827E-3</v>
      </c>
      <c r="L166">
        <f t="shared" si="7"/>
        <v>-0.22173459432881826</v>
      </c>
      <c r="M166">
        <v>0.67</v>
      </c>
    </row>
    <row r="167" spans="1:13" x14ac:dyDescent="0.2">
      <c r="A167" s="1">
        <v>44127</v>
      </c>
      <c r="B167">
        <v>199.75</v>
      </c>
      <c r="C167">
        <v>199.88000500000001</v>
      </c>
      <c r="D167">
        <v>196.020004</v>
      </c>
      <c r="E167">
        <v>198.009995</v>
      </c>
      <c r="F167">
        <v>197.40562399999999</v>
      </c>
      <c r="G167">
        <v>5877200</v>
      </c>
      <c r="I167">
        <f t="shared" si="8"/>
        <v>1.0095969669450143E-4</v>
      </c>
      <c r="J167">
        <v>0</v>
      </c>
      <c r="K167">
        <f t="shared" si="6"/>
        <v>1.0095969669450143E-4</v>
      </c>
      <c r="L167">
        <f t="shared" si="7"/>
        <v>1.0095969669450143E-2</v>
      </c>
      <c r="M167">
        <v>0.38</v>
      </c>
    </row>
    <row r="168" spans="1:13" x14ac:dyDescent="0.2">
      <c r="A168" s="1">
        <v>44130</v>
      </c>
      <c r="B168">
        <v>196</v>
      </c>
      <c r="C168">
        <v>196.41999799999999</v>
      </c>
      <c r="D168">
        <v>190.720001</v>
      </c>
      <c r="E168">
        <v>193.070007</v>
      </c>
      <c r="F168">
        <v>192.48071300000001</v>
      </c>
      <c r="G168">
        <v>12608700</v>
      </c>
      <c r="I168">
        <f t="shared" si="8"/>
        <v>-2.4948179794512748E-2</v>
      </c>
      <c r="J168">
        <v>0</v>
      </c>
      <c r="K168">
        <f t="shared" si="6"/>
        <v>-2.4948179794512748E-2</v>
      </c>
      <c r="L168">
        <f t="shared" si="7"/>
        <v>-2.494817979451275</v>
      </c>
      <c r="M168">
        <v>-1.85</v>
      </c>
    </row>
    <row r="169" spans="1:13" x14ac:dyDescent="0.2">
      <c r="A169" s="1">
        <v>44131</v>
      </c>
      <c r="B169">
        <v>193</v>
      </c>
      <c r="C169">
        <v>193.699997</v>
      </c>
      <c r="D169">
        <v>189.220001</v>
      </c>
      <c r="E169">
        <v>190.05999800000001</v>
      </c>
      <c r="F169">
        <v>189.479904</v>
      </c>
      <c r="G169">
        <v>8690400</v>
      </c>
      <c r="I169">
        <f t="shared" si="8"/>
        <v>-1.5590180196391955E-2</v>
      </c>
      <c r="J169">
        <v>0</v>
      </c>
      <c r="K169">
        <f t="shared" si="6"/>
        <v>-1.5590180196391955E-2</v>
      </c>
      <c r="L169">
        <f t="shared" si="7"/>
        <v>-1.5590180196391956</v>
      </c>
      <c r="M169">
        <v>-0.23</v>
      </c>
    </row>
    <row r="170" spans="1:13" x14ac:dyDescent="0.2">
      <c r="A170" s="1">
        <v>44132</v>
      </c>
      <c r="B170">
        <v>183.979996</v>
      </c>
      <c r="C170">
        <v>184.699997</v>
      </c>
      <c r="D170">
        <v>179.33999600000001</v>
      </c>
      <c r="E170">
        <v>180.86999499999999</v>
      </c>
      <c r="F170">
        <v>180.317947</v>
      </c>
      <c r="G170">
        <v>17809500</v>
      </c>
      <c r="I170">
        <f t="shared" si="8"/>
        <v>-4.8353185781643632E-2</v>
      </c>
      <c r="J170">
        <v>0</v>
      </c>
      <c r="K170">
        <f t="shared" si="6"/>
        <v>-4.8353185781643632E-2</v>
      </c>
      <c r="L170">
        <f t="shared" si="7"/>
        <v>-4.8353185781643635</v>
      </c>
      <c r="M170">
        <v>-3.41</v>
      </c>
    </row>
    <row r="171" spans="1:13" x14ac:dyDescent="0.2">
      <c r="A171" s="1">
        <v>44133</v>
      </c>
      <c r="B171">
        <v>183</v>
      </c>
      <c r="C171">
        <v>187</v>
      </c>
      <c r="D171">
        <v>179.33999600000001</v>
      </c>
      <c r="E171">
        <v>184.86999499999999</v>
      </c>
      <c r="F171">
        <v>184.305725</v>
      </c>
      <c r="G171">
        <v>16820900</v>
      </c>
      <c r="I171">
        <f t="shared" si="8"/>
        <v>2.2115258444019393E-2</v>
      </c>
      <c r="J171">
        <v>0</v>
      </c>
      <c r="K171">
        <f t="shared" si="6"/>
        <v>2.2115258444019393E-2</v>
      </c>
      <c r="L171">
        <f t="shared" si="7"/>
        <v>2.2115258444019394</v>
      </c>
      <c r="M171">
        <v>1.1299999999999999</v>
      </c>
    </row>
    <row r="172" spans="1:13" x14ac:dyDescent="0.2">
      <c r="A172" s="1">
        <v>44134</v>
      </c>
      <c r="B172">
        <v>182.66000399999999</v>
      </c>
      <c r="C172">
        <v>184.220001</v>
      </c>
      <c r="D172">
        <v>179.229996</v>
      </c>
      <c r="E172">
        <v>181.71000699999999</v>
      </c>
      <c r="F172">
        <v>181.155396</v>
      </c>
      <c r="G172">
        <v>10252900</v>
      </c>
      <c r="I172">
        <f t="shared" si="8"/>
        <v>-1.7092952484248653E-2</v>
      </c>
      <c r="J172">
        <v>0</v>
      </c>
      <c r="K172">
        <f t="shared" si="6"/>
        <v>-1.7092952484248653E-2</v>
      </c>
      <c r="L172">
        <f t="shared" si="7"/>
        <v>-1.7092952484248654</v>
      </c>
      <c r="M172">
        <v>-1.45</v>
      </c>
    </row>
    <row r="173" spans="1:13" x14ac:dyDescent="0.2">
      <c r="A173" s="1">
        <v>44137</v>
      </c>
      <c r="B173">
        <v>184.509995</v>
      </c>
      <c r="C173">
        <v>186.91999799999999</v>
      </c>
      <c r="D173">
        <v>183.88999899999999</v>
      </c>
      <c r="E173">
        <v>184.740005</v>
      </c>
      <c r="F173">
        <v>184.176132</v>
      </c>
      <c r="G173">
        <v>8057100</v>
      </c>
      <c r="I173">
        <f t="shared" si="8"/>
        <v>1.6674833136077268E-2</v>
      </c>
      <c r="J173">
        <v>0</v>
      </c>
      <c r="K173">
        <f t="shared" si="6"/>
        <v>1.6674833136077268E-2</v>
      </c>
      <c r="L173">
        <f t="shared" si="7"/>
        <v>1.6674833136077267</v>
      </c>
      <c r="M173">
        <v>1.17</v>
      </c>
    </row>
    <row r="174" spans="1:13" x14ac:dyDescent="0.2">
      <c r="A174" s="1">
        <v>44138</v>
      </c>
      <c r="B174">
        <v>186.83000200000001</v>
      </c>
      <c r="C174">
        <v>189.529999</v>
      </c>
      <c r="D174">
        <v>185.16000399999999</v>
      </c>
      <c r="E174">
        <v>188.33999600000001</v>
      </c>
      <c r="F174">
        <v>187.76513700000001</v>
      </c>
      <c r="G174">
        <v>6467900</v>
      </c>
      <c r="I174">
        <f t="shared" si="8"/>
        <v>1.9486808420973976E-2</v>
      </c>
      <c r="J174">
        <v>0</v>
      </c>
      <c r="K174">
        <f t="shared" si="6"/>
        <v>1.9486808420973976E-2</v>
      </c>
      <c r="L174">
        <f t="shared" si="7"/>
        <v>1.9486808420973976</v>
      </c>
      <c r="M174">
        <v>1.93</v>
      </c>
    </row>
    <row r="175" spans="1:13" x14ac:dyDescent="0.2">
      <c r="A175" s="1">
        <v>44139</v>
      </c>
      <c r="B175">
        <v>192.88999899999999</v>
      </c>
      <c r="C175">
        <v>196.88000500000001</v>
      </c>
      <c r="D175">
        <v>191.529999</v>
      </c>
      <c r="E175">
        <v>193.970001</v>
      </c>
      <c r="F175">
        <v>193.37796</v>
      </c>
      <c r="G175">
        <v>8102700</v>
      </c>
      <c r="I175">
        <f t="shared" si="8"/>
        <v>2.9892785687898982E-2</v>
      </c>
      <c r="J175">
        <v>0</v>
      </c>
      <c r="K175">
        <f t="shared" si="6"/>
        <v>2.9892785687898982E-2</v>
      </c>
      <c r="L175">
        <f t="shared" si="7"/>
        <v>2.9892785687898984</v>
      </c>
      <c r="M175">
        <v>2.25</v>
      </c>
    </row>
    <row r="176" spans="1:13" x14ac:dyDescent="0.2">
      <c r="A176" s="1">
        <v>44140</v>
      </c>
      <c r="B176">
        <v>198.36000100000001</v>
      </c>
      <c r="C176">
        <v>200.990005</v>
      </c>
      <c r="D176">
        <v>197.28999300000001</v>
      </c>
      <c r="E176">
        <v>197.63999899999999</v>
      </c>
      <c r="F176">
        <v>197.03675799999999</v>
      </c>
      <c r="G176">
        <v>7132100</v>
      </c>
      <c r="I176">
        <f t="shared" si="8"/>
        <v>1.8920449879603601E-2</v>
      </c>
      <c r="J176">
        <v>0</v>
      </c>
      <c r="K176">
        <f t="shared" si="6"/>
        <v>1.8920449879603601E-2</v>
      </c>
      <c r="L176">
        <f t="shared" si="7"/>
        <v>1.89204498796036</v>
      </c>
      <c r="M176">
        <v>2.13</v>
      </c>
    </row>
    <row r="177" spans="1:13" x14ac:dyDescent="0.2">
      <c r="A177" s="1">
        <v>44141</v>
      </c>
      <c r="B177">
        <v>197.35000600000001</v>
      </c>
      <c r="C177">
        <v>199.679993</v>
      </c>
      <c r="D177">
        <v>195.429993</v>
      </c>
      <c r="E177">
        <v>198.470001</v>
      </c>
      <c r="F177">
        <v>197.864227</v>
      </c>
      <c r="G177">
        <v>6180500</v>
      </c>
      <c r="I177">
        <f t="shared" si="8"/>
        <v>4.1995666615668118E-3</v>
      </c>
      <c r="J177">
        <v>0</v>
      </c>
      <c r="K177">
        <f t="shared" si="6"/>
        <v>4.1995666615668118E-3</v>
      </c>
      <c r="L177">
        <f t="shared" si="7"/>
        <v>0.4199566661566812</v>
      </c>
      <c r="M177">
        <v>0.01</v>
      </c>
    </row>
    <row r="178" spans="1:13" x14ac:dyDescent="0.2">
      <c r="A178" s="1">
        <v>44144</v>
      </c>
      <c r="B178">
        <v>214.69000199999999</v>
      </c>
      <c r="C178">
        <v>217.64999399999999</v>
      </c>
      <c r="D178">
        <v>212.279999</v>
      </c>
      <c r="E178">
        <v>212.679993</v>
      </c>
      <c r="F178">
        <v>212.03083799999999</v>
      </c>
      <c r="G178">
        <v>17916900</v>
      </c>
      <c r="I178">
        <f t="shared" si="8"/>
        <v>7.1597636494443173E-2</v>
      </c>
      <c r="J178">
        <v>0</v>
      </c>
      <c r="K178">
        <f t="shared" si="6"/>
        <v>7.1597636494443173E-2</v>
      </c>
      <c r="L178">
        <f t="shared" si="7"/>
        <v>7.1597636494443169</v>
      </c>
      <c r="M178">
        <v>0.82</v>
      </c>
    </row>
    <row r="179" spans="1:13" x14ac:dyDescent="0.2">
      <c r="A179" s="1">
        <v>44145</v>
      </c>
      <c r="B179">
        <v>211.94000199999999</v>
      </c>
      <c r="C179">
        <v>214.05999800000001</v>
      </c>
      <c r="D179">
        <v>210.550003</v>
      </c>
      <c r="E179">
        <v>213.30999800000001</v>
      </c>
      <c r="F179">
        <v>212.65891999999999</v>
      </c>
      <c r="G179">
        <v>7943600</v>
      </c>
      <c r="I179">
        <f t="shared" si="8"/>
        <v>2.9622200521605556E-3</v>
      </c>
      <c r="J179">
        <v>0</v>
      </c>
      <c r="K179">
        <f t="shared" si="6"/>
        <v>2.9622200521605556E-3</v>
      </c>
      <c r="L179">
        <f t="shared" si="7"/>
        <v>0.29622200521605557</v>
      </c>
      <c r="M179">
        <v>-0.17</v>
      </c>
    </row>
    <row r="180" spans="1:13" x14ac:dyDescent="0.2">
      <c r="A180" s="1">
        <v>44146</v>
      </c>
      <c r="B180">
        <v>212.16999799999999</v>
      </c>
      <c r="C180">
        <v>214.279999</v>
      </c>
      <c r="D180">
        <v>211.66999799999999</v>
      </c>
      <c r="E180">
        <v>212.699997</v>
      </c>
      <c r="F180">
        <v>212.050781</v>
      </c>
      <c r="G180">
        <v>5337200</v>
      </c>
      <c r="I180">
        <f t="shared" si="8"/>
        <v>-2.8596919423835793E-3</v>
      </c>
      <c r="J180">
        <v>0</v>
      </c>
      <c r="K180">
        <f t="shared" si="6"/>
        <v>-2.8596919423835793E-3</v>
      </c>
      <c r="L180">
        <f t="shared" si="7"/>
        <v>-0.28596919423835793</v>
      </c>
      <c r="M180">
        <v>0.88</v>
      </c>
    </row>
    <row r="181" spans="1:13" x14ac:dyDescent="0.2">
      <c r="A181" s="1">
        <v>44147</v>
      </c>
      <c r="B181">
        <v>211.429993</v>
      </c>
      <c r="C181">
        <v>212.53999300000001</v>
      </c>
      <c r="D181">
        <v>207.13999899999999</v>
      </c>
      <c r="E181">
        <v>208.259995</v>
      </c>
      <c r="F181">
        <v>207.93718000000001</v>
      </c>
      <c r="G181">
        <v>7302500</v>
      </c>
      <c r="I181">
        <f t="shared" si="8"/>
        <v>-1.9399131569338517E-2</v>
      </c>
      <c r="J181">
        <v>0</v>
      </c>
      <c r="K181">
        <f t="shared" si="6"/>
        <v>-1.9399131569338517E-2</v>
      </c>
      <c r="L181">
        <f t="shared" si="7"/>
        <v>-1.9399131569338517</v>
      </c>
      <c r="M181">
        <v>-0.94</v>
      </c>
    </row>
    <row r="182" spans="1:13" x14ac:dyDescent="0.2">
      <c r="A182" s="1">
        <v>44148</v>
      </c>
      <c r="B182">
        <v>209.91000399999999</v>
      </c>
      <c r="C182">
        <v>211.279999</v>
      </c>
      <c r="D182">
        <v>207.300003</v>
      </c>
      <c r="E182">
        <v>210.479996</v>
      </c>
      <c r="F182">
        <v>210.15373199999999</v>
      </c>
      <c r="G182">
        <v>6377500</v>
      </c>
      <c r="I182">
        <f t="shared" si="8"/>
        <v>1.0659719440265463E-2</v>
      </c>
      <c r="J182">
        <v>0</v>
      </c>
      <c r="K182">
        <f t="shared" si="6"/>
        <v>1.0659719440265463E-2</v>
      </c>
      <c r="L182">
        <f t="shared" si="7"/>
        <v>1.0659719440265463</v>
      </c>
      <c r="M182">
        <v>1.31</v>
      </c>
    </row>
    <row r="183" spans="1:13" x14ac:dyDescent="0.2">
      <c r="A183" s="1">
        <v>44151</v>
      </c>
      <c r="B183">
        <v>214.570007</v>
      </c>
      <c r="C183">
        <v>215.08999600000001</v>
      </c>
      <c r="D183">
        <v>211.83000200000001</v>
      </c>
      <c r="E183">
        <v>212.699997</v>
      </c>
      <c r="F183">
        <v>212.37029999999999</v>
      </c>
      <c r="G183">
        <v>12083200</v>
      </c>
      <c r="I183">
        <f t="shared" si="8"/>
        <v>1.054736444080848E-2</v>
      </c>
      <c r="J183">
        <v>0</v>
      </c>
      <c r="K183">
        <f t="shared" si="6"/>
        <v>1.054736444080848E-2</v>
      </c>
      <c r="L183">
        <f t="shared" si="7"/>
        <v>1.054736444080848</v>
      </c>
      <c r="M183">
        <v>1.22</v>
      </c>
    </row>
    <row r="184" spans="1:13" x14ac:dyDescent="0.2">
      <c r="A184" s="1">
        <v>44152</v>
      </c>
      <c r="B184">
        <v>210.55999800000001</v>
      </c>
      <c r="C184">
        <v>212.08999600000001</v>
      </c>
      <c r="D184">
        <v>209.5</v>
      </c>
      <c r="E184">
        <v>210.71000699999999</v>
      </c>
      <c r="F184">
        <v>210.38339199999999</v>
      </c>
      <c r="G184">
        <v>7268800</v>
      </c>
      <c r="I184">
        <f t="shared" si="8"/>
        <v>-9.3558656742491753E-3</v>
      </c>
      <c r="J184">
        <v>0</v>
      </c>
      <c r="K184">
        <f t="shared" si="6"/>
        <v>-9.3558656742491753E-3</v>
      </c>
      <c r="L184">
        <f t="shared" si="7"/>
        <v>-0.93558656742491753</v>
      </c>
      <c r="M184">
        <v>-0.19</v>
      </c>
    </row>
    <row r="185" spans="1:13" x14ac:dyDescent="0.2">
      <c r="A185" s="1">
        <v>44153</v>
      </c>
      <c r="B185">
        <v>209.720001</v>
      </c>
      <c r="C185">
        <v>211.14999399999999</v>
      </c>
      <c r="D185">
        <v>207.66999799999999</v>
      </c>
      <c r="E185">
        <v>207.83000200000001</v>
      </c>
      <c r="F185">
        <v>207.50784300000001</v>
      </c>
      <c r="G185">
        <v>6977900</v>
      </c>
      <c r="I185">
        <f t="shared" si="8"/>
        <v>-1.3668136884112879E-2</v>
      </c>
      <c r="J185">
        <v>0</v>
      </c>
      <c r="K185">
        <f t="shared" si="6"/>
        <v>-1.3668136884112879E-2</v>
      </c>
      <c r="L185">
        <f t="shared" si="7"/>
        <v>-1.366813688411288</v>
      </c>
      <c r="M185">
        <v>-0.93</v>
      </c>
    </row>
    <row r="186" spans="1:13" x14ac:dyDescent="0.2">
      <c r="A186" s="1">
        <v>44154</v>
      </c>
      <c r="B186">
        <v>207.240005</v>
      </c>
      <c r="C186">
        <v>208.729996</v>
      </c>
      <c r="D186">
        <v>205.529999</v>
      </c>
      <c r="E186">
        <v>207.570007</v>
      </c>
      <c r="F186">
        <v>207.24825999999999</v>
      </c>
      <c r="G186">
        <v>5657200</v>
      </c>
      <c r="I186">
        <f t="shared" si="8"/>
        <v>-1.2509551265492192E-3</v>
      </c>
      <c r="J186">
        <v>0</v>
      </c>
      <c r="K186">
        <f t="shared" si="6"/>
        <v>-1.2509551265492192E-3</v>
      </c>
      <c r="L186">
        <f t="shared" si="7"/>
        <v>-0.12509551265492191</v>
      </c>
      <c r="M186">
        <v>0.59</v>
      </c>
    </row>
    <row r="187" spans="1:13" x14ac:dyDescent="0.2">
      <c r="A187" s="1">
        <v>44155</v>
      </c>
      <c r="B187">
        <v>207.13000500000001</v>
      </c>
      <c r="C187">
        <v>208.11000100000001</v>
      </c>
      <c r="D187">
        <v>203.80999800000001</v>
      </c>
      <c r="E187">
        <v>203.88000500000001</v>
      </c>
      <c r="F187">
        <v>203.56397999999999</v>
      </c>
      <c r="G187">
        <v>9653500</v>
      </c>
      <c r="I187">
        <f t="shared" si="8"/>
        <v>-1.7777133569179308E-2</v>
      </c>
      <c r="J187">
        <v>0</v>
      </c>
      <c r="K187">
        <f t="shared" si="6"/>
        <v>-1.7777133569179308E-2</v>
      </c>
      <c r="L187">
        <f t="shared" si="7"/>
        <v>-1.7777133569179309</v>
      </c>
      <c r="M187">
        <v>-0.51</v>
      </c>
    </row>
    <row r="188" spans="1:13" x14ac:dyDescent="0.2">
      <c r="A188" s="1">
        <v>44158</v>
      </c>
      <c r="B188">
        <v>204.699997</v>
      </c>
      <c r="C188">
        <v>209</v>
      </c>
      <c r="D188">
        <v>204.699997</v>
      </c>
      <c r="E188">
        <v>208.16000399999999</v>
      </c>
      <c r="F188">
        <v>207.83734100000001</v>
      </c>
      <c r="G188">
        <v>6101900</v>
      </c>
      <c r="I188">
        <f t="shared" si="8"/>
        <v>2.099271688439194E-2</v>
      </c>
      <c r="J188">
        <v>0</v>
      </c>
      <c r="K188">
        <f t="shared" si="6"/>
        <v>2.099271688439194E-2</v>
      </c>
      <c r="L188">
        <f t="shared" si="7"/>
        <v>2.099271688439194</v>
      </c>
      <c r="M188">
        <v>0.83</v>
      </c>
    </row>
    <row r="189" spans="1:13" x14ac:dyDescent="0.2">
      <c r="A189" s="1">
        <v>44159</v>
      </c>
      <c r="B189">
        <v>210.85000600000001</v>
      </c>
      <c r="C189">
        <v>213.820007</v>
      </c>
      <c r="D189">
        <v>209.39999399999999</v>
      </c>
      <c r="E189">
        <v>209.679993</v>
      </c>
      <c r="F189">
        <v>209.35496499999999</v>
      </c>
      <c r="G189">
        <v>10110800</v>
      </c>
      <c r="I189">
        <f t="shared" si="8"/>
        <v>7.3019794840426854E-3</v>
      </c>
      <c r="J189">
        <v>0</v>
      </c>
      <c r="K189">
        <f t="shared" si="6"/>
        <v>7.3019794840426854E-3</v>
      </c>
      <c r="L189">
        <f t="shared" si="7"/>
        <v>0.73019794840426855</v>
      </c>
      <c r="M189">
        <v>1.56</v>
      </c>
    </row>
    <row r="190" spans="1:13" x14ac:dyDescent="0.2">
      <c r="A190" s="1">
        <v>44160</v>
      </c>
      <c r="B190">
        <v>209.66999799999999</v>
      </c>
      <c r="C190">
        <v>211.949997</v>
      </c>
      <c r="D190">
        <v>208.86999499999999</v>
      </c>
      <c r="E190">
        <v>210.88999899999999</v>
      </c>
      <c r="F190">
        <v>210.56310999999999</v>
      </c>
      <c r="G190">
        <v>6772900</v>
      </c>
      <c r="I190">
        <f t="shared" si="8"/>
        <v>5.7707969810985938E-3</v>
      </c>
      <c r="J190">
        <v>0</v>
      </c>
      <c r="K190">
        <f t="shared" si="6"/>
        <v>5.7707969810985938E-3</v>
      </c>
      <c r="L190">
        <f t="shared" si="7"/>
        <v>0.57707969810985937</v>
      </c>
      <c r="M190">
        <v>0.03</v>
      </c>
    </row>
    <row r="191" spans="1:13" x14ac:dyDescent="0.2">
      <c r="A191" s="1">
        <v>44162</v>
      </c>
      <c r="B191">
        <v>212</v>
      </c>
      <c r="C191">
        <v>212.029999</v>
      </c>
      <c r="D191">
        <v>208.80999800000001</v>
      </c>
      <c r="E191">
        <v>211</v>
      </c>
      <c r="F191">
        <v>210.67292800000001</v>
      </c>
      <c r="G191">
        <v>3512900</v>
      </c>
      <c r="I191">
        <f t="shared" si="8"/>
        <v>5.2154434839045839E-4</v>
      </c>
      <c r="J191">
        <v>0</v>
      </c>
      <c r="K191">
        <f t="shared" si="6"/>
        <v>5.2154434839045839E-4</v>
      </c>
      <c r="L191">
        <f t="shared" si="7"/>
        <v>5.2154434839045839E-2</v>
      </c>
      <c r="M191">
        <v>0.43</v>
      </c>
    </row>
    <row r="192" spans="1:13" x14ac:dyDescent="0.2">
      <c r="A192" s="1">
        <v>44165</v>
      </c>
      <c r="B192">
        <v>209.53999300000001</v>
      </c>
      <c r="C192">
        <v>210.53999300000001</v>
      </c>
      <c r="D192">
        <v>206.60000600000001</v>
      </c>
      <c r="E192">
        <v>210.35000600000001</v>
      </c>
      <c r="F192">
        <v>210.02394100000001</v>
      </c>
      <c r="G192">
        <v>7725500</v>
      </c>
      <c r="I192">
        <f t="shared" si="8"/>
        <v>-3.0805429352555695E-3</v>
      </c>
      <c r="J192">
        <v>0</v>
      </c>
      <c r="K192">
        <f t="shared" si="6"/>
        <v>-3.0805429352555695E-3</v>
      </c>
      <c r="L192">
        <f t="shared" si="7"/>
        <v>-0.30805429352555697</v>
      </c>
      <c r="M192">
        <v>-0.53</v>
      </c>
    </row>
    <row r="193" spans="1:13" x14ac:dyDescent="0.2">
      <c r="A193" s="1">
        <v>44166</v>
      </c>
      <c r="B193">
        <v>212.13000500000001</v>
      </c>
      <c r="C193">
        <v>213.66999799999999</v>
      </c>
      <c r="D193">
        <v>211.03999300000001</v>
      </c>
      <c r="E193">
        <v>211.199997</v>
      </c>
      <c r="F193">
        <v>210.87262000000001</v>
      </c>
      <c r="G193">
        <v>8049400</v>
      </c>
      <c r="I193">
        <f t="shared" si="8"/>
        <v>4.0408678932465332E-3</v>
      </c>
      <c r="J193">
        <v>0</v>
      </c>
      <c r="K193">
        <f t="shared" si="6"/>
        <v>4.0408678932465332E-3</v>
      </c>
      <c r="L193">
        <f t="shared" si="7"/>
        <v>0.40408678932465331</v>
      </c>
      <c r="M193">
        <v>0.98</v>
      </c>
    </row>
    <row r="194" spans="1:13" x14ac:dyDescent="0.2">
      <c r="A194" s="1">
        <v>44167</v>
      </c>
      <c r="B194">
        <v>211</v>
      </c>
      <c r="C194">
        <v>211.39999399999999</v>
      </c>
      <c r="D194">
        <v>208.479996</v>
      </c>
      <c r="E194">
        <v>210.179993</v>
      </c>
      <c r="F194">
        <v>209.85420199999999</v>
      </c>
      <c r="G194">
        <v>9728900</v>
      </c>
      <c r="I194">
        <f t="shared" si="8"/>
        <v>-4.829541170399577E-3</v>
      </c>
      <c r="J194">
        <v>0</v>
      </c>
      <c r="K194">
        <f t="shared" si="6"/>
        <v>-4.829541170399577E-3</v>
      </c>
      <c r="L194">
        <f t="shared" si="7"/>
        <v>-0.48295411703995772</v>
      </c>
      <c r="M194">
        <v>0.11</v>
      </c>
    </row>
    <row r="195" spans="1:13" x14ac:dyDescent="0.2">
      <c r="A195" s="1">
        <v>44168</v>
      </c>
      <c r="B195">
        <v>209.779999</v>
      </c>
      <c r="C195">
        <v>211.11000100000001</v>
      </c>
      <c r="D195">
        <v>207.61000100000001</v>
      </c>
      <c r="E195">
        <v>208.050003</v>
      </c>
      <c r="F195">
        <v>207.727509</v>
      </c>
      <c r="G195">
        <v>9203300</v>
      </c>
      <c r="I195">
        <f t="shared" si="8"/>
        <v>-1.0134145419685181E-2</v>
      </c>
      <c r="J195">
        <v>0</v>
      </c>
      <c r="K195">
        <f t="shared" si="6"/>
        <v>-1.0134145419685181E-2</v>
      </c>
      <c r="L195">
        <f t="shared" si="7"/>
        <v>-1.0134145419685181</v>
      </c>
      <c r="M195">
        <v>0.18</v>
      </c>
    </row>
    <row r="196" spans="1:13" x14ac:dyDescent="0.2">
      <c r="A196" s="1">
        <v>44169</v>
      </c>
      <c r="B196">
        <v>209.740005</v>
      </c>
      <c r="C196">
        <v>212.720001</v>
      </c>
      <c r="D196">
        <v>208.509995</v>
      </c>
      <c r="E196">
        <v>212.679993</v>
      </c>
      <c r="F196">
        <v>212.35032699999999</v>
      </c>
      <c r="G196">
        <v>5720100</v>
      </c>
      <c r="I196">
        <f t="shared" si="8"/>
        <v>2.22542407707782E-2</v>
      </c>
      <c r="J196">
        <v>0</v>
      </c>
      <c r="K196">
        <f t="shared" ref="K196:K252" si="9">I196-J196</f>
        <v>2.22542407707782E-2</v>
      </c>
      <c r="L196">
        <f t="shared" ref="L196:L252" si="10">100*K196</f>
        <v>2.22542407707782</v>
      </c>
      <c r="M196">
        <v>1.02</v>
      </c>
    </row>
    <row r="197" spans="1:13" x14ac:dyDescent="0.2">
      <c r="A197" s="1">
        <v>44172</v>
      </c>
      <c r="B197">
        <v>211.970001</v>
      </c>
      <c r="C197">
        <v>214.5</v>
      </c>
      <c r="D197">
        <v>211.800003</v>
      </c>
      <c r="E197">
        <v>212.64999399999999</v>
      </c>
      <c r="F197">
        <v>212.32037399999999</v>
      </c>
      <c r="G197">
        <v>10624500</v>
      </c>
      <c r="I197">
        <f t="shared" ref="I197:I252" si="11">(F197-F196)/F196</f>
        <v>-1.4105464504420619E-4</v>
      </c>
      <c r="J197">
        <v>0</v>
      </c>
      <c r="K197">
        <f t="shared" si="9"/>
        <v>-1.4105464504420619E-4</v>
      </c>
      <c r="L197">
        <f t="shared" si="10"/>
        <v>-1.410546450442062E-2</v>
      </c>
      <c r="M197">
        <v>0.03</v>
      </c>
    </row>
    <row r="198" spans="1:13" x14ac:dyDescent="0.2">
      <c r="A198" s="1">
        <v>44173</v>
      </c>
      <c r="B198">
        <v>209.949997</v>
      </c>
      <c r="C198">
        <v>213.13000500000001</v>
      </c>
      <c r="D198">
        <v>209.88999899999999</v>
      </c>
      <c r="E198">
        <v>212.770004</v>
      </c>
      <c r="F198">
        <v>212.440201</v>
      </c>
      <c r="G198">
        <v>8646200</v>
      </c>
      <c r="I198">
        <f t="shared" si="11"/>
        <v>5.6436882500977045E-4</v>
      </c>
      <c r="J198">
        <v>0</v>
      </c>
      <c r="K198">
        <f t="shared" si="9"/>
        <v>5.6436882500977045E-4</v>
      </c>
      <c r="L198">
        <f t="shared" si="10"/>
        <v>5.6436882500977045E-2</v>
      </c>
      <c r="M198">
        <v>0.47</v>
      </c>
    </row>
    <row r="199" spans="1:13" x14ac:dyDescent="0.2">
      <c r="A199" s="1">
        <v>44174</v>
      </c>
      <c r="B199">
        <v>213.229996</v>
      </c>
      <c r="C199">
        <v>213.5</v>
      </c>
      <c r="D199">
        <v>208.949997</v>
      </c>
      <c r="E199">
        <v>209.58000200000001</v>
      </c>
      <c r="F199">
        <v>209.25514200000001</v>
      </c>
      <c r="G199">
        <v>6251100</v>
      </c>
      <c r="I199">
        <f t="shared" si="11"/>
        <v>-1.4992732001792804E-2</v>
      </c>
      <c r="J199">
        <v>0</v>
      </c>
      <c r="K199">
        <f t="shared" si="9"/>
        <v>-1.4992732001792804E-2</v>
      </c>
      <c r="L199">
        <f t="shared" si="10"/>
        <v>-1.4992732001792803</v>
      </c>
      <c r="M199">
        <v>-1.03</v>
      </c>
    </row>
    <row r="200" spans="1:13" x14ac:dyDescent="0.2">
      <c r="A200" s="1">
        <v>44175</v>
      </c>
      <c r="B200">
        <v>208.509995</v>
      </c>
      <c r="C200">
        <v>209.300003</v>
      </c>
      <c r="D200">
        <v>207.25</v>
      </c>
      <c r="E200">
        <v>207.61000100000001</v>
      </c>
      <c r="F200">
        <v>207.28819300000001</v>
      </c>
      <c r="G200">
        <v>10492000</v>
      </c>
      <c r="I200">
        <f t="shared" si="11"/>
        <v>-9.3997642361400117E-3</v>
      </c>
      <c r="J200">
        <v>0</v>
      </c>
      <c r="K200">
        <f t="shared" si="9"/>
        <v>-9.3997642361400117E-3</v>
      </c>
      <c r="L200">
        <f t="shared" si="10"/>
        <v>-0.93997642361400113</v>
      </c>
      <c r="M200">
        <v>0.24</v>
      </c>
    </row>
    <row r="201" spans="1:13" x14ac:dyDescent="0.2">
      <c r="A201" s="1">
        <v>44176</v>
      </c>
      <c r="B201">
        <v>205.36000100000001</v>
      </c>
      <c r="C201">
        <v>206.88999899999999</v>
      </c>
      <c r="D201">
        <v>204.5</v>
      </c>
      <c r="E201">
        <v>206.240005</v>
      </c>
      <c r="F201">
        <v>205.92031900000001</v>
      </c>
      <c r="G201">
        <v>9227600</v>
      </c>
      <c r="I201">
        <f t="shared" si="11"/>
        <v>-6.5988997260446975E-3</v>
      </c>
      <c r="J201">
        <v>0</v>
      </c>
      <c r="K201">
        <f t="shared" si="9"/>
        <v>-6.5988997260446975E-3</v>
      </c>
      <c r="L201">
        <f t="shared" si="10"/>
        <v>-0.6598899726044698</v>
      </c>
      <c r="M201">
        <v>-0.2</v>
      </c>
    </row>
    <row r="202" spans="1:13" x14ac:dyDescent="0.2">
      <c r="A202" s="1">
        <v>44179</v>
      </c>
      <c r="B202">
        <v>207.85000600000001</v>
      </c>
      <c r="C202">
        <v>211.300003</v>
      </c>
      <c r="D202">
        <v>206.970001</v>
      </c>
      <c r="E202">
        <v>207.25</v>
      </c>
      <c r="F202">
        <v>206.928741</v>
      </c>
      <c r="G202">
        <v>11967700</v>
      </c>
      <c r="I202">
        <f t="shared" si="11"/>
        <v>4.8971466482625051E-3</v>
      </c>
      <c r="J202">
        <v>0</v>
      </c>
      <c r="K202">
        <f t="shared" si="9"/>
        <v>4.8971466482625051E-3</v>
      </c>
      <c r="L202">
        <f t="shared" si="10"/>
        <v>0.48971466482625053</v>
      </c>
      <c r="M202">
        <v>-0.28000000000000003</v>
      </c>
    </row>
    <row r="203" spans="1:13" x14ac:dyDescent="0.2">
      <c r="A203" s="1">
        <v>44180</v>
      </c>
      <c r="B203">
        <v>208.53999300000001</v>
      </c>
      <c r="C203">
        <v>209.44000199999999</v>
      </c>
      <c r="D203">
        <v>206.16000399999999</v>
      </c>
      <c r="E203">
        <v>208.36000100000001</v>
      </c>
      <c r="F203">
        <v>208.03703300000001</v>
      </c>
      <c r="G203">
        <v>9799000</v>
      </c>
      <c r="I203">
        <f t="shared" si="11"/>
        <v>5.3559113859394034E-3</v>
      </c>
      <c r="J203">
        <v>0</v>
      </c>
      <c r="K203">
        <f t="shared" si="9"/>
        <v>5.3559113859394034E-3</v>
      </c>
      <c r="L203">
        <f t="shared" si="10"/>
        <v>0.53559113859394036</v>
      </c>
      <c r="M203">
        <v>1.28</v>
      </c>
    </row>
    <row r="204" spans="1:13" x14ac:dyDescent="0.2">
      <c r="A204" s="1">
        <v>44181</v>
      </c>
      <c r="B204">
        <v>208.479996</v>
      </c>
      <c r="C204">
        <v>209.13000500000001</v>
      </c>
      <c r="D204">
        <v>207.13999899999999</v>
      </c>
      <c r="E204">
        <v>208.270004</v>
      </c>
      <c r="F204">
        <v>207.94717399999999</v>
      </c>
      <c r="G204">
        <v>7504400</v>
      </c>
      <c r="I204">
        <f t="shared" si="11"/>
        <v>-4.3193751950893443E-4</v>
      </c>
      <c r="J204">
        <v>0</v>
      </c>
      <c r="K204">
        <f t="shared" si="9"/>
        <v>-4.3193751950893443E-4</v>
      </c>
      <c r="L204">
        <f t="shared" si="10"/>
        <v>-4.3193751950893443E-2</v>
      </c>
      <c r="M204">
        <v>0.17</v>
      </c>
    </row>
    <row r="205" spans="1:13" x14ac:dyDescent="0.2">
      <c r="A205" s="1">
        <v>44182</v>
      </c>
      <c r="B205">
        <v>209</v>
      </c>
      <c r="C205">
        <v>211.779999</v>
      </c>
      <c r="D205">
        <v>208.85000600000001</v>
      </c>
      <c r="E205">
        <v>211.179993</v>
      </c>
      <c r="F205">
        <v>210.85264599999999</v>
      </c>
      <c r="G205">
        <v>6517200</v>
      </c>
      <c r="I205">
        <f t="shared" si="11"/>
        <v>1.3972163911205657E-2</v>
      </c>
      <c r="J205">
        <v>0</v>
      </c>
      <c r="K205">
        <f t="shared" si="9"/>
        <v>1.3972163911205657E-2</v>
      </c>
      <c r="L205">
        <f t="shared" si="10"/>
        <v>1.3972163911205657</v>
      </c>
      <c r="M205">
        <v>0.79</v>
      </c>
    </row>
    <row r="206" spans="1:13" x14ac:dyDescent="0.2">
      <c r="A206" s="1">
        <v>44183</v>
      </c>
      <c r="B206">
        <v>211.020004</v>
      </c>
      <c r="C206">
        <v>211.979996</v>
      </c>
      <c r="D206">
        <v>209.86999499999999</v>
      </c>
      <c r="E206">
        <v>211.30999800000001</v>
      </c>
      <c r="F206">
        <v>210.98245199999999</v>
      </c>
      <c r="G206">
        <v>13298200</v>
      </c>
      <c r="I206">
        <f t="shared" si="11"/>
        <v>6.1562424025735053E-4</v>
      </c>
      <c r="J206">
        <v>0</v>
      </c>
      <c r="K206">
        <f t="shared" si="9"/>
        <v>6.1562424025735053E-4</v>
      </c>
      <c r="L206">
        <f t="shared" si="10"/>
        <v>6.1562424025735051E-2</v>
      </c>
      <c r="M206">
        <v>-0.12</v>
      </c>
    </row>
    <row r="207" spans="1:13" x14ac:dyDescent="0.2">
      <c r="A207" s="1">
        <v>44186</v>
      </c>
      <c r="B207">
        <v>208.270004</v>
      </c>
      <c r="C207">
        <v>209.800003</v>
      </c>
      <c r="D207">
        <v>204.78999300000001</v>
      </c>
      <c r="E207">
        <v>209.009995</v>
      </c>
      <c r="F207">
        <v>208.68602000000001</v>
      </c>
      <c r="G207">
        <v>7576700</v>
      </c>
      <c r="I207">
        <f t="shared" si="11"/>
        <v>-1.0884469197466629E-2</v>
      </c>
      <c r="J207">
        <v>0</v>
      </c>
      <c r="K207">
        <f t="shared" si="9"/>
        <v>-1.0884469197466629E-2</v>
      </c>
      <c r="L207">
        <f t="shared" si="10"/>
        <v>-1.0884469197466629</v>
      </c>
      <c r="M207">
        <v>-0.23</v>
      </c>
    </row>
    <row r="208" spans="1:13" x14ac:dyDescent="0.2">
      <c r="A208" s="1">
        <v>44187</v>
      </c>
      <c r="B208">
        <v>208.38999899999999</v>
      </c>
      <c r="C208">
        <v>208.39999399999999</v>
      </c>
      <c r="D208">
        <v>205.60000600000001</v>
      </c>
      <c r="E208">
        <v>205.83999600000001</v>
      </c>
      <c r="F208">
        <v>205.52093500000001</v>
      </c>
      <c r="G208">
        <v>7396200</v>
      </c>
      <c r="I208">
        <f t="shared" si="11"/>
        <v>-1.5166732299557031E-2</v>
      </c>
      <c r="J208">
        <v>0</v>
      </c>
      <c r="K208">
        <f t="shared" si="9"/>
        <v>-1.5166732299557031E-2</v>
      </c>
      <c r="L208">
        <f t="shared" si="10"/>
        <v>-1.5166732299557031</v>
      </c>
      <c r="M208">
        <v>0.06</v>
      </c>
    </row>
    <row r="209" spans="1:13" x14ac:dyDescent="0.2">
      <c r="A209" s="1">
        <v>44188</v>
      </c>
      <c r="B209">
        <v>207.33000200000001</v>
      </c>
      <c r="C209">
        <v>207.33000200000001</v>
      </c>
      <c r="D209">
        <v>205.11000100000001</v>
      </c>
      <c r="E209">
        <v>205.300003</v>
      </c>
      <c r="F209">
        <v>204.98176599999999</v>
      </c>
      <c r="G209">
        <v>6523100</v>
      </c>
      <c r="I209">
        <f t="shared" si="11"/>
        <v>-2.6234261731050189E-3</v>
      </c>
      <c r="J209">
        <v>0</v>
      </c>
      <c r="K209">
        <f t="shared" si="9"/>
        <v>-2.6234261731050189E-3</v>
      </c>
      <c r="L209">
        <f t="shared" si="10"/>
        <v>-0.2623426173105019</v>
      </c>
      <c r="M209">
        <v>0.1</v>
      </c>
    </row>
    <row r="210" spans="1:13" x14ac:dyDescent="0.2">
      <c r="A210" s="1">
        <v>44189</v>
      </c>
      <c r="B210">
        <v>206.63999899999999</v>
      </c>
      <c r="C210">
        <v>208.820007</v>
      </c>
      <c r="D210">
        <v>206.60000600000001</v>
      </c>
      <c r="E210">
        <v>208.699997</v>
      </c>
      <c r="F210">
        <v>208.37649500000001</v>
      </c>
      <c r="G210">
        <v>3367900</v>
      </c>
      <c r="I210">
        <f t="shared" si="11"/>
        <v>1.6561126710168027E-2</v>
      </c>
      <c r="J210">
        <v>0</v>
      </c>
      <c r="K210">
        <f t="shared" si="9"/>
        <v>1.6561126710168027E-2</v>
      </c>
      <c r="L210">
        <f t="shared" si="10"/>
        <v>1.6561126710168028</v>
      </c>
      <c r="M210">
        <v>0.21</v>
      </c>
    </row>
    <row r="211" spans="1:13" x14ac:dyDescent="0.2">
      <c r="A211" s="1">
        <v>44193</v>
      </c>
      <c r="B211">
        <v>209.85000600000001</v>
      </c>
      <c r="C211">
        <v>213.46000699999999</v>
      </c>
      <c r="D211">
        <v>208.949997</v>
      </c>
      <c r="E211">
        <v>212.63000500000001</v>
      </c>
      <c r="F211">
        <v>212.30041499999999</v>
      </c>
      <c r="G211">
        <v>5816200</v>
      </c>
      <c r="I211">
        <f t="shared" si="11"/>
        <v>1.8830914686418836E-2</v>
      </c>
      <c r="J211">
        <v>0</v>
      </c>
      <c r="K211">
        <f t="shared" si="9"/>
        <v>1.8830914686418836E-2</v>
      </c>
      <c r="L211">
        <f t="shared" si="10"/>
        <v>1.8830914686418836</v>
      </c>
      <c r="M211">
        <v>0.46</v>
      </c>
    </row>
    <row r="212" spans="1:13" x14ac:dyDescent="0.2">
      <c r="A212" s="1">
        <v>44194</v>
      </c>
      <c r="B212">
        <v>214.61000100000001</v>
      </c>
      <c r="C212">
        <v>215.240005</v>
      </c>
      <c r="D212">
        <v>213.53999300000001</v>
      </c>
      <c r="E212">
        <v>214.36999499999999</v>
      </c>
      <c r="F212">
        <v>214.03770399999999</v>
      </c>
      <c r="G212">
        <v>6093400</v>
      </c>
      <c r="I212">
        <f t="shared" si="11"/>
        <v>8.1831634667318201E-3</v>
      </c>
      <c r="J212">
        <v>0</v>
      </c>
      <c r="K212">
        <f t="shared" si="9"/>
        <v>8.1831634667318201E-3</v>
      </c>
      <c r="L212">
        <f t="shared" si="10"/>
        <v>0.81831634667318198</v>
      </c>
      <c r="M212">
        <v>-0.4</v>
      </c>
    </row>
    <row r="213" spans="1:13" x14ac:dyDescent="0.2">
      <c r="A213" s="1">
        <v>44195</v>
      </c>
      <c r="B213">
        <v>216</v>
      </c>
      <c r="C213">
        <v>220.38999899999999</v>
      </c>
      <c r="D213">
        <v>215.64999399999999</v>
      </c>
      <c r="E213">
        <v>218.36000100000001</v>
      </c>
      <c r="F213">
        <v>218.02153000000001</v>
      </c>
      <c r="G213">
        <v>8875100</v>
      </c>
      <c r="I213">
        <f t="shared" si="11"/>
        <v>1.8612730026294908E-2</v>
      </c>
      <c r="J213">
        <v>0</v>
      </c>
      <c r="K213">
        <f t="shared" si="9"/>
        <v>1.8612730026294908E-2</v>
      </c>
      <c r="L213">
        <f t="shared" si="10"/>
        <v>1.8612730026294908</v>
      </c>
      <c r="M213">
        <v>0.27</v>
      </c>
    </row>
    <row r="214" spans="1:13" x14ac:dyDescent="0.2">
      <c r="A214" s="1">
        <v>44196</v>
      </c>
      <c r="B214">
        <v>218.39999399999999</v>
      </c>
      <c r="C214">
        <v>219.820007</v>
      </c>
      <c r="D214">
        <v>216.199997</v>
      </c>
      <c r="E214">
        <v>218.729996</v>
      </c>
      <c r="F214">
        <v>218.39094499999999</v>
      </c>
      <c r="G214">
        <v>5922200</v>
      </c>
      <c r="I214">
        <f t="shared" si="11"/>
        <v>1.6943968790604082E-3</v>
      </c>
      <c r="J214">
        <v>0</v>
      </c>
      <c r="K214">
        <f t="shared" si="9"/>
        <v>1.6943968790604082E-3</v>
      </c>
      <c r="L214">
        <f t="shared" si="10"/>
        <v>0.1694396879060408</v>
      </c>
      <c r="M214">
        <v>0.39</v>
      </c>
    </row>
    <row r="215" spans="1:13" x14ac:dyDescent="0.2">
      <c r="A215" s="1">
        <v>44200</v>
      </c>
      <c r="B215">
        <v>220.25</v>
      </c>
      <c r="C215">
        <v>220.25</v>
      </c>
      <c r="D215">
        <v>214.240005</v>
      </c>
      <c r="E215">
        <v>217.759995</v>
      </c>
      <c r="F215">
        <v>217.42245500000001</v>
      </c>
      <c r="G215">
        <v>10318300</v>
      </c>
      <c r="I215">
        <f t="shared" si="11"/>
        <v>-4.4346618858212014E-3</v>
      </c>
      <c r="J215">
        <v>0</v>
      </c>
      <c r="K215">
        <f t="shared" si="9"/>
        <v>-4.4346618858212014E-3</v>
      </c>
      <c r="L215">
        <f t="shared" si="10"/>
        <v>-0.44346618858212017</v>
      </c>
      <c r="M215">
        <v>-1.41</v>
      </c>
    </row>
    <row r="216" spans="1:13" x14ac:dyDescent="0.2">
      <c r="A216" s="1">
        <v>44201</v>
      </c>
      <c r="B216">
        <v>216.30999800000001</v>
      </c>
      <c r="C216">
        <v>218.46000699999999</v>
      </c>
      <c r="D216">
        <v>213.63999899999999</v>
      </c>
      <c r="E216">
        <v>214.509995</v>
      </c>
      <c r="F216">
        <v>214.17749000000001</v>
      </c>
      <c r="G216">
        <v>6869700</v>
      </c>
      <c r="I216">
        <f t="shared" si="11"/>
        <v>-1.4924700394906346E-2</v>
      </c>
      <c r="J216">
        <v>0</v>
      </c>
      <c r="K216">
        <f t="shared" si="9"/>
        <v>-1.4924700394906346E-2</v>
      </c>
      <c r="L216">
        <f t="shared" si="10"/>
        <v>-1.4924700394906347</v>
      </c>
      <c r="M216">
        <v>0.86</v>
      </c>
    </row>
    <row r="217" spans="1:13" x14ac:dyDescent="0.2">
      <c r="A217" s="1">
        <v>44202</v>
      </c>
      <c r="B217">
        <v>213.800003</v>
      </c>
      <c r="C217">
        <v>216.16999799999999</v>
      </c>
      <c r="D217">
        <v>212.070007</v>
      </c>
      <c r="E217">
        <v>212.61999499999999</v>
      </c>
      <c r="F217">
        <v>212.29042100000001</v>
      </c>
      <c r="G217">
        <v>7206200</v>
      </c>
      <c r="I217">
        <f t="shared" si="11"/>
        <v>-8.8107718509540696E-3</v>
      </c>
      <c r="J217">
        <v>0</v>
      </c>
      <c r="K217">
        <f t="shared" si="9"/>
        <v>-8.8107718509540696E-3</v>
      </c>
      <c r="L217">
        <f t="shared" si="10"/>
        <v>-0.881077185095407</v>
      </c>
      <c r="M217">
        <v>0.79</v>
      </c>
    </row>
    <row r="218" spans="1:13" x14ac:dyDescent="0.2">
      <c r="A218" s="1">
        <v>44203</v>
      </c>
      <c r="B218">
        <v>212.199997</v>
      </c>
      <c r="C218">
        <v>215.220001</v>
      </c>
      <c r="D218">
        <v>212.199997</v>
      </c>
      <c r="E218">
        <v>213.80999800000001</v>
      </c>
      <c r="F218">
        <v>213.478577</v>
      </c>
      <c r="G218">
        <v>10967900</v>
      </c>
      <c r="I218">
        <f t="shared" si="11"/>
        <v>5.59684226166753E-3</v>
      </c>
      <c r="J218">
        <v>0</v>
      </c>
      <c r="K218">
        <f t="shared" si="9"/>
        <v>5.59684226166753E-3</v>
      </c>
      <c r="L218">
        <f t="shared" si="10"/>
        <v>0.55968422616675295</v>
      </c>
      <c r="M218">
        <v>1.76</v>
      </c>
    </row>
    <row r="219" spans="1:13" x14ac:dyDescent="0.2">
      <c r="A219" s="1">
        <v>44204</v>
      </c>
      <c r="B219">
        <v>214.16999799999999</v>
      </c>
      <c r="C219">
        <v>216.11999499999999</v>
      </c>
      <c r="D219">
        <v>212.75</v>
      </c>
      <c r="E219">
        <v>215.449997</v>
      </c>
      <c r="F219">
        <v>215.116028</v>
      </c>
      <c r="G219">
        <v>6513000</v>
      </c>
      <c r="I219">
        <f t="shared" si="11"/>
        <v>7.6703293745488971E-3</v>
      </c>
      <c r="J219">
        <v>0</v>
      </c>
      <c r="K219">
        <f t="shared" si="9"/>
        <v>7.6703293745488971E-3</v>
      </c>
      <c r="L219">
        <f t="shared" si="10"/>
        <v>0.76703293745488976</v>
      </c>
      <c r="M219">
        <v>0.51</v>
      </c>
    </row>
    <row r="220" spans="1:13" x14ac:dyDescent="0.2">
      <c r="A220" s="1">
        <v>44207</v>
      </c>
      <c r="B220">
        <v>213.96000699999999</v>
      </c>
      <c r="C220">
        <v>214.86000100000001</v>
      </c>
      <c r="D220">
        <v>212.479996</v>
      </c>
      <c r="E220">
        <v>212.88999899999999</v>
      </c>
      <c r="F220">
        <v>212.55999800000001</v>
      </c>
      <c r="G220">
        <v>7354500</v>
      </c>
      <c r="I220">
        <f t="shared" si="11"/>
        <v>-1.1882099273420913E-2</v>
      </c>
      <c r="J220">
        <v>0</v>
      </c>
      <c r="K220">
        <f t="shared" si="9"/>
        <v>-1.1882099273420913E-2</v>
      </c>
      <c r="L220">
        <f t="shared" si="10"/>
        <v>-1.1882099273420912</v>
      </c>
      <c r="M220">
        <v>-0.51</v>
      </c>
    </row>
    <row r="221" spans="1:13" x14ac:dyDescent="0.2">
      <c r="A221" s="1">
        <v>44208</v>
      </c>
      <c r="B221">
        <v>212.33999600000001</v>
      </c>
      <c r="C221">
        <v>212.78999300000001</v>
      </c>
      <c r="D221">
        <v>207.470001</v>
      </c>
      <c r="E221">
        <v>208.86000100000001</v>
      </c>
      <c r="F221">
        <v>208.53625500000001</v>
      </c>
      <c r="G221">
        <v>9331600</v>
      </c>
      <c r="I221">
        <f t="shared" si="11"/>
        <v>-1.892991643705226E-2</v>
      </c>
      <c r="J221">
        <v>0</v>
      </c>
      <c r="K221">
        <f t="shared" si="9"/>
        <v>-1.892991643705226E-2</v>
      </c>
      <c r="L221">
        <f t="shared" si="10"/>
        <v>-1.8929916437052261</v>
      </c>
      <c r="M221">
        <v>0.38</v>
      </c>
    </row>
    <row r="222" spans="1:13" x14ac:dyDescent="0.2">
      <c r="A222" s="1">
        <v>44209</v>
      </c>
      <c r="B222">
        <v>209.41000399999999</v>
      </c>
      <c r="C222">
        <v>211</v>
      </c>
      <c r="D222">
        <v>208.63000500000001</v>
      </c>
      <c r="E222">
        <v>209.35000600000001</v>
      </c>
      <c r="F222">
        <v>209.025497</v>
      </c>
      <c r="G222">
        <v>6688500</v>
      </c>
      <c r="I222">
        <f t="shared" si="11"/>
        <v>2.3460764652169963E-3</v>
      </c>
      <c r="J222">
        <v>0</v>
      </c>
      <c r="K222">
        <f t="shared" si="9"/>
        <v>2.3460764652169963E-3</v>
      </c>
      <c r="L222">
        <f t="shared" si="10"/>
        <v>0.23460764652169963</v>
      </c>
      <c r="M222">
        <v>7.0000000000000007E-2</v>
      </c>
    </row>
    <row r="223" spans="1:13" x14ac:dyDescent="0.2">
      <c r="A223" s="1">
        <v>44210</v>
      </c>
      <c r="B223">
        <v>210.570007</v>
      </c>
      <c r="C223">
        <v>211.21000699999999</v>
      </c>
      <c r="D223">
        <v>201.729996</v>
      </c>
      <c r="E223">
        <v>201.86000100000001</v>
      </c>
      <c r="F223">
        <v>201.54710399999999</v>
      </c>
      <c r="G223">
        <v>12887500</v>
      </c>
      <c r="I223">
        <f t="shared" si="11"/>
        <v>-3.5777420014937271E-2</v>
      </c>
      <c r="J223">
        <v>0</v>
      </c>
      <c r="K223">
        <f t="shared" si="9"/>
        <v>-3.5777420014937271E-2</v>
      </c>
      <c r="L223">
        <f t="shared" si="10"/>
        <v>-3.5777420014937271</v>
      </c>
      <c r="M223">
        <v>-0.11</v>
      </c>
    </row>
    <row r="224" spans="1:13" x14ac:dyDescent="0.2">
      <c r="A224" s="1">
        <v>44211</v>
      </c>
      <c r="B224">
        <v>201.53999300000001</v>
      </c>
      <c r="C224">
        <v>203.259995</v>
      </c>
      <c r="D224">
        <v>200.429993</v>
      </c>
      <c r="E224">
        <v>201.58999600000001</v>
      </c>
      <c r="F224">
        <v>201.277512</v>
      </c>
      <c r="G224">
        <v>8755000</v>
      </c>
      <c r="I224">
        <f t="shared" si="11"/>
        <v>-1.337612868900308E-3</v>
      </c>
      <c r="J224">
        <v>0</v>
      </c>
      <c r="K224">
        <f t="shared" si="9"/>
        <v>-1.337612868900308E-3</v>
      </c>
      <c r="L224">
        <f t="shared" si="10"/>
        <v>-0.13376128689003081</v>
      </c>
      <c r="M224">
        <v>-0.86</v>
      </c>
    </row>
    <row r="225" spans="1:13" x14ac:dyDescent="0.2">
      <c r="A225" s="1">
        <v>44215</v>
      </c>
      <c r="B225">
        <v>203.050003</v>
      </c>
      <c r="C225">
        <v>204.16999799999999</v>
      </c>
      <c r="D225">
        <v>200.070007</v>
      </c>
      <c r="E225">
        <v>201.66000399999999</v>
      </c>
      <c r="F225">
        <v>201.34741199999999</v>
      </c>
      <c r="G225">
        <v>9772000</v>
      </c>
      <c r="I225">
        <f t="shared" si="11"/>
        <v>3.4728171719446659E-4</v>
      </c>
      <c r="J225">
        <v>0</v>
      </c>
      <c r="K225">
        <f t="shared" si="9"/>
        <v>3.4728171719446659E-4</v>
      </c>
      <c r="L225">
        <f t="shared" si="10"/>
        <v>3.4728171719446657E-2</v>
      </c>
      <c r="M225">
        <v>0.91</v>
      </c>
    </row>
    <row r="226" spans="1:13" x14ac:dyDescent="0.2">
      <c r="A226" s="1">
        <v>44216</v>
      </c>
      <c r="B226">
        <v>203.029999</v>
      </c>
      <c r="C226">
        <v>207.19000199999999</v>
      </c>
      <c r="D226">
        <v>202.229996</v>
      </c>
      <c r="E226">
        <v>206.009995</v>
      </c>
      <c r="F226">
        <v>205.69065900000001</v>
      </c>
      <c r="G226">
        <v>12675700</v>
      </c>
      <c r="I226">
        <f t="shared" si="11"/>
        <v>2.1570910481829384E-2</v>
      </c>
      <c r="J226">
        <v>0</v>
      </c>
      <c r="K226">
        <f t="shared" si="9"/>
        <v>2.1570910481829384E-2</v>
      </c>
      <c r="L226">
        <f t="shared" si="10"/>
        <v>2.1570910481829384</v>
      </c>
      <c r="M226">
        <v>1.26</v>
      </c>
    </row>
    <row r="227" spans="1:13" x14ac:dyDescent="0.2">
      <c r="A227" s="1">
        <v>44217</v>
      </c>
      <c r="B227">
        <v>206.050003</v>
      </c>
      <c r="C227">
        <v>207.16999799999999</v>
      </c>
      <c r="D227">
        <v>204.75</v>
      </c>
      <c r="E227">
        <v>205.13999899999999</v>
      </c>
      <c r="F227">
        <v>204.82202100000001</v>
      </c>
      <c r="G227">
        <v>6517900</v>
      </c>
      <c r="I227">
        <f t="shared" si="11"/>
        <v>-4.2230308572252873E-3</v>
      </c>
      <c r="J227">
        <v>0</v>
      </c>
      <c r="K227">
        <f t="shared" si="9"/>
        <v>-4.2230308572252873E-3</v>
      </c>
      <c r="L227">
        <f t="shared" si="10"/>
        <v>-0.42230308572252873</v>
      </c>
      <c r="M227">
        <v>-0.04</v>
      </c>
    </row>
    <row r="228" spans="1:13" x14ac:dyDescent="0.2">
      <c r="A228" s="1">
        <v>44218</v>
      </c>
      <c r="B228">
        <v>203.990005</v>
      </c>
      <c r="C228">
        <v>205.33000200000001</v>
      </c>
      <c r="D228">
        <v>201.800003</v>
      </c>
      <c r="E228">
        <v>202.020004</v>
      </c>
      <c r="F228">
        <v>201.706863</v>
      </c>
      <c r="G228">
        <v>7316200</v>
      </c>
      <c r="I228">
        <f t="shared" si="11"/>
        <v>-1.5209097072623886E-2</v>
      </c>
      <c r="J228">
        <v>0</v>
      </c>
      <c r="K228">
        <f t="shared" si="9"/>
        <v>-1.5209097072623886E-2</v>
      </c>
      <c r="L228">
        <f t="shared" si="10"/>
        <v>-1.5209097072623885</v>
      </c>
      <c r="M228">
        <v>-7.0000000000000007E-2</v>
      </c>
    </row>
    <row r="229" spans="1:13" x14ac:dyDescent="0.2">
      <c r="A229" s="1">
        <v>44221</v>
      </c>
      <c r="B229">
        <v>200.33999600000001</v>
      </c>
      <c r="C229">
        <v>201.63999899999999</v>
      </c>
      <c r="D229">
        <v>195.75</v>
      </c>
      <c r="E229">
        <v>200.979996</v>
      </c>
      <c r="F229">
        <v>200.66845699999999</v>
      </c>
      <c r="G229">
        <v>19282400</v>
      </c>
      <c r="I229">
        <f t="shared" si="11"/>
        <v>-5.1480945395497475E-3</v>
      </c>
      <c r="J229">
        <v>0</v>
      </c>
      <c r="K229">
        <f t="shared" si="9"/>
        <v>-5.1480945395497475E-3</v>
      </c>
      <c r="L229">
        <f t="shared" si="10"/>
        <v>-0.51480945395497479</v>
      </c>
      <c r="M229">
        <v>0.28000000000000003</v>
      </c>
    </row>
    <row r="230" spans="1:13" x14ac:dyDescent="0.2">
      <c r="A230" s="1">
        <v>44222</v>
      </c>
      <c r="B230">
        <v>201.759995</v>
      </c>
      <c r="C230">
        <v>203.490005</v>
      </c>
      <c r="D230">
        <v>200.970001</v>
      </c>
      <c r="E230">
        <v>202.009995</v>
      </c>
      <c r="F230">
        <v>201.69686899999999</v>
      </c>
      <c r="G230">
        <v>9605300</v>
      </c>
      <c r="I230">
        <f t="shared" si="11"/>
        <v>5.1249310199260817E-3</v>
      </c>
      <c r="J230">
        <v>0</v>
      </c>
      <c r="K230">
        <f t="shared" si="9"/>
        <v>5.1249310199260817E-3</v>
      </c>
      <c r="L230">
        <f t="shared" si="10"/>
        <v>0.51249310199260822</v>
      </c>
      <c r="M230">
        <v>-0.32</v>
      </c>
    </row>
    <row r="231" spans="1:13" x14ac:dyDescent="0.2">
      <c r="A231" s="1">
        <v>44223</v>
      </c>
      <c r="B231">
        <v>197.63999899999999</v>
      </c>
      <c r="C231">
        <v>199.699997</v>
      </c>
      <c r="D231">
        <v>193.96000699999999</v>
      </c>
      <c r="E231">
        <v>194.970001</v>
      </c>
      <c r="F231">
        <v>194.66778600000001</v>
      </c>
      <c r="G231">
        <v>13772400</v>
      </c>
      <c r="I231">
        <f t="shared" si="11"/>
        <v>-3.4849737801333873E-2</v>
      </c>
      <c r="J231">
        <v>0</v>
      </c>
      <c r="K231">
        <f t="shared" si="9"/>
        <v>-3.4849737801333873E-2</v>
      </c>
      <c r="L231">
        <f t="shared" si="10"/>
        <v>-3.4849737801333873</v>
      </c>
      <c r="M231">
        <v>-2.5299999999999998</v>
      </c>
    </row>
    <row r="232" spans="1:13" x14ac:dyDescent="0.2">
      <c r="A232" s="1">
        <v>44224</v>
      </c>
      <c r="B232">
        <v>200</v>
      </c>
      <c r="C232">
        <v>202</v>
      </c>
      <c r="D232">
        <v>198.16999799999999</v>
      </c>
      <c r="E232">
        <v>198.220001</v>
      </c>
      <c r="F232">
        <v>197.91274999999999</v>
      </c>
      <c r="G232">
        <v>11041300</v>
      </c>
      <c r="I232">
        <f t="shared" si="11"/>
        <v>1.6669239768309595E-2</v>
      </c>
      <c r="J232">
        <v>0</v>
      </c>
      <c r="K232">
        <f t="shared" si="9"/>
        <v>1.6669239768309595E-2</v>
      </c>
      <c r="L232">
        <f t="shared" si="10"/>
        <v>1.6669239768309596</v>
      </c>
      <c r="M232">
        <v>0.92</v>
      </c>
    </row>
    <row r="233" spans="1:13" x14ac:dyDescent="0.2">
      <c r="A233" s="1">
        <v>44225</v>
      </c>
      <c r="B233">
        <v>197.820007</v>
      </c>
      <c r="C233">
        <v>203.050003</v>
      </c>
      <c r="D233">
        <v>192.80999800000001</v>
      </c>
      <c r="E233">
        <v>193.25</v>
      </c>
      <c r="F233">
        <v>192.95045500000001</v>
      </c>
      <c r="G233">
        <v>21499500</v>
      </c>
      <c r="I233">
        <f t="shared" si="11"/>
        <v>-2.5073144605387898E-2</v>
      </c>
      <c r="J233">
        <v>0</v>
      </c>
      <c r="K233">
        <f t="shared" si="9"/>
        <v>-2.5073144605387898E-2</v>
      </c>
      <c r="L233">
        <f t="shared" si="10"/>
        <v>-2.5073144605387898</v>
      </c>
      <c r="M233">
        <v>-1.84</v>
      </c>
    </row>
    <row r="234" spans="1:13" x14ac:dyDescent="0.2">
      <c r="A234" s="1">
        <v>44228</v>
      </c>
      <c r="B234">
        <v>195.13999899999999</v>
      </c>
      <c r="C234">
        <v>199.21000699999999</v>
      </c>
      <c r="D234">
        <v>195.020004</v>
      </c>
      <c r="E234">
        <v>198.36000100000001</v>
      </c>
      <c r="F234">
        <v>198.05252100000001</v>
      </c>
      <c r="G234">
        <v>12970700</v>
      </c>
      <c r="I234">
        <f t="shared" si="11"/>
        <v>2.6442363144466321E-2</v>
      </c>
      <c r="J234">
        <v>0</v>
      </c>
      <c r="K234">
        <f t="shared" si="9"/>
        <v>2.6442363144466321E-2</v>
      </c>
      <c r="L234">
        <f t="shared" si="10"/>
        <v>2.6442363144466321</v>
      </c>
      <c r="M234">
        <v>1.73</v>
      </c>
    </row>
    <row r="235" spans="1:13" x14ac:dyDescent="0.2">
      <c r="A235" s="1">
        <v>44229</v>
      </c>
      <c r="B235">
        <v>200.85000600000001</v>
      </c>
      <c r="C235">
        <v>204.35000600000001</v>
      </c>
      <c r="D235">
        <v>200</v>
      </c>
      <c r="E235">
        <v>202.61000100000001</v>
      </c>
      <c r="F235">
        <v>202.29594399999999</v>
      </c>
      <c r="G235">
        <v>11305100</v>
      </c>
      <c r="I235">
        <f t="shared" si="11"/>
        <v>2.1425745951499292E-2</v>
      </c>
      <c r="J235">
        <v>0</v>
      </c>
      <c r="K235">
        <f t="shared" si="9"/>
        <v>2.1425745951499292E-2</v>
      </c>
      <c r="L235">
        <f t="shared" si="10"/>
        <v>2.1425745951499291</v>
      </c>
      <c r="M235">
        <v>1.48</v>
      </c>
    </row>
    <row r="236" spans="1:13" x14ac:dyDescent="0.2">
      <c r="A236" s="1">
        <v>44230</v>
      </c>
      <c r="B236">
        <v>203.070007</v>
      </c>
      <c r="C236">
        <v>203.509995</v>
      </c>
      <c r="D236">
        <v>200.979996</v>
      </c>
      <c r="E236">
        <v>201.36000100000001</v>
      </c>
      <c r="F236">
        <v>201.04788199999999</v>
      </c>
      <c r="G236">
        <v>13458600</v>
      </c>
      <c r="I236">
        <f t="shared" si="11"/>
        <v>-6.1694860278563197E-3</v>
      </c>
      <c r="J236">
        <v>0</v>
      </c>
      <c r="K236">
        <f t="shared" si="9"/>
        <v>-6.1694860278563197E-3</v>
      </c>
      <c r="L236">
        <f t="shared" si="10"/>
        <v>-0.61694860278563202</v>
      </c>
      <c r="M236">
        <v>0.16</v>
      </c>
    </row>
    <row r="237" spans="1:13" x14ac:dyDescent="0.2">
      <c r="A237" s="1">
        <v>44231</v>
      </c>
      <c r="B237">
        <v>203.240005</v>
      </c>
      <c r="C237">
        <v>209.679993</v>
      </c>
      <c r="D237">
        <v>203.10000600000001</v>
      </c>
      <c r="E237">
        <v>209.25</v>
      </c>
      <c r="F237">
        <v>208.92564400000001</v>
      </c>
      <c r="G237">
        <v>14534800</v>
      </c>
      <c r="I237">
        <f t="shared" si="11"/>
        <v>3.9183511517917997E-2</v>
      </c>
      <c r="J237">
        <v>0</v>
      </c>
      <c r="K237">
        <f t="shared" si="9"/>
        <v>3.9183511517917997E-2</v>
      </c>
      <c r="L237">
        <f t="shared" si="10"/>
        <v>3.9183511517917999</v>
      </c>
      <c r="M237">
        <v>1.23</v>
      </c>
    </row>
    <row r="238" spans="1:13" x14ac:dyDescent="0.2">
      <c r="A238" s="1">
        <v>44232</v>
      </c>
      <c r="B238">
        <v>209.979996</v>
      </c>
      <c r="C238">
        <v>210.13000500000001</v>
      </c>
      <c r="D238">
        <v>208.66000399999999</v>
      </c>
      <c r="E238">
        <v>208.770004</v>
      </c>
      <c r="F238">
        <v>208.44639599999999</v>
      </c>
      <c r="G238">
        <v>10281700</v>
      </c>
      <c r="I238">
        <f t="shared" si="11"/>
        <v>-2.2938687220225226E-3</v>
      </c>
      <c r="J238">
        <v>0</v>
      </c>
      <c r="K238">
        <f t="shared" si="9"/>
        <v>-2.2938687220225226E-3</v>
      </c>
      <c r="L238">
        <f t="shared" si="10"/>
        <v>-0.22938687220225226</v>
      </c>
      <c r="M238">
        <v>0.57999999999999996</v>
      </c>
    </row>
    <row r="239" spans="1:13" x14ac:dyDescent="0.2">
      <c r="A239" s="1">
        <v>44235</v>
      </c>
      <c r="B239">
        <v>210</v>
      </c>
      <c r="C239">
        <v>210.64999399999999</v>
      </c>
      <c r="D239">
        <v>205.91000399999999</v>
      </c>
      <c r="E239">
        <v>206.88999899999999</v>
      </c>
      <c r="F239">
        <v>206.56930500000001</v>
      </c>
      <c r="G239">
        <v>8637100</v>
      </c>
      <c r="I239">
        <f t="shared" si="11"/>
        <v>-9.0051496980546441E-3</v>
      </c>
      <c r="J239">
        <v>0</v>
      </c>
      <c r="K239">
        <f t="shared" si="9"/>
        <v>-9.0051496980546441E-3</v>
      </c>
      <c r="L239">
        <f t="shared" si="10"/>
        <v>-0.90051496980546442</v>
      </c>
      <c r="M239">
        <v>0.96</v>
      </c>
    </row>
    <row r="240" spans="1:13" x14ac:dyDescent="0.2">
      <c r="A240" s="1">
        <v>44236</v>
      </c>
      <c r="B240">
        <v>205.759995</v>
      </c>
      <c r="C240">
        <v>207.63000500000001</v>
      </c>
      <c r="D240">
        <v>203.699997</v>
      </c>
      <c r="E240">
        <v>206.520004</v>
      </c>
      <c r="F240">
        <v>206.19987499999999</v>
      </c>
      <c r="G240">
        <v>7619400</v>
      </c>
      <c r="I240">
        <f t="shared" si="11"/>
        <v>-1.7884070433408417E-3</v>
      </c>
      <c r="J240">
        <v>0</v>
      </c>
      <c r="K240">
        <f t="shared" si="9"/>
        <v>-1.7884070433408417E-3</v>
      </c>
      <c r="L240">
        <f t="shared" si="10"/>
        <v>-0.17884070433408417</v>
      </c>
      <c r="M240">
        <v>0.05</v>
      </c>
    </row>
    <row r="241" spans="1:13" x14ac:dyDescent="0.2">
      <c r="A241" s="1">
        <v>44237</v>
      </c>
      <c r="B241">
        <v>207.970001</v>
      </c>
      <c r="C241">
        <v>207.970001</v>
      </c>
      <c r="D241">
        <v>205.94000199999999</v>
      </c>
      <c r="E241">
        <v>206.44000199999999</v>
      </c>
      <c r="F241">
        <v>206.12001000000001</v>
      </c>
      <c r="G241">
        <v>8467600</v>
      </c>
      <c r="I241">
        <f t="shared" si="11"/>
        <v>-3.8731837252560834E-4</v>
      </c>
      <c r="J241">
        <v>0</v>
      </c>
      <c r="K241">
        <f t="shared" si="9"/>
        <v>-3.8731837252560834E-4</v>
      </c>
      <c r="L241">
        <f t="shared" si="10"/>
        <v>-3.8731837252560831E-2</v>
      </c>
      <c r="M241">
        <v>-7.0000000000000007E-2</v>
      </c>
    </row>
    <row r="242" spans="1:13" x14ac:dyDescent="0.2">
      <c r="A242" s="1">
        <v>44238</v>
      </c>
      <c r="B242">
        <v>207.33000200000001</v>
      </c>
      <c r="C242">
        <v>211.58999600000001</v>
      </c>
      <c r="D242">
        <v>207.19000199999999</v>
      </c>
      <c r="E242">
        <v>210.66000399999999</v>
      </c>
      <c r="F242">
        <v>210.66000399999999</v>
      </c>
      <c r="G242">
        <v>8407800</v>
      </c>
      <c r="I242">
        <f t="shared" si="11"/>
        <v>2.2025974091501251E-2</v>
      </c>
      <c r="J242">
        <v>0</v>
      </c>
      <c r="K242">
        <f t="shared" si="9"/>
        <v>2.2025974091501251E-2</v>
      </c>
      <c r="L242">
        <f t="shared" si="10"/>
        <v>2.2025974091501253</v>
      </c>
      <c r="M242">
        <v>0.19</v>
      </c>
    </row>
    <row r="243" spans="1:13" x14ac:dyDescent="0.2">
      <c r="A243" s="1">
        <v>44239</v>
      </c>
      <c r="B243">
        <v>209.36000100000001</v>
      </c>
      <c r="C243">
        <v>211.13000500000001</v>
      </c>
      <c r="D243">
        <v>207.679993</v>
      </c>
      <c r="E243">
        <v>209.96000699999999</v>
      </c>
      <c r="F243">
        <v>209.96000699999999</v>
      </c>
      <c r="G243">
        <v>6910600</v>
      </c>
      <c r="I243">
        <f t="shared" si="11"/>
        <v>-3.3228756608207235E-3</v>
      </c>
      <c r="J243">
        <v>0</v>
      </c>
      <c r="K243">
        <f t="shared" si="9"/>
        <v>-3.3228756608207235E-3</v>
      </c>
      <c r="L243">
        <f t="shared" si="10"/>
        <v>-0.33228756608207233</v>
      </c>
      <c r="M243">
        <v>0.49</v>
      </c>
    </row>
    <row r="244" spans="1:13" x14ac:dyDescent="0.2">
      <c r="A244" s="1">
        <v>44243</v>
      </c>
      <c r="B244">
        <v>210.66000399999999</v>
      </c>
      <c r="C244">
        <v>211.050003</v>
      </c>
      <c r="D244">
        <v>207.35000600000001</v>
      </c>
      <c r="E244">
        <v>207.89999399999999</v>
      </c>
      <c r="F244">
        <v>207.89999399999999</v>
      </c>
      <c r="G244">
        <v>9652700</v>
      </c>
      <c r="I244">
        <f t="shared" si="11"/>
        <v>-9.8114542356630714E-3</v>
      </c>
      <c r="J244">
        <v>0</v>
      </c>
      <c r="K244">
        <f t="shared" si="9"/>
        <v>-9.8114542356630714E-3</v>
      </c>
      <c r="L244">
        <f t="shared" si="10"/>
        <v>-0.98114542356630718</v>
      </c>
      <c r="M244">
        <v>-0.14000000000000001</v>
      </c>
    </row>
    <row r="245" spans="1:13" x14ac:dyDescent="0.2">
      <c r="A245" s="1">
        <v>44244</v>
      </c>
      <c r="B245">
        <v>205.259995</v>
      </c>
      <c r="C245">
        <v>208.279999</v>
      </c>
      <c r="D245">
        <v>205.05999800000001</v>
      </c>
      <c r="E245">
        <v>207.509995</v>
      </c>
      <c r="F245">
        <v>207.509995</v>
      </c>
      <c r="G245">
        <v>8373200</v>
      </c>
      <c r="I245">
        <f t="shared" si="11"/>
        <v>-1.8758971200354576E-3</v>
      </c>
      <c r="J245">
        <v>0</v>
      </c>
      <c r="K245">
        <f t="shared" si="9"/>
        <v>-1.8758971200354576E-3</v>
      </c>
      <c r="L245">
        <f t="shared" si="10"/>
        <v>-0.18758971200354577</v>
      </c>
      <c r="M245">
        <v>-0.2</v>
      </c>
    </row>
    <row r="246" spans="1:13" x14ac:dyDescent="0.2">
      <c r="A246" s="1">
        <v>44245</v>
      </c>
      <c r="B246">
        <v>205.88000500000001</v>
      </c>
      <c r="C246">
        <v>209.699997</v>
      </c>
      <c r="D246">
        <v>204.96000699999999</v>
      </c>
      <c r="E246">
        <v>209.35000600000001</v>
      </c>
      <c r="F246">
        <v>209.35000600000001</v>
      </c>
      <c r="G246">
        <v>7328600</v>
      </c>
      <c r="I246">
        <f t="shared" si="11"/>
        <v>8.8670957753143598E-3</v>
      </c>
      <c r="J246">
        <v>0</v>
      </c>
      <c r="K246">
        <f t="shared" si="9"/>
        <v>8.8670957753143598E-3</v>
      </c>
      <c r="L246">
        <f t="shared" si="10"/>
        <v>0.88670957753143598</v>
      </c>
      <c r="M246">
        <v>-0.63</v>
      </c>
    </row>
    <row r="247" spans="1:13" x14ac:dyDescent="0.2">
      <c r="A247" s="1">
        <v>44246</v>
      </c>
      <c r="B247">
        <v>209.33999600000001</v>
      </c>
      <c r="C247">
        <v>209.529999</v>
      </c>
      <c r="D247">
        <v>203.759995</v>
      </c>
      <c r="E247">
        <v>204.729996</v>
      </c>
      <c r="F247">
        <v>204.729996</v>
      </c>
      <c r="G247">
        <v>15011500</v>
      </c>
      <c r="I247">
        <f t="shared" si="11"/>
        <v>-2.2068353797897705E-2</v>
      </c>
      <c r="J247">
        <v>0</v>
      </c>
      <c r="K247">
        <f t="shared" si="9"/>
        <v>-2.2068353797897705E-2</v>
      </c>
      <c r="L247">
        <f t="shared" si="10"/>
        <v>-2.2068353797897706</v>
      </c>
      <c r="M247">
        <v>0.16</v>
      </c>
    </row>
    <row r="248" spans="1:13" x14ac:dyDescent="0.2">
      <c r="A248" s="1">
        <v>44249</v>
      </c>
      <c r="B248">
        <v>203.550003</v>
      </c>
      <c r="C248">
        <v>210.64999399999999</v>
      </c>
      <c r="D248">
        <v>203.11000100000001</v>
      </c>
      <c r="E248">
        <v>208.320007</v>
      </c>
      <c r="F248">
        <v>208.320007</v>
      </c>
      <c r="G248">
        <v>8337700</v>
      </c>
      <c r="I248">
        <f t="shared" si="11"/>
        <v>1.7535344454361265E-2</v>
      </c>
      <c r="J248">
        <v>0</v>
      </c>
      <c r="K248">
        <f t="shared" si="9"/>
        <v>1.7535344454361265E-2</v>
      </c>
      <c r="L248">
        <f t="shared" si="10"/>
        <v>1.7535344454361266</v>
      </c>
      <c r="M248">
        <v>-1.1200000000000001</v>
      </c>
    </row>
    <row r="249" spans="1:13" x14ac:dyDescent="0.2">
      <c r="A249" s="1">
        <v>44250</v>
      </c>
      <c r="B249">
        <v>207.39999399999999</v>
      </c>
      <c r="C249">
        <v>213.91000399999999</v>
      </c>
      <c r="D249">
        <v>206.550003</v>
      </c>
      <c r="E249">
        <v>212.11000100000001</v>
      </c>
      <c r="F249">
        <v>212.11000100000001</v>
      </c>
      <c r="G249">
        <v>10571700</v>
      </c>
      <c r="I249">
        <f t="shared" si="11"/>
        <v>1.8193134949347458E-2</v>
      </c>
      <c r="J249">
        <v>0</v>
      </c>
      <c r="K249">
        <f t="shared" si="9"/>
        <v>1.8193134949347458E-2</v>
      </c>
      <c r="L249">
        <f t="shared" si="10"/>
        <v>1.8193134949347458</v>
      </c>
      <c r="M249">
        <v>-0.15</v>
      </c>
    </row>
    <row r="250" spans="1:13" x14ac:dyDescent="0.2">
      <c r="A250" s="1">
        <v>44251</v>
      </c>
      <c r="B250">
        <v>212.36000100000001</v>
      </c>
      <c r="C250">
        <v>220.529999</v>
      </c>
      <c r="D250">
        <v>211.28999300000001</v>
      </c>
      <c r="E250">
        <v>219.429993</v>
      </c>
      <c r="F250">
        <v>219.429993</v>
      </c>
      <c r="G250">
        <v>12039000</v>
      </c>
      <c r="I250">
        <f t="shared" si="11"/>
        <v>3.4510357670499398E-2</v>
      </c>
      <c r="J250">
        <v>0</v>
      </c>
      <c r="K250">
        <f t="shared" si="9"/>
        <v>3.4510357670499398E-2</v>
      </c>
      <c r="L250">
        <f t="shared" si="10"/>
        <v>3.4510357670499396</v>
      </c>
      <c r="M250">
        <v>1.1499999999999999</v>
      </c>
    </row>
    <row r="251" spans="1:13" x14ac:dyDescent="0.2">
      <c r="A251" s="1">
        <v>44252</v>
      </c>
      <c r="B251">
        <v>219.28999300000001</v>
      </c>
      <c r="C251">
        <v>220.449997</v>
      </c>
      <c r="D251">
        <v>212.58000200000001</v>
      </c>
      <c r="E251">
        <v>213.75</v>
      </c>
      <c r="F251">
        <v>213.75</v>
      </c>
      <c r="G251">
        <v>11404300</v>
      </c>
      <c r="I251">
        <f t="shared" si="11"/>
        <v>-2.5885217067841752E-2</v>
      </c>
      <c r="J251">
        <v>0</v>
      </c>
      <c r="K251">
        <f t="shared" si="9"/>
        <v>-2.5885217067841752E-2</v>
      </c>
      <c r="L251">
        <f t="shared" si="10"/>
        <v>-2.5885217067841753</v>
      </c>
      <c r="M251">
        <v>-2.73</v>
      </c>
    </row>
    <row r="252" spans="1:13" x14ac:dyDescent="0.2">
      <c r="A252" s="1">
        <v>44253</v>
      </c>
      <c r="B252">
        <v>214.050003</v>
      </c>
      <c r="C252">
        <v>215.21000699999999</v>
      </c>
      <c r="D252">
        <v>210.740005</v>
      </c>
      <c r="E252">
        <v>212.38999899999999</v>
      </c>
      <c r="F252">
        <v>212.38999899999999</v>
      </c>
      <c r="G252">
        <v>11726800</v>
      </c>
      <c r="I252">
        <f t="shared" si="11"/>
        <v>-6.3625777777778295E-3</v>
      </c>
      <c r="J252">
        <v>0</v>
      </c>
      <c r="K252">
        <f t="shared" si="9"/>
        <v>-6.3625777777778295E-3</v>
      </c>
      <c r="L252">
        <f t="shared" si="10"/>
        <v>-0.63625777777778292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2021-04-29T13:24:46Z</dcterms:created>
  <dcterms:modified xsi:type="dcterms:W3CDTF">2021-04-29T16:31:46Z</dcterms:modified>
</cp:coreProperties>
</file>