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xiaohongyu/Desktop/CAPM OLS/"/>
    </mc:Choice>
  </mc:AlternateContent>
  <xr:revisionPtr revIDLastSave="0" documentId="13_ncr:1_{1B8972D5-7CC8-9648-8D6D-622B3B22C971}" xr6:coauthVersionLast="46" xr6:coauthVersionMax="46" xr10:uidLastSave="{00000000-0000-0000-0000-000000000000}"/>
  <bookViews>
    <workbookView xWindow="1900" yWindow="460" windowWidth="26840" windowHeight="14820" activeTab="2" xr2:uid="{00000000-000D-0000-FFFF-FFFF00000000}"/>
  </bookViews>
  <sheets>
    <sheet name="Sheet2" sheetId="2" r:id="rId1"/>
    <sheet name="Sheet1" sheetId="3" r:id="rId2"/>
    <sheet name="FB" sheetId="1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52" i="1" l="1"/>
  <c r="K252" i="1" s="1"/>
  <c r="L252" i="1" s="1"/>
  <c r="I251" i="1"/>
  <c r="K251" i="1" s="1"/>
  <c r="L251" i="1" s="1"/>
  <c r="I250" i="1"/>
  <c r="K250" i="1" s="1"/>
  <c r="L250" i="1" s="1"/>
  <c r="I249" i="1"/>
  <c r="K249" i="1" s="1"/>
  <c r="L249" i="1" s="1"/>
  <c r="I248" i="1"/>
  <c r="K248" i="1" s="1"/>
  <c r="L248" i="1" s="1"/>
  <c r="I247" i="1"/>
  <c r="K247" i="1" s="1"/>
  <c r="L247" i="1" s="1"/>
  <c r="I246" i="1"/>
  <c r="K246" i="1" s="1"/>
  <c r="L246" i="1" s="1"/>
  <c r="I245" i="1"/>
  <c r="K245" i="1" s="1"/>
  <c r="L245" i="1" s="1"/>
  <c r="I244" i="1"/>
  <c r="K244" i="1" s="1"/>
  <c r="L244" i="1" s="1"/>
  <c r="I243" i="1"/>
  <c r="K243" i="1" s="1"/>
  <c r="L243" i="1" s="1"/>
  <c r="I242" i="1"/>
  <c r="K242" i="1" s="1"/>
  <c r="L242" i="1" s="1"/>
  <c r="I241" i="1"/>
  <c r="K241" i="1" s="1"/>
  <c r="L241" i="1" s="1"/>
  <c r="I240" i="1"/>
  <c r="K240" i="1" s="1"/>
  <c r="L240" i="1" s="1"/>
  <c r="I239" i="1"/>
  <c r="K239" i="1" s="1"/>
  <c r="L239" i="1" s="1"/>
  <c r="I238" i="1"/>
  <c r="K238" i="1" s="1"/>
  <c r="L238" i="1" s="1"/>
  <c r="I237" i="1"/>
  <c r="K237" i="1" s="1"/>
  <c r="L237" i="1" s="1"/>
  <c r="I236" i="1"/>
  <c r="K236" i="1" s="1"/>
  <c r="L236" i="1" s="1"/>
  <c r="I235" i="1"/>
  <c r="K235" i="1" s="1"/>
  <c r="L235" i="1" s="1"/>
  <c r="I234" i="1"/>
  <c r="K234" i="1" s="1"/>
  <c r="L234" i="1" s="1"/>
  <c r="I233" i="1"/>
  <c r="K233" i="1" s="1"/>
  <c r="L233" i="1" s="1"/>
  <c r="I232" i="1"/>
  <c r="K232" i="1" s="1"/>
  <c r="L232" i="1" s="1"/>
  <c r="I231" i="1"/>
  <c r="K231" i="1" s="1"/>
  <c r="L231" i="1" s="1"/>
  <c r="I230" i="1"/>
  <c r="K230" i="1" s="1"/>
  <c r="L230" i="1" s="1"/>
  <c r="I229" i="1"/>
  <c r="K229" i="1" s="1"/>
  <c r="L229" i="1" s="1"/>
  <c r="I228" i="1"/>
  <c r="K228" i="1" s="1"/>
  <c r="L228" i="1" s="1"/>
  <c r="I227" i="1"/>
  <c r="K227" i="1" s="1"/>
  <c r="L227" i="1" s="1"/>
  <c r="I226" i="1"/>
  <c r="K226" i="1" s="1"/>
  <c r="L226" i="1" s="1"/>
  <c r="I225" i="1"/>
  <c r="K225" i="1" s="1"/>
  <c r="L225" i="1" s="1"/>
  <c r="I224" i="1"/>
  <c r="K224" i="1" s="1"/>
  <c r="L224" i="1" s="1"/>
  <c r="I223" i="1"/>
  <c r="K223" i="1" s="1"/>
  <c r="L223" i="1" s="1"/>
  <c r="I222" i="1"/>
  <c r="K222" i="1" s="1"/>
  <c r="L222" i="1" s="1"/>
  <c r="I221" i="1"/>
  <c r="K221" i="1" s="1"/>
  <c r="L221" i="1" s="1"/>
  <c r="I220" i="1"/>
  <c r="K220" i="1" s="1"/>
  <c r="L220" i="1" s="1"/>
  <c r="I219" i="1"/>
  <c r="K219" i="1" s="1"/>
  <c r="L219" i="1" s="1"/>
  <c r="I218" i="1"/>
  <c r="K218" i="1" s="1"/>
  <c r="L218" i="1" s="1"/>
  <c r="I217" i="1"/>
  <c r="K217" i="1" s="1"/>
  <c r="L217" i="1" s="1"/>
  <c r="I216" i="1"/>
  <c r="K216" i="1" s="1"/>
  <c r="L216" i="1" s="1"/>
  <c r="I215" i="1"/>
  <c r="K215" i="1" s="1"/>
  <c r="L215" i="1" s="1"/>
  <c r="I214" i="1"/>
  <c r="K214" i="1" s="1"/>
  <c r="L214" i="1" s="1"/>
  <c r="I213" i="1"/>
  <c r="K213" i="1" s="1"/>
  <c r="L213" i="1" s="1"/>
  <c r="I212" i="1"/>
  <c r="K212" i="1" s="1"/>
  <c r="L212" i="1" s="1"/>
  <c r="I211" i="1"/>
  <c r="K211" i="1" s="1"/>
  <c r="L211" i="1" s="1"/>
  <c r="I210" i="1"/>
  <c r="K210" i="1" s="1"/>
  <c r="L210" i="1" s="1"/>
  <c r="I209" i="1"/>
  <c r="K209" i="1" s="1"/>
  <c r="L209" i="1" s="1"/>
  <c r="I208" i="1"/>
  <c r="K208" i="1" s="1"/>
  <c r="L208" i="1" s="1"/>
  <c r="I207" i="1"/>
  <c r="K207" i="1" s="1"/>
  <c r="L207" i="1" s="1"/>
  <c r="I206" i="1"/>
  <c r="K206" i="1" s="1"/>
  <c r="L206" i="1" s="1"/>
  <c r="I205" i="1"/>
  <c r="K205" i="1" s="1"/>
  <c r="L205" i="1" s="1"/>
  <c r="I204" i="1"/>
  <c r="K204" i="1" s="1"/>
  <c r="L204" i="1" s="1"/>
  <c r="I203" i="1"/>
  <c r="K203" i="1" s="1"/>
  <c r="L203" i="1" s="1"/>
  <c r="I202" i="1"/>
  <c r="K202" i="1" s="1"/>
  <c r="L202" i="1" s="1"/>
  <c r="I201" i="1"/>
  <c r="K201" i="1" s="1"/>
  <c r="L201" i="1" s="1"/>
  <c r="I200" i="1"/>
  <c r="K200" i="1" s="1"/>
  <c r="L200" i="1" s="1"/>
  <c r="I199" i="1"/>
  <c r="K199" i="1" s="1"/>
  <c r="L199" i="1" s="1"/>
  <c r="I198" i="1"/>
  <c r="K198" i="1" s="1"/>
  <c r="L198" i="1" s="1"/>
  <c r="I197" i="1"/>
  <c r="K197" i="1" s="1"/>
  <c r="L197" i="1" s="1"/>
  <c r="I196" i="1"/>
  <c r="K196" i="1" s="1"/>
  <c r="L196" i="1" s="1"/>
  <c r="I195" i="1"/>
  <c r="K195" i="1" s="1"/>
  <c r="L195" i="1" s="1"/>
  <c r="I194" i="1"/>
  <c r="K194" i="1" s="1"/>
  <c r="L194" i="1" s="1"/>
  <c r="I193" i="1"/>
  <c r="K193" i="1" s="1"/>
  <c r="L193" i="1" s="1"/>
  <c r="I192" i="1"/>
  <c r="K192" i="1" s="1"/>
  <c r="L192" i="1" s="1"/>
  <c r="I191" i="1"/>
  <c r="K191" i="1" s="1"/>
  <c r="L191" i="1" s="1"/>
  <c r="I190" i="1"/>
  <c r="K190" i="1" s="1"/>
  <c r="L190" i="1" s="1"/>
  <c r="I189" i="1"/>
  <c r="K189" i="1" s="1"/>
  <c r="L189" i="1" s="1"/>
  <c r="I188" i="1"/>
  <c r="K188" i="1" s="1"/>
  <c r="L188" i="1" s="1"/>
  <c r="I187" i="1"/>
  <c r="K187" i="1" s="1"/>
  <c r="L187" i="1" s="1"/>
  <c r="I186" i="1"/>
  <c r="K186" i="1" s="1"/>
  <c r="L186" i="1" s="1"/>
  <c r="I185" i="1"/>
  <c r="K185" i="1" s="1"/>
  <c r="L185" i="1" s="1"/>
  <c r="I184" i="1"/>
  <c r="K184" i="1" s="1"/>
  <c r="L184" i="1" s="1"/>
  <c r="I183" i="1"/>
  <c r="K183" i="1" s="1"/>
  <c r="L183" i="1" s="1"/>
  <c r="I182" i="1"/>
  <c r="K182" i="1" s="1"/>
  <c r="L182" i="1" s="1"/>
  <c r="I181" i="1"/>
  <c r="K181" i="1" s="1"/>
  <c r="L181" i="1" s="1"/>
  <c r="I180" i="1"/>
  <c r="K180" i="1" s="1"/>
  <c r="L180" i="1" s="1"/>
  <c r="I179" i="1"/>
  <c r="K179" i="1" s="1"/>
  <c r="L179" i="1" s="1"/>
  <c r="I178" i="1"/>
  <c r="K178" i="1" s="1"/>
  <c r="L178" i="1" s="1"/>
  <c r="I177" i="1"/>
  <c r="K177" i="1" s="1"/>
  <c r="L177" i="1" s="1"/>
  <c r="I176" i="1"/>
  <c r="K176" i="1" s="1"/>
  <c r="L176" i="1" s="1"/>
  <c r="I175" i="1"/>
  <c r="K175" i="1" s="1"/>
  <c r="L175" i="1" s="1"/>
  <c r="I174" i="1"/>
  <c r="K174" i="1" s="1"/>
  <c r="L174" i="1" s="1"/>
  <c r="I173" i="1"/>
  <c r="K173" i="1" s="1"/>
  <c r="L173" i="1" s="1"/>
  <c r="I172" i="1"/>
  <c r="K172" i="1" s="1"/>
  <c r="L172" i="1" s="1"/>
  <c r="I171" i="1"/>
  <c r="K171" i="1" s="1"/>
  <c r="L171" i="1" s="1"/>
  <c r="I170" i="1"/>
  <c r="K170" i="1" s="1"/>
  <c r="L170" i="1" s="1"/>
  <c r="I169" i="1"/>
  <c r="K169" i="1" s="1"/>
  <c r="L169" i="1" s="1"/>
  <c r="I168" i="1"/>
  <c r="K168" i="1" s="1"/>
  <c r="L168" i="1" s="1"/>
  <c r="I167" i="1"/>
  <c r="K167" i="1" s="1"/>
  <c r="L167" i="1" s="1"/>
  <c r="I166" i="1"/>
  <c r="K166" i="1" s="1"/>
  <c r="L166" i="1" s="1"/>
  <c r="I165" i="1"/>
  <c r="K165" i="1" s="1"/>
  <c r="L165" i="1" s="1"/>
  <c r="I164" i="1"/>
  <c r="K164" i="1" s="1"/>
  <c r="L164" i="1" s="1"/>
  <c r="I163" i="1"/>
  <c r="K163" i="1" s="1"/>
  <c r="L163" i="1" s="1"/>
  <c r="I162" i="1"/>
  <c r="K162" i="1" s="1"/>
  <c r="L162" i="1" s="1"/>
  <c r="I161" i="1"/>
  <c r="K161" i="1" s="1"/>
  <c r="L161" i="1" s="1"/>
  <c r="I160" i="1"/>
  <c r="K160" i="1" s="1"/>
  <c r="L160" i="1" s="1"/>
  <c r="I159" i="1"/>
  <c r="K159" i="1" s="1"/>
  <c r="L159" i="1" s="1"/>
  <c r="I158" i="1"/>
  <c r="K158" i="1" s="1"/>
  <c r="L158" i="1" s="1"/>
  <c r="I157" i="1"/>
  <c r="K157" i="1" s="1"/>
  <c r="L157" i="1" s="1"/>
  <c r="I156" i="1"/>
  <c r="K156" i="1" s="1"/>
  <c r="L156" i="1" s="1"/>
  <c r="I155" i="1"/>
  <c r="K155" i="1" s="1"/>
  <c r="L155" i="1" s="1"/>
  <c r="I154" i="1"/>
  <c r="K154" i="1" s="1"/>
  <c r="L154" i="1" s="1"/>
  <c r="I153" i="1"/>
  <c r="K153" i="1" s="1"/>
  <c r="L153" i="1" s="1"/>
  <c r="I152" i="1"/>
  <c r="K152" i="1" s="1"/>
  <c r="L152" i="1" s="1"/>
  <c r="I151" i="1"/>
  <c r="K151" i="1" s="1"/>
  <c r="L151" i="1" s="1"/>
  <c r="I150" i="1"/>
  <c r="K150" i="1" s="1"/>
  <c r="L150" i="1" s="1"/>
  <c r="I149" i="1"/>
  <c r="K149" i="1" s="1"/>
  <c r="L149" i="1" s="1"/>
  <c r="I148" i="1"/>
  <c r="K148" i="1" s="1"/>
  <c r="L148" i="1" s="1"/>
  <c r="I147" i="1"/>
  <c r="K147" i="1" s="1"/>
  <c r="L147" i="1" s="1"/>
  <c r="I146" i="1"/>
  <c r="K146" i="1" s="1"/>
  <c r="L146" i="1" s="1"/>
  <c r="I145" i="1"/>
  <c r="K145" i="1" s="1"/>
  <c r="L145" i="1" s="1"/>
  <c r="I144" i="1"/>
  <c r="K144" i="1" s="1"/>
  <c r="L144" i="1" s="1"/>
  <c r="I143" i="1"/>
  <c r="K143" i="1" s="1"/>
  <c r="L143" i="1" s="1"/>
  <c r="I142" i="1"/>
  <c r="K142" i="1" s="1"/>
  <c r="L142" i="1" s="1"/>
  <c r="I141" i="1"/>
  <c r="K141" i="1" s="1"/>
  <c r="L141" i="1" s="1"/>
  <c r="I140" i="1"/>
  <c r="K140" i="1" s="1"/>
  <c r="L140" i="1" s="1"/>
  <c r="I139" i="1"/>
  <c r="K139" i="1" s="1"/>
  <c r="L139" i="1" s="1"/>
  <c r="I138" i="1"/>
  <c r="K138" i="1" s="1"/>
  <c r="L138" i="1" s="1"/>
  <c r="I137" i="1"/>
  <c r="K137" i="1" s="1"/>
  <c r="L137" i="1" s="1"/>
  <c r="I136" i="1"/>
  <c r="K136" i="1" s="1"/>
  <c r="L136" i="1" s="1"/>
  <c r="I135" i="1"/>
  <c r="K135" i="1" s="1"/>
  <c r="L135" i="1" s="1"/>
  <c r="I134" i="1"/>
  <c r="K134" i="1" s="1"/>
  <c r="L134" i="1" s="1"/>
  <c r="I133" i="1"/>
  <c r="K133" i="1" s="1"/>
  <c r="L133" i="1" s="1"/>
  <c r="I132" i="1"/>
  <c r="K132" i="1" s="1"/>
  <c r="L132" i="1" s="1"/>
  <c r="I131" i="1"/>
  <c r="K131" i="1" s="1"/>
  <c r="L131" i="1" s="1"/>
  <c r="I130" i="1"/>
  <c r="K130" i="1" s="1"/>
  <c r="L130" i="1" s="1"/>
  <c r="I129" i="1"/>
  <c r="K129" i="1" s="1"/>
  <c r="L129" i="1" s="1"/>
  <c r="I128" i="1"/>
  <c r="K128" i="1" s="1"/>
  <c r="L128" i="1" s="1"/>
  <c r="I127" i="1"/>
  <c r="K127" i="1" s="1"/>
  <c r="L127" i="1" s="1"/>
  <c r="I126" i="1"/>
  <c r="K126" i="1" s="1"/>
  <c r="L126" i="1" s="1"/>
  <c r="I125" i="1"/>
  <c r="K125" i="1" s="1"/>
  <c r="L125" i="1" s="1"/>
  <c r="I124" i="1"/>
  <c r="K124" i="1" s="1"/>
  <c r="L124" i="1" s="1"/>
  <c r="I123" i="1"/>
  <c r="K123" i="1" s="1"/>
  <c r="L123" i="1" s="1"/>
  <c r="I122" i="1"/>
  <c r="K122" i="1" s="1"/>
  <c r="L122" i="1" s="1"/>
  <c r="I121" i="1"/>
  <c r="K121" i="1" s="1"/>
  <c r="L121" i="1" s="1"/>
  <c r="I120" i="1"/>
  <c r="K120" i="1" s="1"/>
  <c r="L120" i="1" s="1"/>
  <c r="I119" i="1"/>
  <c r="K119" i="1" s="1"/>
  <c r="L119" i="1" s="1"/>
  <c r="I118" i="1"/>
  <c r="K118" i="1" s="1"/>
  <c r="L118" i="1" s="1"/>
  <c r="I117" i="1"/>
  <c r="K117" i="1" s="1"/>
  <c r="L117" i="1" s="1"/>
  <c r="I116" i="1"/>
  <c r="K116" i="1" s="1"/>
  <c r="L116" i="1" s="1"/>
  <c r="I115" i="1"/>
  <c r="K115" i="1" s="1"/>
  <c r="L115" i="1" s="1"/>
  <c r="I114" i="1"/>
  <c r="K114" i="1" s="1"/>
  <c r="L114" i="1" s="1"/>
  <c r="I113" i="1"/>
  <c r="K113" i="1" s="1"/>
  <c r="L113" i="1" s="1"/>
  <c r="I112" i="1"/>
  <c r="K112" i="1" s="1"/>
  <c r="L112" i="1" s="1"/>
  <c r="I111" i="1"/>
  <c r="K111" i="1" s="1"/>
  <c r="L111" i="1" s="1"/>
  <c r="I110" i="1"/>
  <c r="K110" i="1" s="1"/>
  <c r="L110" i="1" s="1"/>
  <c r="I109" i="1"/>
  <c r="K109" i="1" s="1"/>
  <c r="L109" i="1" s="1"/>
  <c r="I108" i="1"/>
  <c r="K108" i="1" s="1"/>
  <c r="L108" i="1" s="1"/>
  <c r="I107" i="1"/>
  <c r="K107" i="1" s="1"/>
  <c r="L107" i="1" s="1"/>
  <c r="I106" i="1"/>
  <c r="K106" i="1" s="1"/>
  <c r="L106" i="1" s="1"/>
  <c r="I105" i="1"/>
  <c r="K105" i="1" s="1"/>
  <c r="L105" i="1" s="1"/>
  <c r="I104" i="1"/>
  <c r="K104" i="1" s="1"/>
  <c r="L104" i="1" s="1"/>
  <c r="I103" i="1"/>
  <c r="K103" i="1" s="1"/>
  <c r="L103" i="1" s="1"/>
  <c r="I102" i="1"/>
  <c r="K102" i="1" s="1"/>
  <c r="L102" i="1" s="1"/>
  <c r="I101" i="1"/>
  <c r="K101" i="1" s="1"/>
  <c r="L101" i="1" s="1"/>
  <c r="I100" i="1"/>
  <c r="K100" i="1" s="1"/>
  <c r="L100" i="1" s="1"/>
  <c r="I99" i="1"/>
  <c r="K99" i="1" s="1"/>
  <c r="L99" i="1" s="1"/>
  <c r="I98" i="1"/>
  <c r="K98" i="1" s="1"/>
  <c r="L98" i="1" s="1"/>
  <c r="I97" i="1"/>
  <c r="K97" i="1" s="1"/>
  <c r="L97" i="1" s="1"/>
  <c r="I96" i="1"/>
  <c r="K96" i="1" s="1"/>
  <c r="L96" i="1" s="1"/>
  <c r="I95" i="1"/>
  <c r="K95" i="1" s="1"/>
  <c r="L95" i="1" s="1"/>
  <c r="I94" i="1"/>
  <c r="K94" i="1" s="1"/>
  <c r="L94" i="1" s="1"/>
  <c r="I93" i="1"/>
  <c r="K93" i="1" s="1"/>
  <c r="L93" i="1" s="1"/>
  <c r="I92" i="1"/>
  <c r="K92" i="1" s="1"/>
  <c r="L92" i="1" s="1"/>
  <c r="I91" i="1"/>
  <c r="K91" i="1" s="1"/>
  <c r="L91" i="1" s="1"/>
  <c r="I90" i="1"/>
  <c r="K90" i="1" s="1"/>
  <c r="L90" i="1" s="1"/>
  <c r="I89" i="1"/>
  <c r="K89" i="1" s="1"/>
  <c r="L89" i="1" s="1"/>
  <c r="I88" i="1"/>
  <c r="K88" i="1" s="1"/>
  <c r="L88" i="1" s="1"/>
  <c r="I87" i="1"/>
  <c r="K87" i="1" s="1"/>
  <c r="L87" i="1" s="1"/>
  <c r="I86" i="1"/>
  <c r="K86" i="1" s="1"/>
  <c r="L86" i="1" s="1"/>
  <c r="I85" i="1"/>
  <c r="K85" i="1" s="1"/>
  <c r="L85" i="1" s="1"/>
  <c r="I84" i="1"/>
  <c r="K84" i="1" s="1"/>
  <c r="L84" i="1" s="1"/>
  <c r="I83" i="1"/>
  <c r="K83" i="1" s="1"/>
  <c r="L83" i="1" s="1"/>
  <c r="I82" i="1"/>
  <c r="K82" i="1" s="1"/>
  <c r="L82" i="1" s="1"/>
  <c r="I81" i="1"/>
  <c r="K81" i="1" s="1"/>
  <c r="L81" i="1" s="1"/>
  <c r="I80" i="1"/>
  <c r="K80" i="1" s="1"/>
  <c r="L80" i="1" s="1"/>
  <c r="I79" i="1"/>
  <c r="K79" i="1" s="1"/>
  <c r="L79" i="1" s="1"/>
  <c r="I78" i="1"/>
  <c r="K78" i="1" s="1"/>
  <c r="L78" i="1" s="1"/>
  <c r="I77" i="1"/>
  <c r="K77" i="1" s="1"/>
  <c r="L77" i="1" s="1"/>
  <c r="I76" i="1"/>
  <c r="K76" i="1" s="1"/>
  <c r="L76" i="1" s="1"/>
  <c r="I75" i="1"/>
  <c r="K75" i="1" s="1"/>
  <c r="L75" i="1" s="1"/>
  <c r="I74" i="1"/>
  <c r="K74" i="1" s="1"/>
  <c r="L74" i="1" s="1"/>
  <c r="I73" i="1"/>
  <c r="K73" i="1" s="1"/>
  <c r="L73" i="1" s="1"/>
  <c r="I72" i="1"/>
  <c r="K72" i="1" s="1"/>
  <c r="L72" i="1" s="1"/>
  <c r="I71" i="1"/>
  <c r="K71" i="1" s="1"/>
  <c r="L71" i="1" s="1"/>
  <c r="I70" i="1"/>
  <c r="K70" i="1" s="1"/>
  <c r="L70" i="1" s="1"/>
  <c r="I69" i="1"/>
  <c r="K69" i="1" s="1"/>
  <c r="L69" i="1" s="1"/>
  <c r="I68" i="1"/>
  <c r="K68" i="1" s="1"/>
  <c r="L68" i="1" s="1"/>
  <c r="I67" i="1"/>
  <c r="K67" i="1" s="1"/>
  <c r="L67" i="1" s="1"/>
  <c r="I66" i="1"/>
  <c r="K66" i="1" s="1"/>
  <c r="L66" i="1" s="1"/>
  <c r="I65" i="1"/>
  <c r="K65" i="1" s="1"/>
  <c r="L65" i="1" s="1"/>
  <c r="I64" i="1"/>
  <c r="K64" i="1" s="1"/>
  <c r="L64" i="1" s="1"/>
  <c r="I63" i="1"/>
  <c r="K63" i="1" s="1"/>
  <c r="L63" i="1" s="1"/>
  <c r="I62" i="1"/>
  <c r="K62" i="1" s="1"/>
  <c r="L62" i="1" s="1"/>
  <c r="I61" i="1"/>
  <c r="K61" i="1" s="1"/>
  <c r="L61" i="1" s="1"/>
  <c r="I60" i="1"/>
  <c r="K60" i="1" s="1"/>
  <c r="L60" i="1" s="1"/>
  <c r="I59" i="1"/>
  <c r="K59" i="1" s="1"/>
  <c r="L59" i="1" s="1"/>
  <c r="I58" i="1"/>
  <c r="K58" i="1" s="1"/>
  <c r="L58" i="1" s="1"/>
  <c r="I57" i="1"/>
  <c r="K57" i="1" s="1"/>
  <c r="L57" i="1" s="1"/>
  <c r="I56" i="1"/>
  <c r="K56" i="1" s="1"/>
  <c r="L56" i="1" s="1"/>
  <c r="I55" i="1"/>
  <c r="K55" i="1" s="1"/>
  <c r="L55" i="1" s="1"/>
  <c r="I54" i="1"/>
  <c r="K54" i="1" s="1"/>
  <c r="L54" i="1" s="1"/>
  <c r="I53" i="1"/>
  <c r="K53" i="1" s="1"/>
  <c r="L53" i="1" s="1"/>
  <c r="I52" i="1"/>
  <c r="K52" i="1" s="1"/>
  <c r="L52" i="1" s="1"/>
  <c r="I51" i="1"/>
  <c r="K51" i="1" s="1"/>
  <c r="L51" i="1" s="1"/>
  <c r="I50" i="1"/>
  <c r="K50" i="1" s="1"/>
  <c r="L50" i="1" s="1"/>
  <c r="I49" i="1"/>
  <c r="K49" i="1" s="1"/>
  <c r="L49" i="1" s="1"/>
  <c r="I48" i="1"/>
  <c r="K48" i="1" s="1"/>
  <c r="L48" i="1" s="1"/>
  <c r="I47" i="1"/>
  <c r="K47" i="1" s="1"/>
  <c r="L47" i="1" s="1"/>
  <c r="I46" i="1"/>
  <c r="K46" i="1" s="1"/>
  <c r="L46" i="1" s="1"/>
  <c r="I45" i="1"/>
  <c r="K45" i="1" s="1"/>
  <c r="L45" i="1" s="1"/>
  <c r="I44" i="1"/>
  <c r="K44" i="1" s="1"/>
  <c r="L44" i="1" s="1"/>
  <c r="I43" i="1"/>
  <c r="K43" i="1" s="1"/>
  <c r="L43" i="1" s="1"/>
  <c r="I42" i="1"/>
  <c r="K42" i="1" s="1"/>
  <c r="L42" i="1" s="1"/>
  <c r="I41" i="1"/>
  <c r="K41" i="1" s="1"/>
  <c r="L41" i="1" s="1"/>
  <c r="I40" i="1"/>
  <c r="K40" i="1" s="1"/>
  <c r="L40" i="1" s="1"/>
  <c r="I39" i="1"/>
  <c r="K39" i="1" s="1"/>
  <c r="L39" i="1" s="1"/>
  <c r="I38" i="1"/>
  <c r="K38" i="1" s="1"/>
  <c r="L38" i="1" s="1"/>
  <c r="I37" i="1"/>
  <c r="K37" i="1" s="1"/>
  <c r="L37" i="1" s="1"/>
  <c r="I36" i="1"/>
  <c r="K36" i="1" s="1"/>
  <c r="L36" i="1" s="1"/>
  <c r="I35" i="1"/>
  <c r="K35" i="1" s="1"/>
  <c r="L35" i="1" s="1"/>
  <c r="I34" i="1"/>
  <c r="K34" i="1" s="1"/>
  <c r="L34" i="1" s="1"/>
  <c r="I33" i="1"/>
  <c r="K33" i="1" s="1"/>
  <c r="L33" i="1" s="1"/>
  <c r="I32" i="1"/>
  <c r="K32" i="1" s="1"/>
  <c r="L32" i="1" s="1"/>
  <c r="I31" i="1"/>
  <c r="K31" i="1" s="1"/>
  <c r="L31" i="1" s="1"/>
  <c r="I30" i="1"/>
  <c r="K30" i="1" s="1"/>
  <c r="L30" i="1" s="1"/>
  <c r="I29" i="1"/>
  <c r="K29" i="1" s="1"/>
  <c r="L29" i="1" s="1"/>
  <c r="I28" i="1"/>
  <c r="K28" i="1" s="1"/>
  <c r="L28" i="1" s="1"/>
  <c r="I27" i="1"/>
  <c r="K27" i="1" s="1"/>
  <c r="L27" i="1" s="1"/>
  <c r="I26" i="1"/>
  <c r="K26" i="1" s="1"/>
  <c r="L26" i="1" s="1"/>
  <c r="I25" i="1"/>
  <c r="K25" i="1" s="1"/>
  <c r="L25" i="1" s="1"/>
  <c r="I24" i="1"/>
  <c r="K24" i="1" s="1"/>
  <c r="L24" i="1" s="1"/>
  <c r="I23" i="1"/>
  <c r="K23" i="1" s="1"/>
  <c r="L23" i="1" s="1"/>
  <c r="I22" i="1"/>
  <c r="K22" i="1" s="1"/>
  <c r="L22" i="1" s="1"/>
  <c r="I21" i="1"/>
  <c r="K21" i="1" s="1"/>
  <c r="L21" i="1" s="1"/>
  <c r="I20" i="1"/>
  <c r="K20" i="1" s="1"/>
  <c r="L20" i="1" s="1"/>
  <c r="I19" i="1"/>
  <c r="K19" i="1" s="1"/>
  <c r="L19" i="1" s="1"/>
  <c r="I18" i="1"/>
  <c r="K18" i="1" s="1"/>
  <c r="L18" i="1" s="1"/>
  <c r="I17" i="1"/>
  <c r="K17" i="1" s="1"/>
  <c r="L17" i="1" s="1"/>
  <c r="I16" i="1"/>
  <c r="K16" i="1" s="1"/>
  <c r="L16" i="1" s="1"/>
  <c r="I15" i="1"/>
  <c r="K15" i="1" s="1"/>
  <c r="L15" i="1" s="1"/>
  <c r="I14" i="1"/>
  <c r="K14" i="1" s="1"/>
  <c r="L14" i="1" s="1"/>
  <c r="I13" i="1"/>
  <c r="K13" i="1" s="1"/>
  <c r="L13" i="1" s="1"/>
  <c r="I12" i="1"/>
  <c r="K12" i="1" s="1"/>
  <c r="L12" i="1" s="1"/>
  <c r="I11" i="1"/>
  <c r="K11" i="1" s="1"/>
  <c r="L11" i="1" s="1"/>
  <c r="I10" i="1"/>
  <c r="K10" i="1" s="1"/>
  <c r="L10" i="1" s="1"/>
  <c r="I9" i="1"/>
  <c r="K9" i="1" s="1"/>
  <c r="L9" i="1" s="1"/>
  <c r="I8" i="1"/>
  <c r="K8" i="1" s="1"/>
  <c r="L8" i="1" s="1"/>
  <c r="I7" i="1"/>
  <c r="K7" i="1" s="1"/>
  <c r="L7" i="1" s="1"/>
  <c r="I6" i="1"/>
  <c r="K6" i="1" s="1"/>
  <c r="L6" i="1" s="1"/>
  <c r="I5" i="1"/>
  <c r="K5" i="1" s="1"/>
  <c r="L5" i="1" s="1"/>
  <c r="I4" i="1"/>
  <c r="K4" i="1" s="1"/>
  <c r="L4" i="1" s="1"/>
  <c r="I3" i="1"/>
  <c r="K3" i="1" s="1"/>
  <c r="L3" i="1" s="1"/>
</calcChain>
</file>

<file path=xl/sharedStrings.xml><?xml version="1.0" encoding="utf-8"?>
<sst xmlns="http://schemas.openxmlformats.org/spreadsheetml/2006/main" count="64" uniqueCount="39">
  <si>
    <t>Date</t>
  </si>
  <si>
    <t>Open</t>
  </si>
  <si>
    <t>High</t>
  </si>
  <si>
    <t>Low</t>
  </si>
  <si>
    <t>Close</t>
  </si>
  <si>
    <t>Adj Close</t>
  </si>
  <si>
    <t>Volume</t>
  </si>
  <si>
    <t>Mkt-RF</t>
  </si>
  <si>
    <t>FB</t>
  </si>
  <si>
    <t>SUMMARY OUTPUT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</si>
  <si>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</si>
  <si>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</si>
  <si>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</si>
  <si>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</si>
  <si>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</si>
  <si>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</si>
  <si>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</si>
  <si>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Regression</t>
  </si>
  <si>
    <t>Residual</t>
  </si>
  <si>
    <t>Total</t>
  </si>
  <si>
    <t>df</t>
  </si>
  <si>
    <t>SS</t>
  </si>
  <si>
    <t>MS</t>
  </si>
  <si>
    <t>F</t>
  </si>
  <si>
    <t>Significance F</t>
  </si>
  <si>
    <t>Coefficients</t>
  </si>
  <si>
    <t>t Stat</t>
  </si>
  <si>
    <t>P-value</t>
  </si>
  <si>
    <t>Lower 95%</t>
  </si>
  <si>
    <t>Upper 95%</t>
  </si>
  <si>
    <t>Lower 95.0%</t>
  </si>
  <si>
    <t>Upper 95.0%</t>
  </si>
  <si>
    <t>alpha</t>
  </si>
  <si>
    <t>beta</t>
  </si>
  <si>
    <t>Daily Return</t>
  </si>
  <si>
    <t>RF rate</t>
  </si>
  <si>
    <t>Intercept</t>
  </si>
  <si>
    <t>X Variable 1</t>
  </si>
  <si>
    <t>Excess Return for FB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</si>
</sst>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7">
    <xf numFmtId="0" fontId="0" fillId="0" borderId="0" xfId="0"/>
    <xf numFmtId="14" fontId="0" fillId="0" borderId="0" xfId="0" applyNumberFormat="1"/>
    <xf numFmtId="0" fontId="0" fillId="0" borderId="0" xfId="0" applyFill="1" applyBorder="1" applyAlignment="1"/>
    <xf numFmtId="0" fontId="0" fillId="0" borderId="10" xfId="0" applyFill="1" applyBorder="1" applyAlignment="1"/>
    <xf numFmtId="0" fontId="18" fillId="0" borderId="11" xfId="0" applyFont="1" applyFill="1" applyBorder="1" applyAlignment="1">
      <alignment horizontal="center"/>
    </xf>
    <xf numFmtId="0" fontId="18" fillId="0" borderId="11" xfId="0" applyFont="1" applyFill="1" applyBorder="1" applyAlignment="1">
      <alignment horizontal="centerContinuous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18"/>
  <sheetViews>
    <sheetView workbookViewId="0">
      <selection activeCell="B24" sqref="B24"/>
    </sheetView>
  </sheetViews>
  <sheetFormatPr baseColWidth="10" defaultRowHeight="16" x14ac:dyDescent="0.2"/>
  <sheetData>
    <row r="1" spans="1:9" x14ac:dyDescent="0.2">
      <c r="A1" t="s">
        <v>9</v>
      </c>
    </row>
    <row r="2" spans="1:9" ht="17" thickBot="1" x14ac:dyDescent="0.25"/>
    <row r="3" spans="1:9" x14ac:dyDescent="0.2">
      <c r="A3" s="5" t="s">
        <v>10</v>
      </c>
      <c r="B3" s="5"/>
    </row>
    <row r="4" spans="1:9" x14ac:dyDescent="0.2">
      <c r="A4" s="2" t="s">
        <v>11</v>
      </c>
      <c r="B4" s="2">
        <v>0.74013504503949012</v>
      </c>
    </row>
    <row r="5" spans="1:9" x14ac:dyDescent="0.2">
      <c r="A5" s="2" t="s">
        <v>12</v>
      </c>
      <c r="B5" s="2">
        <v>0.54779988489560805</v>
      </c>
    </row>
    <row r="6" spans="1:9" x14ac:dyDescent="0.2">
      <c r="A6" s="2" t="s">
        <v>13</v>
      </c>
      <c r="B6" s="2">
        <v>0.54597649733470321</v>
      </c>
    </row>
    <row r="7" spans="1:9" x14ac:dyDescent="0.2">
      <c r="A7" s="2" t="s">
        <v>14</v>
      </c>
      <c r="B7" s="2">
        <v>1.9665210810208458</v>
      </c>
    </row>
    <row r="8" spans="1:9" ht="17" thickBot="1" x14ac:dyDescent="0.25">
      <c r="A8" s="3" t="s">
        <v>15</v>
      </c>
      <c r="B8" s="3">
        <v>250</v>
      </c>
    </row>
    <row r="10" spans="1:9" ht="17" thickBot="1" x14ac:dyDescent="0.25">
      <c r="A10" t="s">
        <v>16</v>
      </c>
    </row>
    <row r="11" spans="1:9" x14ac:dyDescent="0.2">
      <c r="A11" s="4"/>
      <c r="B11" s="4" t="s">
        <v>20</v>
      </c>
      <c r="C11" s="4" t="s">
        <v>21</v>
      </c>
      <c r="D11" s="4" t="s">
        <v>22</v>
      </c>
      <c r="E11" s="4" t="s">
        <v>23</v>
      </c>
      <c r="F11" s="4" t="s">
        <v>24</v>
      </c>
    </row>
    <row r="12" spans="1:9" x14ac:dyDescent="0.2">
      <c r="A12" s="2" t="s">
        <v>17</v>
      </c>
      <c r="B12" s="2">
        <v>1</v>
      </c>
      <c r="C12" s="2">
        <v>1161.8235136004353</v>
      </c>
      <c r="D12" s="2">
        <v>1161.8235136004353</v>
      </c>
      <c r="E12" s="2">
        <v>300.42975867608595</v>
      </c>
      <c r="F12" s="2">
        <v>1.2432139839510179E-44</v>
      </c>
    </row>
    <row r="13" spans="1:9" x14ac:dyDescent="0.2">
      <c r="A13" s="2" t="s">
        <v>18</v>
      </c>
      <c r="B13" s="2">
        <v>248</v>
      </c>
      <c r="C13" s="2">
        <v>959.06688020065008</v>
      </c>
      <c r="D13" s="2">
        <v>3.8672051620993955</v>
      </c>
      <c r="E13" s="2"/>
      <c r="F13" s="2"/>
    </row>
    <row r="14" spans="1:9" ht="17" thickBot="1" x14ac:dyDescent="0.25">
      <c r="A14" s="3" t="s">
        <v>19</v>
      </c>
      <c r="B14" s="3">
        <v>249</v>
      </c>
      <c r="C14" s="3">
        <v>2120.8903938010853</v>
      </c>
      <c r="D14" s="3"/>
      <c r="E14" s="3"/>
      <c r="F14" s="3"/>
    </row>
    <row r="15" spans="1:9" ht="17" thickBot="1" x14ac:dyDescent="0.25"/>
    <row r="16" spans="1:9" x14ac:dyDescent="0.2">
      <c r="A16" s="4"/>
      <c r="B16" s="4" t="s">
        <v>25</v>
      </c>
      <c r="C16" s="4" t="s">
        <v>14</v>
      </c>
      <c r="D16" s="4" t="s">
        <v>26</v>
      </c>
      <c r="E16" s="4" t="s">
        <v>27</v>
      </c>
      <c r="F16" s="4" t="s">
        <v>28</v>
      </c>
      <c r="G16" s="4" t="s">
        <v>29</v>
      </c>
      <c r="H16" s="4" t="s">
        <v>30</v>
      </c>
      <c r="I16" s="4" t="s">
        <v>31</v>
      </c>
    </row>
    <row r="17" spans="1:9" x14ac:dyDescent="0.2">
      <c r="A17" s="2" t="s">
        <v>32</v>
      </c>
      <c r="B17" s="2">
        <v>-3.6616955433639589E-2</v>
      </c>
      <c r="C17" s="2">
        <v>0.12462386174449655</v>
      </c>
      <c r="D17" s="2">
        <v>-0.29381977833997436</v>
      </c>
      <c r="E17" s="2">
        <v>0.76914136885508955</v>
      </c>
      <c r="F17" s="2">
        <v>-0.28207307938646536</v>
      </c>
      <c r="G17" s="2">
        <v>0.20883916851918621</v>
      </c>
      <c r="H17" s="2">
        <v>-0.28207307938646536</v>
      </c>
      <c r="I17" s="2">
        <v>0.20883916851918621</v>
      </c>
    </row>
    <row r="18" spans="1:9" ht="17" thickBot="1" x14ac:dyDescent="0.25">
      <c r="A18" s="3" t="s">
        <v>33</v>
      </c>
      <c r="B18" s="3">
        <v>1.0052482550321771</v>
      </c>
      <c r="C18" s="3">
        <v>5.7996509092713977E-2</v>
      </c>
      <c r="D18" s="3">
        <v>17.332909700223063</v>
      </c>
      <c r="E18" s="3">
        <v>1.2432139839507876E-44</v>
      </c>
      <c r="F18" s="3">
        <v>0.89101974272786277</v>
      </c>
      <c r="G18" s="3">
        <v>1.1194767673364914</v>
      </c>
      <c r="H18" s="3">
        <v>0.89101974272786277</v>
      </c>
      <c r="I18" s="3">
        <v>1.1194767673364914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55C56C-4F85-C348-A981-8D1CAF0516FF}">
  <dimension ref="A1:I18"/>
  <sheetViews>
    <sheetView workbookViewId="0">
      <selection sqref="A1:I21"/>
    </sheetView>
  </sheetViews>
  <sheetFormatPr baseColWidth="10" defaultRowHeight="16" x14ac:dyDescent="0.2"/>
  <sheetData>
    <row r="1" spans="1:9" x14ac:dyDescent="0.2">
      <c r="A1" t="s">
        <v>9</v>
      </c>
    </row>
    <row r="2" spans="1:9" ht="17" thickBot="1" x14ac:dyDescent="0.25"/>
    <row r="3" spans="1:9" x14ac:dyDescent="0.2">
      <c r="A3" s="5" t="s">
        <v>10</v>
      </c>
      <c r="B3" s="5"/>
    </row>
    <row r="4" spans="1:9" x14ac:dyDescent="0.2">
      <c r="A4" s="2" t="s">
        <v>11</v>
      </c>
      <c r="B4" s="2">
        <v>0.60687634579260885</v>
      </c>
    </row>
    <row r="5" spans="1:9" x14ac:dyDescent="0.2">
      <c r="A5" s="2" t="s">
        <v>12</v>
      </c>
      <c r="B5" s="2">
        <v>0.36829889908259017</v>
      </c>
    </row>
    <row r="6" spans="1:9" x14ac:dyDescent="0.2">
      <c r="A6" s="2" t="s">
        <v>13</v>
      </c>
      <c r="B6" s="2">
        <v>0.36551607484947385</v>
      </c>
    </row>
    <row r="7" spans="1:9" x14ac:dyDescent="0.2">
      <c r="A7" s="2" t="s">
        <v>14</v>
      </c>
      <c r="B7" s="2">
        <v>1.9494471488608491</v>
      </c>
    </row>
    <row r="8" spans="1:9" ht="17" thickBot="1" x14ac:dyDescent="0.25">
      <c r="A8" s="3" t="s">
        <v>15</v>
      </c>
      <c r="B8" s="3">
        <v>229</v>
      </c>
    </row>
    <row r="10" spans="1:9" ht="17" thickBot="1" x14ac:dyDescent="0.25">
      <c r="A10" t="s">
        <v>16</v>
      </c>
    </row>
    <row r="11" spans="1:9" x14ac:dyDescent="0.2">
      <c r="A11" s="4"/>
      <c r="B11" s="4" t="s">
        <v>20</v>
      </c>
      <c r="C11" s="4" t="s">
        <v>21</v>
      </c>
      <c r="D11" s="4" t="s">
        <v>22</v>
      </c>
      <c r="E11" s="4" t="s">
        <v>23</v>
      </c>
      <c r="F11" s="4" t="s">
        <v>24</v>
      </c>
    </row>
    <row r="12" spans="1:9" x14ac:dyDescent="0.2">
      <c r="A12" s="2" t="s">
        <v>17</v>
      </c>
      <c r="B12" s="2">
        <v>1</v>
      </c>
      <c r="C12" s="2">
        <v>502.96478061986511</v>
      </c>
      <c r="D12" s="2">
        <v>502.96478061986511</v>
      </c>
      <c r="E12" s="2">
        <v>132.34716540834165</v>
      </c>
      <c r="F12" s="2">
        <v>1.9734423183442503E-24</v>
      </c>
    </row>
    <row r="13" spans="1:9" x14ac:dyDescent="0.2">
      <c r="A13" s="2" t="s">
        <v>18</v>
      </c>
      <c r="B13" s="2">
        <v>227</v>
      </c>
      <c r="C13" s="2">
        <v>862.67813026778447</v>
      </c>
      <c r="D13" s="2">
        <v>3.8003441862016936</v>
      </c>
      <c r="E13" s="2"/>
      <c r="F13" s="2"/>
    </row>
    <row r="14" spans="1:9" ht="17" thickBot="1" x14ac:dyDescent="0.25">
      <c r="A14" s="3" t="s">
        <v>19</v>
      </c>
      <c r="B14" s="3">
        <v>228</v>
      </c>
      <c r="C14" s="3">
        <v>1365.6429108876496</v>
      </c>
      <c r="D14" s="3"/>
      <c r="E14" s="3"/>
      <c r="F14" s="3"/>
    </row>
    <row r="15" spans="1:9" ht="17" thickBot="1" x14ac:dyDescent="0.25"/>
    <row r="16" spans="1:9" x14ac:dyDescent="0.2">
      <c r="A16" s="4"/>
      <c r="B16" s="4" t="s">
        <v>25</v>
      </c>
      <c r="C16" s="4" t="s">
        <v>14</v>
      </c>
      <c r="D16" s="4" t="s">
        <v>26</v>
      </c>
      <c r="E16" s="4" t="s">
        <v>27</v>
      </c>
      <c r="F16" s="4" t="s">
        <v>28</v>
      </c>
      <c r="G16" s="4" t="s">
        <v>29</v>
      </c>
      <c r="H16" s="4" t="s">
        <v>30</v>
      </c>
      <c r="I16" s="4" t="s">
        <v>31</v>
      </c>
    </row>
    <row r="17" spans="1:9" x14ac:dyDescent="0.2">
      <c r="A17" s="2" t="s">
        <v>36</v>
      </c>
      <c r="B17" s="2">
        <v>-9.2735940016580032E-3</v>
      </c>
      <c r="C17" s="2">
        <v>0.13035048517047934</v>
      </c>
      <c r="D17" s="2">
        <v>-7.1143532680599544E-2</v>
      </c>
      <c r="E17" s="2">
        <v>0.94334616042358577</v>
      </c>
      <c r="F17" s="2">
        <v>-0.26612525098941592</v>
      </c>
      <c r="G17" s="2">
        <v>0.24757806298609991</v>
      </c>
      <c r="H17" s="2">
        <v>-0.26612525098941592</v>
      </c>
      <c r="I17" s="2">
        <v>0.24757806298609991</v>
      </c>
    </row>
    <row r="18" spans="1:9" ht="17" thickBot="1" x14ac:dyDescent="0.25">
      <c r="A18" s="3" t="s">
        <v>37</v>
      </c>
      <c r="B18" s="3">
        <v>1.0694947360403868</v>
      </c>
      <c r="C18" s="3">
        <v>9.2965397227596488E-2</v>
      </c>
      <c r="D18" s="3">
        <v>11.504223807295373</v>
      </c>
      <c r="E18" s="3">
        <v>1.973442318344208E-24</v>
      </c>
      <c r="F18" s="3">
        <v>0.88630925507187386</v>
      </c>
      <c r="G18" s="3">
        <v>1.2526802170088998</v>
      </c>
      <c r="H18" s="3">
        <v>0.88630925507187386</v>
      </c>
      <c r="I18" s="3">
        <v>1.2526802170088998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M252"/>
  <sheetViews>
    <sheetView tabSelected="1" workbookViewId="0">
      <selection activeCell="N6" sqref="N6"/>
    </sheetView>
  </sheetViews>
  <sheetFormatPr baseColWidth="10" defaultRowHeight="16" x14ac:dyDescent="0.2"/>
  <cols>
    <col min="9" max="9" width="12.83203125" bestFit="1" customWidth="1"/>
    <col min="11" max="11" width="20.1640625" bestFit="1" customWidth="1"/>
  </cols>
  <sheetData>
    <row r="1" spans="1:13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I1" s="6" t="s">
        <v>34</v>
      </c>
      <c r="J1" s="6" t="s">
        <v>35</v>
      </c>
      <c r="K1" s="6" t="s">
        <v>38</v>
      </c>
      <c r="L1" s="6" t="s">
        <v>8</v>
      </c>
      <c r="M1" s="6" t="s">
        <v>7</v>
      </c>
    </row>
    <row r="2" spans="1:13" x14ac:dyDescent="0.2">
      <c r="A2" s="1">
        <v>43892</v>
      </c>
      <c r="B2">
        <v>194.029999</v>
      </c>
      <c r="C2">
        <v>196.570007</v>
      </c>
      <c r="D2">
        <v>188.85000600000001</v>
      </c>
      <c r="E2">
        <v>196.44000199999999</v>
      </c>
      <c r="F2">
        <v>196.44000199999999</v>
      </c>
      <c r="G2">
        <v>24949000</v>
      </c>
      <c r="J2">
        <v>6.0000000000000001E-3</v>
      </c>
      <c r="M2">
        <v>4.3099999999999996</v>
      </c>
    </row>
    <row r="3" spans="1:13" x14ac:dyDescent="0.2">
      <c r="A3" s="1">
        <v>43893</v>
      </c>
      <c r="B3">
        <v>196.220001</v>
      </c>
      <c r="C3">
        <v>197.240005</v>
      </c>
      <c r="D3">
        <v>183.970001</v>
      </c>
      <c r="E3">
        <v>185.88999899999999</v>
      </c>
      <c r="F3">
        <v>185.88999899999999</v>
      </c>
      <c r="G3">
        <v>27984100</v>
      </c>
      <c r="I3">
        <f>(F3-F2)/F2</f>
        <v>-5.3705980923376313E-2</v>
      </c>
      <c r="J3">
        <v>6.0000000000000001E-3</v>
      </c>
      <c r="K3">
        <f>I3-J3</f>
        <v>-5.9705980923376312E-2</v>
      </c>
      <c r="L3">
        <f>100*K3</f>
        <v>-5.9705980923376316</v>
      </c>
      <c r="M3">
        <v>-2.79</v>
      </c>
    </row>
    <row r="4" spans="1:13" x14ac:dyDescent="0.2">
      <c r="A4" s="1">
        <v>43894</v>
      </c>
      <c r="B4">
        <v>189.16999799999999</v>
      </c>
      <c r="C4">
        <v>191.83000200000001</v>
      </c>
      <c r="D4">
        <v>186.38999899999999</v>
      </c>
      <c r="E4">
        <v>191.759995</v>
      </c>
      <c r="F4">
        <v>191.759995</v>
      </c>
      <c r="G4">
        <v>23062500</v>
      </c>
      <c r="I4">
        <f>(F4-F3)/F3</f>
        <v>3.1577793488502925E-2</v>
      </c>
      <c r="J4">
        <v>6.0000000000000001E-3</v>
      </c>
      <c r="K4">
        <f t="shared" ref="K4:K67" si="0">I4-J4</f>
        <v>2.5577793488502927E-2</v>
      </c>
      <c r="L4">
        <f t="shared" ref="L4:L67" si="1">100*K4</f>
        <v>2.5577793488502927</v>
      </c>
      <c r="M4">
        <v>4.03</v>
      </c>
    </row>
    <row r="5" spans="1:13" x14ac:dyDescent="0.2">
      <c r="A5" s="1">
        <v>43895</v>
      </c>
      <c r="B5">
        <v>186.779999</v>
      </c>
      <c r="C5">
        <v>188.990005</v>
      </c>
      <c r="D5">
        <v>183.88999899999999</v>
      </c>
      <c r="E5">
        <v>185.16999799999999</v>
      </c>
      <c r="F5">
        <v>185.16999799999999</v>
      </c>
      <c r="G5">
        <v>19333400</v>
      </c>
      <c r="I5">
        <f t="shared" ref="I5:I68" si="2">(F5-F4)/F4</f>
        <v>-3.4365859260686832E-2</v>
      </c>
      <c r="J5">
        <v>6.0000000000000001E-3</v>
      </c>
      <c r="K5">
        <f t="shared" si="0"/>
        <v>-4.036585926068683E-2</v>
      </c>
      <c r="L5">
        <f t="shared" si="1"/>
        <v>-4.0365859260686827</v>
      </c>
      <c r="M5">
        <v>-3.38</v>
      </c>
    </row>
    <row r="6" spans="1:13" x14ac:dyDescent="0.2">
      <c r="A6" s="1">
        <v>43896</v>
      </c>
      <c r="B6">
        <v>178.33000200000001</v>
      </c>
      <c r="C6">
        <v>183.779999</v>
      </c>
      <c r="D6">
        <v>176.259995</v>
      </c>
      <c r="E6">
        <v>181.08999600000001</v>
      </c>
      <c r="F6">
        <v>181.08999600000001</v>
      </c>
      <c r="G6">
        <v>24559600</v>
      </c>
      <c r="I6">
        <f t="shared" si="2"/>
        <v>-2.2033817811025626E-2</v>
      </c>
      <c r="J6">
        <v>6.0000000000000001E-3</v>
      </c>
      <c r="K6">
        <f t="shared" si="0"/>
        <v>-2.8033817811025624E-2</v>
      </c>
      <c r="L6">
        <f t="shared" si="1"/>
        <v>-2.8033817811025625</v>
      </c>
      <c r="M6">
        <v>-1.78</v>
      </c>
    </row>
    <row r="7" spans="1:13" x14ac:dyDescent="0.2">
      <c r="A7" s="1">
        <v>43899</v>
      </c>
      <c r="B7">
        <v>169.60000600000001</v>
      </c>
      <c r="C7">
        <v>175</v>
      </c>
      <c r="D7">
        <v>165.19000199999999</v>
      </c>
      <c r="E7">
        <v>169.5</v>
      </c>
      <c r="F7">
        <v>169.5</v>
      </c>
      <c r="G7">
        <v>29949000</v>
      </c>
      <c r="I7">
        <f t="shared" si="2"/>
        <v>-6.4001304633084274E-2</v>
      </c>
      <c r="J7">
        <v>6.0000000000000001E-3</v>
      </c>
      <c r="K7">
        <f t="shared" si="0"/>
        <v>-7.000130463308428E-2</v>
      </c>
      <c r="L7">
        <f t="shared" si="1"/>
        <v>-7.0001304633084276</v>
      </c>
      <c r="M7">
        <v>-7.79</v>
      </c>
    </row>
    <row r="8" spans="1:13" x14ac:dyDescent="0.2">
      <c r="A8" s="1">
        <v>43900</v>
      </c>
      <c r="B8">
        <v>174.66999799999999</v>
      </c>
      <c r="C8">
        <v>178.28999300000001</v>
      </c>
      <c r="D8">
        <v>169.5</v>
      </c>
      <c r="E8">
        <v>178.19000199999999</v>
      </c>
      <c r="F8">
        <v>178.19000199999999</v>
      </c>
      <c r="G8">
        <v>24517800</v>
      </c>
      <c r="I8">
        <f t="shared" si="2"/>
        <v>5.1268448377581079E-2</v>
      </c>
      <c r="J8">
        <v>6.0000000000000001E-3</v>
      </c>
      <c r="K8">
        <f t="shared" si="0"/>
        <v>4.526844837758108E-2</v>
      </c>
      <c r="L8">
        <f t="shared" si="1"/>
        <v>4.5268448377581079</v>
      </c>
      <c r="M8">
        <v>4.74</v>
      </c>
    </row>
    <row r="9" spans="1:13" x14ac:dyDescent="0.2">
      <c r="A9" s="1">
        <v>43901</v>
      </c>
      <c r="B9">
        <v>174.009995</v>
      </c>
      <c r="C9">
        <v>175.88000500000001</v>
      </c>
      <c r="D9">
        <v>167.66000399999999</v>
      </c>
      <c r="E9">
        <v>170.240005</v>
      </c>
      <c r="F9">
        <v>170.240005</v>
      </c>
      <c r="G9">
        <v>20373900</v>
      </c>
      <c r="I9">
        <f t="shared" si="2"/>
        <v>-4.4615280940397524E-2</v>
      </c>
      <c r="J9">
        <v>6.0000000000000001E-3</v>
      </c>
      <c r="K9">
        <f t="shared" si="0"/>
        <v>-5.0615280940397522E-2</v>
      </c>
      <c r="L9">
        <f t="shared" si="1"/>
        <v>-5.061528094039752</v>
      </c>
      <c r="M9">
        <v>-5.05</v>
      </c>
    </row>
    <row r="10" spans="1:13" x14ac:dyDescent="0.2">
      <c r="A10" s="1">
        <v>43902</v>
      </c>
      <c r="B10">
        <v>159.53999300000001</v>
      </c>
      <c r="C10">
        <v>166.60000600000001</v>
      </c>
      <c r="D10">
        <v>154.33999600000001</v>
      </c>
      <c r="E10">
        <v>154.470001</v>
      </c>
      <c r="F10">
        <v>154.470001</v>
      </c>
      <c r="G10">
        <v>43266300</v>
      </c>
      <c r="I10">
        <f t="shared" si="2"/>
        <v>-9.2633949346982228E-2</v>
      </c>
      <c r="J10">
        <v>6.0000000000000001E-3</v>
      </c>
      <c r="K10">
        <f t="shared" si="0"/>
        <v>-9.8633949346982233E-2</v>
      </c>
      <c r="L10">
        <f t="shared" si="1"/>
        <v>-9.8633949346982241</v>
      </c>
      <c r="M10">
        <v>-9.6300000000000008</v>
      </c>
    </row>
    <row r="11" spans="1:13" x14ac:dyDescent="0.2">
      <c r="A11" s="1">
        <v>43903</v>
      </c>
      <c r="B11">
        <v>163.529999</v>
      </c>
      <c r="C11">
        <v>170.78999300000001</v>
      </c>
      <c r="D11">
        <v>157.60000600000001</v>
      </c>
      <c r="E11">
        <v>170.279999</v>
      </c>
      <c r="F11">
        <v>170.279999</v>
      </c>
      <c r="G11">
        <v>35028600</v>
      </c>
      <c r="I11">
        <f t="shared" si="2"/>
        <v>0.10234995725804397</v>
      </c>
      <c r="J11">
        <v>6.0000000000000001E-3</v>
      </c>
      <c r="K11">
        <f t="shared" si="0"/>
        <v>9.6349957258043961E-2</v>
      </c>
      <c r="L11">
        <f t="shared" si="1"/>
        <v>9.6349957258043961</v>
      </c>
      <c r="M11">
        <v>8.9600000000000009</v>
      </c>
    </row>
    <row r="12" spans="1:13" x14ac:dyDescent="0.2">
      <c r="A12" s="1">
        <v>43906</v>
      </c>
      <c r="B12">
        <v>152.320007</v>
      </c>
      <c r="C12">
        <v>159.13000500000001</v>
      </c>
      <c r="D12">
        <v>143.10000600000001</v>
      </c>
      <c r="E12">
        <v>146.009995</v>
      </c>
      <c r="F12">
        <v>146.009995</v>
      </c>
      <c r="G12">
        <v>39120400</v>
      </c>
      <c r="I12">
        <f t="shared" si="2"/>
        <v>-0.14252997499723968</v>
      </c>
      <c r="J12">
        <v>6.0000000000000001E-3</v>
      </c>
      <c r="K12">
        <f t="shared" si="0"/>
        <v>-0.14852997499723969</v>
      </c>
      <c r="L12">
        <f t="shared" si="1"/>
        <v>-14.852997499723969</v>
      </c>
      <c r="M12">
        <v>-12</v>
      </c>
    </row>
    <row r="13" spans="1:13" x14ac:dyDescent="0.2">
      <c r="A13" s="1">
        <v>43907</v>
      </c>
      <c r="B13">
        <v>150.740005</v>
      </c>
      <c r="C13">
        <v>153.94000199999999</v>
      </c>
      <c r="D13">
        <v>140</v>
      </c>
      <c r="E13">
        <v>149.41999799999999</v>
      </c>
      <c r="F13">
        <v>149.41999799999999</v>
      </c>
      <c r="G13">
        <v>34255600</v>
      </c>
      <c r="I13">
        <f t="shared" si="2"/>
        <v>2.3354586102136289E-2</v>
      </c>
      <c r="J13">
        <v>6.0000000000000001E-3</v>
      </c>
      <c r="K13">
        <f t="shared" si="0"/>
        <v>1.7354586102136291E-2</v>
      </c>
      <c r="L13">
        <f t="shared" si="1"/>
        <v>1.7354586102136291</v>
      </c>
      <c r="M13">
        <v>5.87</v>
      </c>
    </row>
    <row r="14" spans="1:13" x14ac:dyDescent="0.2">
      <c r="A14" s="1">
        <v>43908</v>
      </c>
      <c r="B14">
        <v>139.75</v>
      </c>
      <c r="C14">
        <v>148.179993</v>
      </c>
      <c r="D14">
        <v>137.10000600000001</v>
      </c>
      <c r="E14">
        <v>146.96000699999999</v>
      </c>
      <c r="F14">
        <v>146.96000699999999</v>
      </c>
      <c r="G14">
        <v>37553100</v>
      </c>
      <c r="I14">
        <f t="shared" si="2"/>
        <v>-1.6463599470801775E-2</v>
      </c>
      <c r="J14">
        <v>6.0000000000000001E-3</v>
      </c>
      <c r="K14">
        <f t="shared" si="0"/>
        <v>-2.2463599470801773E-2</v>
      </c>
      <c r="L14">
        <f t="shared" si="1"/>
        <v>-2.2463599470801774</v>
      </c>
      <c r="M14">
        <v>-5.56</v>
      </c>
    </row>
    <row r="15" spans="1:13" x14ac:dyDescent="0.2">
      <c r="A15" s="1">
        <v>43909</v>
      </c>
      <c r="B15">
        <v>146.61999499999999</v>
      </c>
      <c r="C15">
        <v>159.929993</v>
      </c>
      <c r="D15">
        <v>144.800003</v>
      </c>
      <c r="E15">
        <v>153.13000500000001</v>
      </c>
      <c r="F15">
        <v>153.13000500000001</v>
      </c>
      <c r="G15">
        <v>39862300</v>
      </c>
      <c r="I15">
        <f t="shared" si="2"/>
        <v>4.1984197782462145E-2</v>
      </c>
      <c r="J15">
        <v>6.0000000000000001E-3</v>
      </c>
      <c r="K15">
        <f t="shared" si="0"/>
        <v>3.5984197782462146E-2</v>
      </c>
      <c r="L15">
        <f t="shared" si="1"/>
        <v>3.5984197782462148</v>
      </c>
      <c r="M15">
        <v>1.31</v>
      </c>
    </row>
    <row r="16" spans="1:13" x14ac:dyDescent="0.2">
      <c r="A16" s="1">
        <v>43910</v>
      </c>
      <c r="B16">
        <v>156.020004</v>
      </c>
      <c r="C16">
        <v>159.270004</v>
      </c>
      <c r="D16">
        <v>148</v>
      </c>
      <c r="E16">
        <v>149.729996</v>
      </c>
      <c r="F16">
        <v>149.729996</v>
      </c>
      <c r="G16">
        <v>32568400</v>
      </c>
      <c r="I16">
        <f t="shared" si="2"/>
        <v>-2.2203414673695146E-2</v>
      </c>
      <c r="J16">
        <v>6.0000000000000001E-3</v>
      </c>
      <c r="K16">
        <f t="shared" si="0"/>
        <v>-2.8203414673695144E-2</v>
      </c>
      <c r="L16">
        <f t="shared" si="1"/>
        <v>-2.8203414673695146</v>
      </c>
      <c r="M16">
        <v>-4.1500000000000004</v>
      </c>
    </row>
    <row r="17" spans="1:13" x14ac:dyDescent="0.2">
      <c r="A17" s="1">
        <v>43913</v>
      </c>
      <c r="B17">
        <v>149.66000399999999</v>
      </c>
      <c r="C17">
        <v>152.30999800000001</v>
      </c>
      <c r="D17">
        <v>142.25</v>
      </c>
      <c r="E17">
        <v>148.10000600000001</v>
      </c>
      <c r="F17">
        <v>148.10000600000001</v>
      </c>
      <c r="G17">
        <v>29830800</v>
      </c>
      <c r="I17">
        <f t="shared" si="2"/>
        <v>-1.0886195442094264E-2</v>
      </c>
      <c r="J17">
        <v>6.0000000000000001E-3</v>
      </c>
      <c r="K17">
        <f t="shared" si="0"/>
        <v>-1.6886195442094264E-2</v>
      </c>
      <c r="L17">
        <f t="shared" si="1"/>
        <v>-1.6886195442094263</v>
      </c>
      <c r="M17">
        <v>-2.5499999999999998</v>
      </c>
    </row>
    <row r="18" spans="1:13" x14ac:dyDescent="0.2">
      <c r="A18" s="1">
        <v>43914</v>
      </c>
      <c r="B18">
        <v>155.21000699999999</v>
      </c>
      <c r="C18">
        <v>161.30999800000001</v>
      </c>
      <c r="D18">
        <v>152.570007</v>
      </c>
      <c r="E18">
        <v>160.979996</v>
      </c>
      <c r="F18">
        <v>160.979996</v>
      </c>
      <c r="G18">
        <v>30440400</v>
      </c>
      <c r="I18">
        <f t="shared" si="2"/>
        <v>8.6968193640721336E-2</v>
      </c>
      <c r="J18">
        <v>6.0000000000000001E-3</v>
      </c>
      <c r="K18">
        <f t="shared" si="0"/>
        <v>8.0968193640721331E-2</v>
      </c>
      <c r="L18">
        <f t="shared" si="1"/>
        <v>8.0968193640721324</v>
      </c>
      <c r="M18">
        <v>9.34</v>
      </c>
    </row>
    <row r="19" spans="1:13" x14ac:dyDescent="0.2">
      <c r="A19" s="1">
        <v>43915</v>
      </c>
      <c r="B19">
        <v>158.91999799999999</v>
      </c>
      <c r="C19">
        <v>162.990005</v>
      </c>
      <c r="D19">
        <v>153.05999800000001</v>
      </c>
      <c r="E19">
        <v>156.21000699999999</v>
      </c>
      <c r="F19">
        <v>156.21000699999999</v>
      </c>
      <c r="G19">
        <v>35184300</v>
      </c>
      <c r="I19">
        <f t="shared" si="2"/>
        <v>-2.9630942468156164E-2</v>
      </c>
      <c r="J19">
        <v>6.0000000000000001E-3</v>
      </c>
      <c r="K19">
        <f t="shared" si="0"/>
        <v>-3.5630942468156165E-2</v>
      </c>
      <c r="L19">
        <f t="shared" si="1"/>
        <v>-3.5630942468156164</v>
      </c>
      <c r="M19">
        <v>1.18</v>
      </c>
    </row>
    <row r="20" spans="1:13" x14ac:dyDescent="0.2">
      <c r="A20" s="1">
        <v>43916</v>
      </c>
      <c r="B20">
        <v>158.25</v>
      </c>
      <c r="C20">
        <v>164</v>
      </c>
      <c r="D20">
        <v>157.020004</v>
      </c>
      <c r="E20">
        <v>163.33999600000001</v>
      </c>
      <c r="F20">
        <v>163.33999600000001</v>
      </c>
      <c r="G20">
        <v>26556800</v>
      </c>
      <c r="I20">
        <f t="shared" si="2"/>
        <v>4.5643612319920222E-2</v>
      </c>
      <c r="J20">
        <v>6.0000000000000001E-3</v>
      </c>
      <c r="K20">
        <f t="shared" si="0"/>
        <v>3.9643612319920224E-2</v>
      </c>
      <c r="L20">
        <f t="shared" si="1"/>
        <v>3.9643612319920223</v>
      </c>
      <c r="M20">
        <v>6.02</v>
      </c>
    </row>
    <row r="21" spans="1:13" x14ac:dyDescent="0.2">
      <c r="A21" s="1">
        <v>43917</v>
      </c>
      <c r="B21">
        <v>158.199997</v>
      </c>
      <c r="C21">
        <v>160.08999600000001</v>
      </c>
      <c r="D21">
        <v>154.75</v>
      </c>
      <c r="E21">
        <v>156.78999300000001</v>
      </c>
      <c r="F21">
        <v>156.78999300000001</v>
      </c>
      <c r="G21">
        <v>24879900</v>
      </c>
      <c r="I21">
        <f t="shared" si="2"/>
        <v>-4.0100423413748601E-2</v>
      </c>
      <c r="J21">
        <v>6.0000000000000001E-3</v>
      </c>
      <c r="K21">
        <f t="shared" si="0"/>
        <v>-4.6100423413748599E-2</v>
      </c>
      <c r="L21">
        <f t="shared" si="1"/>
        <v>-4.6100423413748599</v>
      </c>
      <c r="M21">
        <v>-3.48</v>
      </c>
    </row>
    <row r="22" spans="1:13" x14ac:dyDescent="0.2">
      <c r="A22" s="1">
        <v>43920</v>
      </c>
      <c r="B22">
        <v>159.179993</v>
      </c>
      <c r="C22">
        <v>166.75</v>
      </c>
      <c r="D22">
        <v>158.05999800000001</v>
      </c>
      <c r="E22">
        <v>165.949997</v>
      </c>
      <c r="F22">
        <v>165.949997</v>
      </c>
      <c r="G22">
        <v>22515200</v>
      </c>
      <c r="I22">
        <f t="shared" si="2"/>
        <v>5.8422121365870501E-2</v>
      </c>
      <c r="J22">
        <v>6.0000000000000001E-3</v>
      </c>
      <c r="K22">
        <f t="shared" si="0"/>
        <v>5.2422121365870503E-2</v>
      </c>
      <c r="L22">
        <f t="shared" si="1"/>
        <v>5.2422121365870504</v>
      </c>
      <c r="M22">
        <v>3.16</v>
      </c>
    </row>
    <row r="23" spans="1:13" x14ac:dyDescent="0.2">
      <c r="A23" s="1">
        <v>43921</v>
      </c>
      <c r="B23">
        <v>165.479996</v>
      </c>
      <c r="C23">
        <v>170.929993</v>
      </c>
      <c r="D23">
        <v>164.199997</v>
      </c>
      <c r="E23">
        <v>166.800003</v>
      </c>
      <c r="F23">
        <v>166.800003</v>
      </c>
      <c r="G23">
        <v>23676300</v>
      </c>
      <c r="I23">
        <f t="shared" si="2"/>
        <v>5.1220609543006354E-3</v>
      </c>
      <c r="J23">
        <v>6.0000000000000001E-3</v>
      </c>
      <c r="K23">
        <f t="shared" si="0"/>
        <v>-8.7793904569936475E-4</v>
      </c>
      <c r="L23">
        <f t="shared" si="1"/>
        <v>-8.7793904569936479E-2</v>
      </c>
      <c r="M23">
        <v>-1.44</v>
      </c>
    </row>
    <row r="24" spans="1:13" x14ac:dyDescent="0.2">
      <c r="A24" s="1">
        <v>43922</v>
      </c>
      <c r="B24">
        <v>161.61999499999999</v>
      </c>
      <c r="C24">
        <v>164.14999399999999</v>
      </c>
      <c r="D24">
        <v>158.03999300000001</v>
      </c>
      <c r="E24">
        <v>159.60000600000001</v>
      </c>
      <c r="F24">
        <v>159.60000600000001</v>
      </c>
      <c r="G24">
        <v>19507600</v>
      </c>
      <c r="I24">
        <f t="shared" si="2"/>
        <v>-4.3165448863930755E-2</v>
      </c>
      <c r="J24">
        <v>0</v>
      </c>
      <c r="K24">
        <f t="shared" si="0"/>
        <v>-4.3165448863930755E-2</v>
      </c>
      <c r="L24">
        <f t="shared" si="1"/>
        <v>-4.3165448863930758</v>
      </c>
      <c r="M24">
        <v>-4.51</v>
      </c>
    </row>
    <row r="25" spans="1:13" x14ac:dyDescent="0.2">
      <c r="A25" s="1">
        <v>43923</v>
      </c>
      <c r="B25">
        <v>159.10000600000001</v>
      </c>
      <c r="C25">
        <v>161.35000600000001</v>
      </c>
      <c r="D25">
        <v>155.91999799999999</v>
      </c>
      <c r="E25">
        <v>158.19000199999999</v>
      </c>
      <c r="F25">
        <v>158.19000199999999</v>
      </c>
      <c r="G25">
        <v>20886300</v>
      </c>
      <c r="I25">
        <f t="shared" si="2"/>
        <v>-8.8346111966939068E-3</v>
      </c>
      <c r="J25">
        <v>0</v>
      </c>
      <c r="K25">
        <f t="shared" si="0"/>
        <v>-8.8346111966939068E-3</v>
      </c>
      <c r="L25">
        <f t="shared" si="1"/>
        <v>-0.88346111966939067</v>
      </c>
      <c r="M25">
        <v>2.1</v>
      </c>
    </row>
    <row r="26" spans="1:13" x14ac:dyDescent="0.2">
      <c r="A26" s="1">
        <v>43924</v>
      </c>
      <c r="B26">
        <v>157.14999399999999</v>
      </c>
      <c r="C26">
        <v>157.91000399999999</v>
      </c>
      <c r="D26">
        <v>150.83000200000001</v>
      </c>
      <c r="E26">
        <v>154.179993</v>
      </c>
      <c r="F26">
        <v>154.179993</v>
      </c>
      <c r="G26">
        <v>25983300</v>
      </c>
      <c r="I26">
        <f t="shared" si="2"/>
        <v>-2.534932011695655E-2</v>
      </c>
      <c r="J26">
        <v>0</v>
      </c>
      <c r="K26">
        <f t="shared" si="0"/>
        <v>-2.534932011695655E-2</v>
      </c>
      <c r="L26">
        <f t="shared" si="1"/>
        <v>-2.5349320116956551</v>
      </c>
      <c r="M26">
        <v>-1.64</v>
      </c>
    </row>
    <row r="27" spans="1:13" x14ac:dyDescent="0.2">
      <c r="A27" s="1">
        <v>43927</v>
      </c>
      <c r="B27">
        <v>160.14999399999999</v>
      </c>
      <c r="C27">
        <v>166.199997</v>
      </c>
      <c r="D27">
        <v>158.509995</v>
      </c>
      <c r="E27">
        <v>165.550003</v>
      </c>
      <c r="F27">
        <v>165.550003</v>
      </c>
      <c r="G27">
        <v>28453600</v>
      </c>
      <c r="I27">
        <f t="shared" si="2"/>
        <v>7.3745041615094695E-2</v>
      </c>
      <c r="J27">
        <v>0</v>
      </c>
      <c r="K27">
        <f t="shared" si="0"/>
        <v>7.3745041615094695E-2</v>
      </c>
      <c r="L27">
        <f t="shared" si="1"/>
        <v>7.3745041615094697</v>
      </c>
      <c r="M27">
        <v>7.06</v>
      </c>
    </row>
    <row r="28" spans="1:13" x14ac:dyDescent="0.2">
      <c r="A28" s="1">
        <v>43928</v>
      </c>
      <c r="B28">
        <v>171.78999300000001</v>
      </c>
      <c r="C28">
        <v>173.38999899999999</v>
      </c>
      <c r="D28">
        <v>166.009995</v>
      </c>
      <c r="E28">
        <v>168.83000200000001</v>
      </c>
      <c r="F28">
        <v>168.83000200000001</v>
      </c>
      <c r="G28">
        <v>31411900</v>
      </c>
      <c r="I28">
        <f t="shared" si="2"/>
        <v>1.9812738994634774E-2</v>
      </c>
      <c r="J28">
        <v>0</v>
      </c>
      <c r="K28">
        <f t="shared" si="0"/>
        <v>1.9812738994634774E-2</v>
      </c>
      <c r="L28">
        <f t="shared" si="1"/>
        <v>1.9812738994634773</v>
      </c>
      <c r="M28">
        <v>-0.11</v>
      </c>
    </row>
    <row r="29" spans="1:13" x14ac:dyDescent="0.2">
      <c r="A29" s="1">
        <v>43929</v>
      </c>
      <c r="B29">
        <v>171.25</v>
      </c>
      <c r="C29">
        <v>175</v>
      </c>
      <c r="D29">
        <v>167.740005</v>
      </c>
      <c r="E29">
        <v>174.279999</v>
      </c>
      <c r="F29">
        <v>174.279999</v>
      </c>
      <c r="G29">
        <v>21664200</v>
      </c>
      <c r="I29">
        <f t="shared" si="2"/>
        <v>3.22809745628031E-2</v>
      </c>
      <c r="J29">
        <v>0</v>
      </c>
      <c r="K29">
        <f t="shared" si="0"/>
        <v>3.22809745628031E-2</v>
      </c>
      <c r="L29">
        <f t="shared" si="1"/>
        <v>3.22809745628031</v>
      </c>
      <c r="M29">
        <v>3.4</v>
      </c>
    </row>
    <row r="30" spans="1:13" x14ac:dyDescent="0.2">
      <c r="A30" s="1">
        <v>43930</v>
      </c>
      <c r="B30">
        <v>175.89999399999999</v>
      </c>
      <c r="C30">
        <v>177.08000200000001</v>
      </c>
      <c r="D30">
        <v>171.570007</v>
      </c>
      <c r="E30">
        <v>175.19000199999999</v>
      </c>
      <c r="F30">
        <v>175.19000199999999</v>
      </c>
      <c r="G30">
        <v>23534300</v>
      </c>
      <c r="I30">
        <f t="shared" si="2"/>
        <v>5.2214999152024842E-3</v>
      </c>
      <c r="J30">
        <v>0</v>
      </c>
      <c r="K30">
        <f t="shared" si="0"/>
        <v>5.2214999152024842E-3</v>
      </c>
      <c r="L30">
        <f t="shared" si="1"/>
        <v>0.52214999152024844</v>
      </c>
      <c r="M30">
        <v>1.59</v>
      </c>
    </row>
    <row r="31" spans="1:13" x14ac:dyDescent="0.2">
      <c r="A31" s="1">
        <v>43934</v>
      </c>
      <c r="B31">
        <v>173.66999799999999</v>
      </c>
      <c r="C31">
        <v>175</v>
      </c>
      <c r="D31">
        <v>169.449997</v>
      </c>
      <c r="E31">
        <v>174.78999300000001</v>
      </c>
      <c r="F31">
        <v>174.78999300000001</v>
      </c>
      <c r="G31">
        <v>19355400</v>
      </c>
      <c r="I31">
        <f t="shared" si="2"/>
        <v>-2.2832866912118818E-3</v>
      </c>
      <c r="J31">
        <v>0</v>
      </c>
      <c r="K31">
        <f t="shared" si="0"/>
        <v>-2.2832866912118818E-3</v>
      </c>
      <c r="L31">
        <f t="shared" si="1"/>
        <v>-0.22832866912118818</v>
      </c>
      <c r="M31">
        <v>-0.92</v>
      </c>
    </row>
    <row r="32" spans="1:13" x14ac:dyDescent="0.2">
      <c r="A32" s="1">
        <v>43935</v>
      </c>
      <c r="B32">
        <v>178.979996</v>
      </c>
      <c r="C32">
        <v>181.229996</v>
      </c>
      <c r="D32">
        <v>176.61999499999999</v>
      </c>
      <c r="E32">
        <v>178.16999799999999</v>
      </c>
      <c r="F32">
        <v>178.16999799999999</v>
      </c>
      <c r="G32">
        <v>21011800</v>
      </c>
      <c r="I32">
        <f t="shared" si="2"/>
        <v>1.9337520083314966E-2</v>
      </c>
      <c r="J32">
        <v>0</v>
      </c>
      <c r="K32">
        <f t="shared" si="0"/>
        <v>1.9337520083314966E-2</v>
      </c>
      <c r="L32">
        <f t="shared" si="1"/>
        <v>1.9337520083314967</v>
      </c>
      <c r="M32">
        <v>3.02</v>
      </c>
    </row>
    <row r="33" spans="1:13" x14ac:dyDescent="0.2">
      <c r="A33" s="1">
        <v>43936</v>
      </c>
      <c r="B33">
        <v>175.19000199999999</v>
      </c>
      <c r="C33">
        <v>178.19000199999999</v>
      </c>
      <c r="D33">
        <v>172.820007</v>
      </c>
      <c r="E33">
        <v>176.970001</v>
      </c>
      <c r="F33">
        <v>176.970001</v>
      </c>
      <c r="G33">
        <v>17423000</v>
      </c>
      <c r="I33">
        <f t="shared" si="2"/>
        <v>-6.7351238338117748E-3</v>
      </c>
      <c r="J33">
        <v>0</v>
      </c>
      <c r="K33">
        <f t="shared" si="0"/>
        <v>-6.7351238338117748E-3</v>
      </c>
      <c r="L33">
        <f t="shared" si="1"/>
        <v>-0.67351238338117747</v>
      </c>
      <c r="M33">
        <v>-2.15</v>
      </c>
    </row>
    <row r="34" spans="1:13" x14ac:dyDescent="0.2">
      <c r="A34" s="1">
        <v>43937</v>
      </c>
      <c r="B34">
        <v>177.949997</v>
      </c>
      <c r="C34">
        <v>178.050003</v>
      </c>
      <c r="D34">
        <v>172.509995</v>
      </c>
      <c r="E34">
        <v>176.25</v>
      </c>
      <c r="F34">
        <v>176.25</v>
      </c>
      <c r="G34">
        <v>23593200</v>
      </c>
      <c r="I34">
        <f t="shared" si="2"/>
        <v>-4.068491811784509E-3</v>
      </c>
      <c r="J34">
        <v>0</v>
      </c>
      <c r="K34">
        <f t="shared" si="0"/>
        <v>-4.068491811784509E-3</v>
      </c>
      <c r="L34">
        <f t="shared" si="1"/>
        <v>-0.40684918117845092</v>
      </c>
      <c r="M34">
        <v>0.62</v>
      </c>
    </row>
    <row r="35" spans="1:13" x14ac:dyDescent="0.2">
      <c r="A35" s="1">
        <v>43938</v>
      </c>
      <c r="B35">
        <v>179.199997</v>
      </c>
      <c r="C35">
        <v>180.279999</v>
      </c>
      <c r="D35">
        <v>176.66000399999999</v>
      </c>
      <c r="E35">
        <v>179.240005</v>
      </c>
      <c r="F35">
        <v>179.240005</v>
      </c>
      <c r="G35">
        <v>20974800</v>
      </c>
      <c r="I35">
        <f t="shared" si="2"/>
        <v>1.6964567375886506E-2</v>
      </c>
      <c r="J35">
        <v>0</v>
      </c>
      <c r="K35">
        <f t="shared" si="0"/>
        <v>1.6964567375886506E-2</v>
      </c>
      <c r="L35">
        <f t="shared" si="1"/>
        <v>1.6964567375886506</v>
      </c>
      <c r="M35">
        <v>2.72</v>
      </c>
    </row>
    <row r="36" spans="1:13" x14ac:dyDescent="0.2">
      <c r="A36" s="1">
        <v>43941</v>
      </c>
      <c r="B36">
        <v>177.41000399999999</v>
      </c>
      <c r="C36">
        <v>180.5</v>
      </c>
      <c r="D36">
        <v>176.770004</v>
      </c>
      <c r="E36">
        <v>178.240005</v>
      </c>
      <c r="F36">
        <v>178.240005</v>
      </c>
      <c r="G36">
        <v>16110700</v>
      </c>
      <c r="I36">
        <f t="shared" si="2"/>
        <v>-5.5791116497681424E-3</v>
      </c>
      <c r="J36">
        <v>0</v>
      </c>
      <c r="K36">
        <f t="shared" si="0"/>
        <v>-5.5791116497681424E-3</v>
      </c>
      <c r="L36">
        <f t="shared" si="1"/>
        <v>-0.55791116497681426</v>
      </c>
      <c r="M36">
        <v>-1.56</v>
      </c>
    </row>
    <row r="37" spans="1:13" x14ac:dyDescent="0.2">
      <c r="A37" s="1">
        <v>43942</v>
      </c>
      <c r="B37">
        <v>175.25</v>
      </c>
      <c r="C37">
        <v>175.38000500000001</v>
      </c>
      <c r="D37">
        <v>168.33999600000001</v>
      </c>
      <c r="E37">
        <v>170.800003</v>
      </c>
      <c r="F37">
        <v>170.800003</v>
      </c>
      <c r="G37">
        <v>24850500</v>
      </c>
      <c r="I37">
        <f t="shared" si="2"/>
        <v>-4.1741482222242943E-2</v>
      </c>
      <c r="J37">
        <v>0</v>
      </c>
      <c r="K37">
        <f t="shared" si="0"/>
        <v>-4.1741482222242943E-2</v>
      </c>
      <c r="L37">
        <f t="shared" si="1"/>
        <v>-4.1741482222242947</v>
      </c>
      <c r="M37">
        <v>-3.08</v>
      </c>
    </row>
    <row r="38" spans="1:13" x14ac:dyDescent="0.2">
      <c r="A38" s="1">
        <v>43943</v>
      </c>
      <c r="B38">
        <v>178.449997</v>
      </c>
      <c r="C38">
        <v>184.779999</v>
      </c>
      <c r="D38">
        <v>178.13999899999999</v>
      </c>
      <c r="E38">
        <v>182.279999</v>
      </c>
      <c r="F38">
        <v>182.279999</v>
      </c>
      <c r="G38">
        <v>33242000</v>
      </c>
      <c r="I38">
        <f t="shared" si="2"/>
        <v>6.7213090154336824E-2</v>
      </c>
      <c r="J38">
        <v>0</v>
      </c>
      <c r="K38">
        <f t="shared" si="0"/>
        <v>6.7213090154336824E-2</v>
      </c>
      <c r="L38">
        <f t="shared" si="1"/>
        <v>6.7213090154336825</v>
      </c>
      <c r="M38">
        <v>2.31</v>
      </c>
    </row>
    <row r="39" spans="1:13" x14ac:dyDescent="0.2">
      <c r="A39" s="1">
        <v>43944</v>
      </c>
      <c r="B39">
        <v>184.08000200000001</v>
      </c>
      <c r="C39">
        <v>187.050003</v>
      </c>
      <c r="D39">
        <v>183.14999399999999</v>
      </c>
      <c r="E39">
        <v>185.13000500000001</v>
      </c>
      <c r="F39">
        <v>185.13000500000001</v>
      </c>
      <c r="G39">
        <v>21426600</v>
      </c>
      <c r="I39">
        <f t="shared" si="2"/>
        <v>1.5635319374782349E-2</v>
      </c>
      <c r="J39">
        <v>0</v>
      </c>
      <c r="K39">
        <f t="shared" si="0"/>
        <v>1.5635319374782349E-2</v>
      </c>
      <c r="L39">
        <f t="shared" si="1"/>
        <v>1.5635319374782348</v>
      </c>
      <c r="M39">
        <v>0.13</v>
      </c>
    </row>
    <row r="40" spans="1:13" x14ac:dyDescent="0.2">
      <c r="A40" s="1">
        <v>43945</v>
      </c>
      <c r="B40">
        <v>183.229996</v>
      </c>
      <c r="C40">
        <v>190.41000399999999</v>
      </c>
      <c r="D40">
        <v>180.83000200000001</v>
      </c>
      <c r="E40">
        <v>190.070007</v>
      </c>
      <c r="F40">
        <v>190.070007</v>
      </c>
      <c r="G40">
        <v>28792000</v>
      </c>
      <c r="I40">
        <f t="shared" si="2"/>
        <v>2.6683961900179239E-2</v>
      </c>
      <c r="J40">
        <v>0</v>
      </c>
      <c r="K40">
        <f t="shared" si="0"/>
        <v>2.6683961900179239E-2</v>
      </c>
      <c r="L40">
        <f t="shared" si="1"/>
        <v>2.6683961900179241</v>
      </c>
      <c r="M40">
        <v>1.44</v>
      </c>
    </row>
    <row r="41" spans="1:13" x14ac:dyDescent="0.2">
      <c r="A41" s="1">
        <v>43948</v>
      </c>
      <c r="B41">
        <v>192.66000399999999</v>
      </c>
      <c r="C41">
        <v>193.75</v>
      </c>
      <c r="D41">
        <v>187.41000399999999</v>
      </c>
      <c r="E41">
        <v>187.5</v>
      </c>
      <c r="F41">
        <v>187.5</v>
      </c>
      <c r="G41">
        <v>29197800</v>
      </c>
      <c r="I41">
        <f t="shared" si="2"/>
        <v>-1.3521370575842635E-2</v>
      </c>
      <c r="J41">
        <v>0</v>
      </c>
      <c r="K41">
        <f t="shared" si="0"/>
        <v>-1.3521370575842635E-2</v>
      </c>
      <c r="L41">
        <f t="shared" si="1"/>
        <v>-1.3521370575842635</v>
      </c>
      <c r="M41">
        <v>1.73</v>
      </c>
    </row>
    <row r="42" spans="1:13" x14ac:dyDescent="0.2">
      <c r="A42" s="1">
        <v>43949</v>
      </c>
      <c r="B42">
        <v>188.66000399999999</v>
      </c>
      <c r="C42">
        <v>189.199997</v>
      </c>
      <c r="D42">
        <v>182.55999800000001</v>
      </c>
      <c r="E42">
        <v>182.91000399999999</v>
      </c>
      <c r="F42">
        <v>182.91000399999999</v>
      </c>
      <c r="G42">
        <v>21731000</v>
      </c>
      <c r="I42">
        <f t="shared" si="2"/>
        <v>-2.4479978666666739E-2</v>
      </c>
      <c r="J42">
        <v>0</v>
      </c>
      <c r="K42">
        <f t="shared" si="0"/>
        <v>-2.4479978666666739E-2</v>
      </c>
      <c r="L42">
        <f t="shared" si="1"/>
        <v>-2.447997866666674</v>
      </c>
      <c r="M42">
        <v>-0.45</v>
      </c>
    </row>
    <row r="43" spans="1:13" x14ac:dyDescent="0.2">
      <c r="A43" s="1">
        <v>43950</v>
      </c>
      <c r="B43">
        <v>190.929993</v>
      </c>
      <c r="C43">
        <v>196.91000399999999</v>
      </c>
      <c r="D43">
        <v>190</v>
      </c>
      <c r="E43">
        <v>194.19000199999999</v>
      </c>
      <c r="F43">
        <v>194.19000199999999</v>
      </c>
      <c r="G43">
        <v>45954500</v>
      </c>
      <c r="I43">
        <f t="shared" si="2"/>
        <v>6.1669661326998859E-2</v>
      </c>
      <c r="J43">
        <v>0</v>
      </c>
      <c r="K43">
        <f t="shared" si="0"/>
        <v>6.1669661326998859E-2</v>
      </c>
      <c r="L43">
        <f t="shared" si="1"/>
        <v>6.1669661326998861</v>
      </c>
      <c r="M43">
        <v>2.92</v>
      </c>
    </row>
    <row r="44" spans="1:13" x14ac:dyDescent="0.2">
      <c r="A44" s="1">
        <v>43951</v>
      </c>
      <c r="B44">
        <v>206.91999799999999</v>
      </c>
      <c r="C44">
        <v>209.69000199999999</v>
      </c>
      <c r="D44">
        <v>201.570007</v>
      </c>
      <c r="E44">
        <v>204.71000699999999</v>
      </c>
      <c r="F44">
        <v>204.71000699999999</v>
      </c>
      <c r="G44">
        <v>46230100</v>
      </c>
      <c r="I44">
        <f t="shared" si="2"/>
        <v>5.417377255086489E-2</v>
      </c>
      <c r="J44">
        <v>0</v>
      </c>
      <c r="K44">
        <f t="shared" si="0"/>
        <v>5.417377255086489E-2</v>
      </c>
      <c r="L44">
        <f t="shared" si="1"/>
        <v>5.4173772550864889</v>
      </c>
      <c r="M44">
        <v>-1.18</v>
      </c>
    </row>
    <row r="45" spans="1:13" x14ac:dyDescent="0.2">
      <c r="A45" s="1">
        <v>43952</v>
      </c>
      <c r="B45">
        <v>201.60000600000001</v>
      </c>
      <c r="C45">
        <v>207.279999</v>
      </c>
      <c r="D45">
        <v>199.050003</v>
      </c>
      <c r="E45">
        <v>202.270004</v>
      </c>
      <c r="F45">
        <v>202.270004</v>
      </c>
      <c r="G45">
        <v>30415600</v>
      </c>
      <c r="I45">
        <f t="shared" si="2"/>
        <v>-1.1919314721141064E-2</v>
      </c>
      <c r="J45">
        <v>0</v>
      </c>
      <c r="K45">
        <f t="shared" si="0"/>
        <v>-1.1919314721141064E-2</v>
      </c>
      <c r="L45">
        <f t="shared" si="1"/>
        <v>-1.1919314721141063</v>
      </c>
      <c r="M45">
        <v>-2.91</v>
      </c>
    </row>
    <row r="46" spans="1:13" x14ac:dyDescent="0.2">
      <c r="A46" s="1">
        <v>43955</v>
      </c>
      <c r="B46">
        <v>200.199997</v>
      </c>
      <c r="C46">
        <v>205.91000399999999</v>
      </c>
      <c r="D46">
        <v>198.759995</v>
      </c>
      <c r="E46">
        <v>205.259995</v>
      </c>
      <c r="F46">
        <v>205.259995</v>
      </c>
      <c r="G46">
        <v>19250700</v>
      </c>
      <c r="I46">
        <f t="shared" si="2"/>
        <v>1.4782176995458028E-2</v>
      </c>
      <c r="J46">
        <v>0</v>
      </c>
      <c r="K46">
        <f t="shared" si="0"/>
        <v>1.4782176995458028E-2</v>
      </c>
      <c r="L46">
        <f t="shared" si="1"/>
        <v>1.4782176995458027</v>
      </c>
      <c r="M46">
        <v>0.53</v>
      </c>
    </row>
    <row r="47" spans="1:13" x14ac:dyDescent="0.2">
      <c r="A47" s="1">
        <v>43956</v>
      </c>
      <c r="B47">
        <v>207.020004</v>
      </c>
      <c r="C47">
        <v>210.38000500000001</v>
      </c>
      <c r="D47">
        <v>206.5</v>
      </c>
      <c r="E47">
        <v>207.070007</v>
      </c>
      <c r="F47">
        <v>207.070007</v>
      </c>
      <c r="G47">
        <v>21071200</v>
      </c>
      <c r="I47">
        <f t="shared" si="2"/>
        <v>8.8181430580274566E-3</v>
      </c>
      <c r="J47">
        <v>0</v>
      </c>
      <c r="K47">
        <f t="shared" si="0"/>
        <v>8.8181430580274566E-3</v>
      </c>
      <c r="L47">
        <f t="shared" si="1"/>
        <v>0.88181430580274567</v>
      </c>
      <c r="M47">
        <v>0.95</v>
      </c>
    </row>
    <row r="48" spans="1:13" x14ac:dyDescent="0.2">
      <c r="A48" s="1">
        <v>43957</v>
      </c>
      <c r="B48">
        <v>208.11999499999999</v>
      </c>
      <c r="C48">
        <v>211.60000600000001</v>
      </c>
      <c r="D48">
        <v>206.66000399999999</v>
      </c>
      <c r="E48">
        <v>208.470001</v>
      </c>
      <c r="F48">
        <v>208.470001</v>
      </c>
      <c r="G48">
        <v>21857000</v>
      </c>
      <c r="I48">
        <f t="shared" si="2"/>
        <v>6.7609694918298446E-3</v>
      </c>
      <c r="J48">
        <v>0</v>
      </c>
      <c r="K48">
        <f t="shared" si="0"/>
        <v>6.7609694918298446E-3</v>
      </c>
      <c r="L48">
        <f t="shared" si="1"/>
        <v>0.67609694918298446</v>
      </c>
      <c r="M48">
        <v>-0.52</v>
      </c>
    </row>
    <row r="49" spans="1:13" x14ac:dyDescent="0.2">
      <c r="A49" s="1">
        <v>43958</v>
      </c>
      <c r="B49">
        <v>211.16000399999999</v>
      </c>
      <c r="C49">
        <v>211.60000600000001</v>
      </c>
      <c r="D49">
        <v>209.03999300000001</v>
      </c>
      <c r="E49">
        <v>211.259995</v>
      </c>
      <c r="F49">
        <v>211.259995</v>
      </c>
      <c r="G49">
        <v>15152000</v>
      </c>
      <c r="I49">
        <f t="shared" si="2"/>
        <v>1.3383191761964865E-2</v>
      </c>
      <c r="J49">
        <v>0</v>
      </c>
      <c r="K49">
        <f t="shared" si="0"/>
        <v>1.3383191761964865E-2</v>
      </c>
      <c r="L49">
        <f t="shared" si="1"/>
        <v>1.3383191761964865</v>
      </c>
      <c r="M49">
        <v>1.33</v>
      </c>
    </row>
    <row r="50" spans="1:13" x14ac:dyDescent="0.2">
      <c r="A50" s="1">
        <v>43959</v>
      </c>
      <c r="B50">
        <v>212.240005</v>
      </c>
      <c r="C50">
        <v>213.21000699999999</v>
      </c>
      <c r="D50">
        <v>210.85000600000001</v>
      </c>
      <c r="E50">
        <v>212.35000600000001</v>
      </c>
      <c r="F50">
        <v>212.35000600000001</v>
      </c>
      <c r="G50">
        <v>12506000</v>
      </c>
      <c r="I50">
        <f t="shared" si="2"/>
        <v>5.1595712666754725E-3</v>
      </c>
      <c r="J50">
        <v>0</v>
      </c>
      <c r="K50">
        <f t="shared" si="0"/>
        <v>5.1595712666754725E-3</v>
      </c>
      <c r="L50">
        <f t="shared" si="1"/>
        <v>0.51595712666754723</v>
      </c>
      <c r="M50">
        <v>1.9</v>
      </c>
    </row>
    <row r="51" spans="1:13" x14ac:dyDescent="0.2">
      <c r="A51" s="1">
        <v>43962</v>
      </c>
      <c r="B51">
        <v>210.88999899999999</v>
      </c>
      <c r="C51">
        <v>215</v>
      </c>
      <c r="D51">
        <v>210.36999499999999</v>
      </c>
      <c r="E51">
        <v>213.179993</v>
      </c>
      <c r="F51">
        <v>213.179993</v>
      </c>
      <c r="G51">
        <v>12911900</v>
      </c>
      <c r="I51">
        <f t="shared" si="2"/>
        <v>3.9085800638027218E-3</v>
      </c>
      <c r="J51">
        <v>0</v>
      </c>
      <c r="K51">
        <f t="shared" si="0"/>
        <v>3.9085800638027218E-3</v>
      </c>
      <c r="L51">
        <f t="shared" si="1"/>
        <v>0.39085800638027218</v>
      </c>
      <c r="M51">
        <v>7.0000000000000007E-2</v>
      </c>
    </row>
    <row r="52" spans="1:13" x14ac:dyDescent="0.2">
      <c r="A52" s="1">
        <v>43963</v>
      </c>
      <c r="B52">
        <v>213.28999300000001</v>
      </c>
      <c r="C52">
        <v>215.279999</v>
      </c>
      <c r="D52">
        <v>210</v>
      </c>
      <c r="E52">
        <v>210.10000600000001</v>
      </c>
      <c r="F52">
        <v>210.10000600000001</v>
      </c>
      <c r="G52">
        <v>14704600</v>
      </c>
      <c r="I52">
        <f t="shared" si="2"/>
        <v>-1.4447823910004483E-2</v>
      </c>
      <c r="J52">
        <v>0</v>
      </c>
      <c r="K52">
        <f t="shared" si="0"/>
        <v>-1.4447823910004483E-2</v>
      </c>
      <c r="L52">
        <f t="shared" si="1"/>
        <v>-1.4447823910004483</v>
      </c>
      <c r="M52">
        <v>-2.06</v>
      </c>
    </row>
    <row r="53" spans="1:13" x14ac:dyDescent="0.2">
      <c r="A53" s="1">
        <v>43964</v>
      </c>
      <c r="B53">
        <v>209.429993</v>
      </c>
      <c r="C53">
        <v>210.779999</v>
      </c>
      <c r="D53">
        <v>202.11000100000001</v>
      </c>
      <c r="E53">
        <v>205.10000600000001</v>
      </c>
      <c r="F53">
        <v>205.10000600000001</v>
      </c>
      <c r="G53">
        <v>20684600</v>
      </c>
      <c r="I53">
        <f t="shared" si="2"/>
        <v>-2.379819065783368E-2</v>
      </c>
      <c r="J53">
        <v>0</v>
      </c>
      <c r="K53">
        <f t="shared" si="0"/>
        <v>-2.379819065783368E-2</v>
      </c>
      <c r="L53">
        <f t="shared" si="1"/>
        <v>-2.379819065783368</v>
      </c>
      <c r="M53">
        <v>-1.89</v>
      </c>
    </row>
    <row r="54" spans="1:13" x14ac:dyDescent="0.2">
      <c r="A54" s="1">
        <v>43965</v>
      </c>
      <c r="B54">
        <v>202.55999800000001</v>
      </c>
      <c r="C54">
        <v>206.929993</v>
      </c>
      <c r="D54">
        <v>200.69000199999999</v>
      </c>
      <c r="E54">
        <v>206.80999800000001</v>
      </c>
      <c r="F54">
        <v>206.80999800000001</v>
      </c>
      <c r="G54">
        <v>17178900</v>
      </c>
      <c r="I54">
        <f t="shared" si="2"/>
        <v>8.337357142739428E-3</v>
      </c>
      <c r="J54">
        <v>0</v>
      </c>
      <c r="K54">
        <f t="shared" si="0"/>
        <v>8.337357142739428E-3</v>
      </c>
      <c r="L54">
        <f t="shared" si="1"/>
        <v>0.83373571427394277</v>
      </c>
      <c r="M54">
        <v>1.1399999999999999</v>
      </c>
    </row>
    <row r="55" spans="1:13" x14ac:dyDescent="0.2">
      <c r="A55" s="1">
        <v>43966</v>
      </c>
      <c r="B55">
        <v>205.270004</v>
      </c>
      <c r="C55">
        <v>211.33999600000001</v>
      </c>
      <c r="D55">
        <v>204.11999499999999</v>
      </c>
      <c r="E55">
        <v>210.88000500000001</v>
      </c>
      <c r="F55">
        <v>210.88000500000001</v>
      </c>
      <c r="G55">
        <v>19383200</v>
      </c>
      <c r="I55">
        <f t="shared" si="2"/>
        <v>1.9679933462404479E-2</v>
      </c>
      <c r="J55">
        <v>0</v>
      </c>
      <c r="K55">
        <f t="shared" si="0"/>
        <v>1.9679933462404479E-2</v>
      </c>
      <c r="L55">
        <f t="shared" si="1"/>
        <v>1.967993346240448</v>
      </c>
      <c r="M55">
        <v>0.56999999999999995</v>
      </c>
    </row>
    <row r="56" spans="1:13" x14ac:dyDescent="0.2">
      <c r="A56" s="1">
        <v>43969</v>
      </c>
      <c r="B56">
        <v>212.14999399999999</v>
      </c>
      <c r="C56">
        <v>214.63999899999999</v>
      </c>
      <c r="D56">
        <v>210.94000199999999</v>
      </c>
      <c r="E56">
        <v>213.19000199999999</v>
      </c>
      <c r="F56">
        <v>213.19000199999999</v>
      </c>
      <c r="G56">
        <v>20151900</v>
      </c>
      <c r="I56">
        <f t="shared" si="2"/>
        <v>1.0954082631020335E-2</v>
      </c>
      <c r="J56">
        <v>0</v>
      </c>
      <c r="K56">
        <f t="shared" si="0"/>
        <v>1.0954082631020335E-2</v>
      </c>
      <c r="L56">
        <f t="shared" si="1"/>
        <v>1.0954082631020334</v>
      </c>
      <c r="M56">
        <v>3.24</v>
      </c>
    </row>
    <row r="57" spans="1:13" x14ac:dyDescent="0.2">
      <c r="A57" s="1">
        <v>43970</v>
      </c>
      <c r="B57">
        <v>213.270004</v>
      </c>
      <c r="C57">
        <v>220.490005</v>
      </c>
      <c r="D57">
        <v>212.83000200000001</v>
      </c>
      <c r="E57">
        <v>216.88000500000001</v>
      </c>
      <c r="F57">
        <v>216.88000500000001</v>
      </c>
      <c r="G57">
        <v>31843200</v>
      </c>
      <c r="I57">
        <f t="shared" si="2"/>
        <v>1.7308518060804835E-2</v>
      </c>
      <c r="J57">
        <v>0</v>
      </c>
      <c r="K57">
        <f t="shared" si="0"/>
        <v>1.7308518060804835E-2</v>
      </c>
      <c r="L57">
        <f t="shared" si="1"/>
        <v>1.7308518060804836</v>
      </c>
      <c r="M57">
        <v>-1.01</v>
      </c>
    </row>
    <row r="58" spans="1:13" x14ac:dyDescent="0.2">
      <c r="A58" s="1">
        <v>43971</v>
      </c>
      <c r="B58">
        <v>223.5</v>
      </c>
      <c r="C58">
        <v>231.33999600000001</v>
      </c>
      <c r="D58">
        <v>223.19000199999999</v>
      </c>
      <c r="E58">
        <v>229.970001</v>
      </c>
      <c r="F58">
        <v>229.970001</v>
      </c>
      <c r="G58">
        <v>50162900</v>
      </c>
      <c r="I58">
        <f t="shared" si="2"/>
        <v>6.035593737652295E-2</v>
      </c>
      <c r="J58">
        <v>0</v>
      </c>
      <c r="K58">
        <f t="shared" si="0"/>
        <v>6.035593737652295E-2</v>
      </c>
      <c r="L58">
        <f t="shared" si="1"/>
        <v>6.0355937376522952</v>
      </c>
      <c r="M58">
        <v>1.8</v>
      </c>
    </row>
    <row r="59" spans="1:13" x14ac:dyDescent="0.2">
      <c r="A59" s="1">
        <v>43972</v>
      </c>
      <c r="B59">
        <v>234.720001</v>
      </c>
      <c r="C59">
        <v>237.199997</v>
      </c>
      <c r="D59">
        <v>231.199997</v>
      </c>
      <c r="E59">
        <v>231.38999899999999</v>
      </c>
      <c r="F59">
        <v>231.38999899999999</v>
      </c>
      <c r="G59">
        <v>47782600</v>
      </c>
      <c r="I59">
        <f t="shared" si="2"/>
        <v>6.1747097178992162E-3</v>
      </c>
      <c r="J59">
        <v>0</v>
      </c>
      <c r="K59">
        <f t="shared" si="0"/>
        <v>6.1747097178992162E-3</v>
      </c>
      <c r="L59">
        <f t="shared" si="1"/>
        <v>0.61747097178992161</v>
      </c>
      <c r="M59">
        <v>-0.7</v>
      </c>
    </row>
    <row r="60" spans="1:13" x14ac:dyDescent="0.2">
      <c r="A60" s="1">
        <v>43973</v>
      </c>
      <c r="B60">
        <v>231.509995</v>
      </c>
      <c r="C60">
        <v>235.990005</v>
      </c>
      <c r="D60">
        <v>228.740005</v>
      </c>
      <c r="E60">
        <v>234.91000399999999</v>
      </c>
      <c r="F60">
        <v>234.91000399999999</v>
      </c>
      <c r="G60">
        <v>33925600</v>
      </c>
      <c r="I60">
        <f t="shared" si="2"/>
        <v>1.5212433619484125E-2</v>
      </c>
      <c r="J60">
        <v>0</v>
      </c>
      <c r="K60">
        <f t="shared" si="0"/>
        <v>1.5212433619484125E-2</v>
      </c>
      <c r="L60">
        <f t="shared" si="1"/>
        <v>1.5212433619484125</v>
      </c>
      <c r="M60">
        <v>0.27</v>
      </c>
    </row>
    <row r="61" spans="1:13" x14ac:dyDescent="0.2">
      <c r="A61" s="1">
        <v>43977</v>
      </c>
      <c r="B61">
        <v>239.770004</v>
      </c>
      <c r="C61">
        <v>240.89999399999999</v>
      </c>
      <c r="D61">
        <v>231.66999799999999</v>
      </c>
      <c r="E61">
        <v>232.199997</v>
      </c>
      <c r="F61">
        <v>232.199997</v>
      </c>
      <c r="G61">
        <v>33178300</v>
      </c>
      <c r="I61">
        <f t="shared" si="2"/>
        <v>-1.1536362665933931E-2</v>
      </c>
      <c r="J61">
        <v>0</v>
      </c>
      <c r="K61">
        <f t="shared" si="0"/>
        <v>-1.1536362665933931E-2</v>
      </c>
      <c r="L61">
        <f t="shared" si="1"/>
        <v>-1.153636266593393</v>
      </c>
      <c r="M61">
        <v>1.23</v>
      </c>
    </row>
    <row r="62" spans="1:13" x14ac:dyDescent="0.2">
      <c r="A62" s="1">
        <v>43978</v>
      </c>
      <c r="B62">
        <v>229.070007</v>
      </c>
      <c r="C62">
        <v>230.55999800000001</v>
      </c>
      <c r="D62">
        <v>221.13000500000001</v>
      </c>
      <c r="E62">
        <v>229.13999899999999</v>
      </c>
      <c r="F62">
        <v>229.13999899999999</v>
      </c>
      <c r="G62">
        <v>34697600</v>
      </c>
      <c r="I62">
        <f t="shared" si="2"/>
        <v>-1.317828613064111E-2</v>
      </c>
      <c r="J62">
        <v>0</v>
      </c>
      <c r="K62">
        <f t="shared" si="0"/>
        <v>-1.317828613064111E-2</v>
      </c>
      <c r="L62">
        <f t="shared" si="1"/>
        <v>-1.317828613064111</v>
      </c>
      <c r="M62">
        <v>1.54</v>
      </c>
    </row>
    <row r="63" spans="1:13" x14ac:dyDescent="0.2">
      <c r="A63" s="1">
        <v>43979</v>
      </c>
      <c r="B63">
        <v>224.300003</v>
      </c>
      <c r="C63">
        <v>231.63000500000001</v>
      </c>
      <c r="D63">
        <v>224</v>
      </c>
      <c r="E63">
        <v>225.46000699999999</v>
      </c>
      <c r="F63">
        <v>225.46000699999999</v>
      </c>
      <c r="G63">
        <v>29377200</v>
      </c>
      <c r="I63">
        <f t="shared" si="2"/>
        <v>-1.6060015781007308E-2</v>
      </c>
      <c r="J63">
        <v>0</v>
      </c>
      <c r="K63">
        <f t="shared" si="0"/>
        <v>-1.6060015781007308E-2</v>
      </c>
      <c r="L63">
        <f t="shared" si="1"/>
        <v>-1.6060015781007309</v>
      </c>
      <c r="M63">
        <v>-0.41</v>
      </c>
    </row>
    <row r="64" spans="1:13" x14ac:dyDescent="0.2">
      <c r="A64" s="1">
        <v>43980</v>
      </c>
      <c r="B64">
        <v>225.199997</v>
      </c>
      <c r="C64">
        <v>227.490005</v>
      </c>
      <c r="D64">
        <v>222.88000500000001</v>
      </c>
      <c r="E64">
        <v>225.08999600000001</v>
      </c>
      <c r="F64">
        <v>225.08999600000001</v>
      </c>
      <c r="G64">
        <v>23241500</v>
      </c>
      <c r="I64">
        <f t="shared" si="2"/>
        <v>-1.6411380666726263E-3</v>
      </c>
      <c r="J64">
        <v>0</v>
      </c>
      <c r="K64">
        <f t="shared" si="0"/>
        <v>-1.6411380666726263E-3</v>
      </c>
      <c r="L64">
        <f t="shared" si="1"/>
        <v>-0.16411380666726263</v>
      </c>
      <c r="M64">
        <v>0.6</v>
      </c>
    </row>
    <row r="65" spans="1:13" x14ac:dyDescent="0.2">
      <c r="A65" s="1">
        <v>43983</v>
      </c>
      <c r="B65">
        <v>224.58999600000001</v>
      </c>
      <c r="C65">
        <v>232.44000199999999</v>
      </c>
      <c r="D65">
        <v>223.5</v>
      </c>
      <c r="E65">
        <v>231.91000399999999</v>
      </c>
      <c r="F65">
        <v>231.91000399999999</v>
      </c>
      <c r="G65">
        <v>18223800</v>
      </c>
      <c r="I65">
        <f t="shared" si="2"/>
        <v>3.0299027594278213E-2</v>
      </c>
      <c r="J65">
        <v>0</v>
      </c>
      <c r="K65">
        <f t="shared" si="0"/>
        <v>3.0299027594278213E-2</v>
      </c>
      <c r="L65">
        <f t="shared" si="1"/>
        <v>3.0299027594278214</v>
      </c>
      <c r="M65">
        <v>0.52</v>
      </c>
    </row>
    <row r="66" spans="1:13" x14ac:dyDescent="0.2">
      <c r="A66" s="1">
        <v>43984</v>
      </c>
      <c r="B66">
        <v>230.94000199999999</v>
      </c>
      <c r="C66">
        <v>233</v>
      </c>
      <c r="D66">
        <v>226.55999800000001</v>
      </c>
      <c r="E66">
        <v>232.720001</v>
      </c>
      <c r="F66">
        <v>232.720001</v>
      </c>
      <c r="G66">
        <v>20919000</v>
      </c>
      <c r="I66">
        <f t="shared" si="2"/>
        <v>3.492721254060303E-3</v>
      </c>
      <c r="J66">
        <v>0</v>
      </c>
      <c r="K66">
        <f t="shared" si="0"/>
        <v>3.492721254060303E-3</v>
      </c>
      <c r="L66">
        <f t="shared" si="1"/>
        <v>0.34927212540603031</v>
      </c>
      <c r="M66">
        <v>0.81</v>
      </c>
    </row>
    <row r="67" spans="1:13" x14ac:dyDescent="0.2">
      <c r="A67" s="1">
        <v>43985</v>
      </c>
      <c r="B67">
        <v>232.11000100000001</v>
      </c>
      <c r="C67">
        <v>232.64999399999999</v>
      </c>
      <c r="D67">
        <v>228.529999</v>
      </c>
      <c r="E67">
        <v>230.16000399999999</v>
      </c>
      <c r="F67">
        <v>230.16000399999999</v>
      </c>
      <c r="G67">
        <v>15380300</v>
      </c>
      <c r="I67">
        <f t="shared" si="2"/>
        <v>-1.1000330822446197E-2</v>
      </c>
      <c r="J67">
        <v>0</v>
      </c>
      <c r="K67">
        <f t="shared" si="0"/>
        <v>-1.1000330822446197E-2</v>
      </c>
      <c r="L67">
        <f t="shared" si="1"/>
        <v>-1.1000330822446198</v>
      </c>
      <c r="M67">
        <v>1.42</v>
      </c>
    </row>
    <row r="68" spans="1:13" x14ac:dyDescent="0.2">
      <c r="A68" s="1">
        <v>43986</v>
      </c>
      <c r="B68">
        <v>229.55999800000001</v>
      </c>
      <c r="C68">
        <v>231.63000500000001</v>
      </c>
      <c r="D68">
        <v>224.61000100000001</v>
      </c>
      <c r="E68">
        <v>226.28999300000001</v>
      </c>
      <c r="F68">
        <v>226.28999300000001</v>
      </c>
      <c r="G68">
        <v>17041500</v>
      </c>
      <c r="I68">
        <f t="shared" si="2"/>
        <v>-1.6814437490190421E-2</v>
      </c>
      <c r="J68">
        <v>0</v>
      </c>
      <c r="K68">
        <f t="shared" ref="K68:K131" si="3">I68-J68</f>
        <v>-1.6814437490190421E-2</v>
      </c>
      <c r="L68">
        <f t="shared" ref="L68:L131" si="4">100*K68</f>
        <v>-1.6814437490190421</v>
      </c>
      <c r="M68">
        <v>-0.34</v>
      </c>
    </row>
    <row r="69" spans="1:13" x14ac:dyDescent="0.2">
      <c r="A69" s="1">
        <v>43987</v>
      </c>
      <c r="B69">
        <v>226.71000699999999</v>
      </c>
      <c r="C69">
        <v>231.35000600000001</v>
      </c>
      <c r="D69">
        <v>225.30999800000001</v>
      </c>
      <c r="E69">
        <v>230.770004</v>
      </c>
      <c r="F69">
        <v>230.770004</v>
      </c>
      <c r="G69">
        <v>16750400</v>
      </c>
      <c r="I69">
        <f t="shared" ref="I69:I132" si="5">(F69-F68)/F68</f>
        <v>1.9797654065948866E-2</v>
      </c>
      <c r="J69">
        <v>0</v>
      </c>
      <c r="K69">
        <f t="shared" si="3"/>
        <v>1.9797654065948866E-2</v>
      </c>
      <c r="L69">
        <f t="shared" si="4"/>
        <v>1.9797654065948866</v>
      </c>
      <c r="M69">
        <v>2.5</v>
      </c>
    </row>
    <row r="70" spans="1:13" x14ac:dyDescent="0.2">
      <c r="A70" s="1">
        <v>43990</v>
      </c>
      <c r="B70">
        <v>229.029999</v>
      </c>
      <c r="C70">
        <v>231.550003</v>
      </c>
      <c r="D70">
        <v>227.41000399999999</v>
      </c>
      <c r="E70">
        <v>231.39999399999999</v>
      </c>
      <c r="F70">
        <v>231.39999399999999</v>
      </c>
      <c r="G70">
        <v>15466500</v>
      </c>
      <c r="I70">
        <f t="shared" si="5"/>
        <v>2.7299475195224779E-3</v>
      </c>
      <c r="J70">
        <v>0</v>
      </c>
      <c r="K70">
        <f t="shared" si="3"/>
        <v>2.7299475195224779E-3</v>
      </c>
      <c r="L70">
        <f t="shared" si="4"/>
        <v>0.27299475195224782</v>
      </c>
      <c r="M70">
        <v>1.39</v>
      </c>
    </row>
    <row r="71" spans="1:13" x14ac:dyDescent="0.2">
      <c r="A71" s="1">
        <v>43991</v>
      </c>
      <c r="B71">
        <v>231.520004</v>
      </c>
      <c r="C71">
        <v>239.770004</v>
      </c>
      <c r="D71">
        <v>230.41000399999999</v>
      </c>
      <c r="E71">
        <v>238.66999799999999</v>
      </c>
      <c r="F71">
        <v>238.66999799999999</v>
      </c>
      <c r="G71">
        <v>27462900</v>
      </c>
      <c r="I71">
        <f t="shared" si="5"/>
        <v>3.1417477046261293E-2</v>
      </c>
      <c r="J71">
        <v>0</v>
      </c>
      <c r="K71">
        <f t="shared" si="3"/>
        <v>3.1417477046261293E-2</v>
      </c>
      <c r="L71">
        <f t="shared" si="4"/>
        <v>3.1417477046261291</v>
      </c>
      <c r="M71">
        <v>-0.85</v>
      </c>
    </row>
    <row r="72" spans="1:13" x14ac:dyDescent="0.2">
      <c r="A72" s="1">
        <v>43992</v>
      </c>
      <c r="B72">
        <v>240.96000699999999</v>
      </c>
      <c r="C72">
        <v>241.21000699999999</v>
      </c>
      <c r="D72">
        <v>235.279999</v>
      </c>
      <c r="E72">
        <v>236.729996</v>
      </c>
      <c r="F72">
        <v>236.729996</v>
      </c>
      <c r="G72">
        <v>20720700</v>
      </c>
      <c r="I72">
        <f t="shared" si="5"/>
        <v>-8.1283865431632206E-3</v>
      </c>
      <c r="J72">
        <v>0</v>
      </c>
      <c r="K72">
        <f t="shared" si="3"/>
        <v>-8.1283865431632206E-3</v>
      </c>
      <c r="L72">
        <f t="shared" si="4"/>
        <v>-0.81283865431632207</v>
      </c>
      <c r="M72">
        <v>-0.56000000000000005</v>
      </c>
    </row>
    <row r="73" spans="1:13" x14ac:dyDescent="0.2">
      <c r="A73" s="1">
        <v>43993</v>
      </c>
      <c r="B73">
        <v>229.94000199999999</v>
      </c>
      <c r="C73">
        <v>232.88999899999999</v>
      </c>
      <c r="D73">
        <v>223.550003</v>
      </c>
      <c r="E73">
        <v>224.429993</v>
      </c>
      <c r="F73">
        <v>224.429993</v>
      </c>
      <c r="G73">
        <v>26708200</v>
      </c>
      <c r="I73">
        <f t="shared" si="5"/>
        <v>-5.1957940302588455E-2</v>
      </c>
      <c r="J73">
        <v>0</v>
      </c>
      <c r="K73">
        <f t="shared" si="3"/>
        <v>-5.1957940302588455E-2</v>
      </c>
      <c r="L73">
        <f t="shared" si="4"/>
        <v>-5.1957940302588455</v>
      </c>
      <c r="M73">
        <v>-5.91</v>
      </c>
    </row>
    <row r="74" spans="1:13" x14ac:dyDescent="0.2">
      <c r="A74" s="1">
        <v>43994</v>
      </c>
      <c r="B74">
        <v>229.89999399999999</v>
      </c>
      <c r="C74">
        <v>231.66000399999999</v>
      </c>
      <c r="D74">
        <v>224.5</v>
      </c>
      <c r="E74">
        <v>228.58000200000001</v>
      </c>
      <c r="F74">
        <v>228.58000200000001</v>
      </c>
      <c r="G74">
        <v>22091400</v>
      </c>
      <c r="I74">
        <f t="shared" si="5"/>
        <v>1.8491329721691929E-2</v>
      </c>
      <c r="J74">
        <v>0</v>
      </c>
      <c r="K74">
        <f t="shared" si="3"/>
        <v>1.8491329721691929E-2</v>
      </c>
      <c r="L74">
        <f t="shared" si="4"/>
        <v>1.8491329721691929</v>
      </c>
      <c r="M74">
        <v>1.29</v>
      </c>
    </row>
    <row r="75" spans="1:13" x14ac:dyDescent="0.2">
      <c r="A75" s="1">
        <v>43997</v>
      </c>
      <c r="B75">
        <v>225.08999600000001</v>
      </c>
      <c r="C75">
        <v>233.770004</v>
      </c>
      <c r="D75">
        <v>224.800003</v>
      </c>
      <c r="E75">
        <v>232.5</v>
      </c>
      <c r="F75">
        <v>232.5</v>
      </c>
      <c r="G75">
        <v>15340300</v>
      </c>
      <c r="I75">
        <f t="shared" si="5"/>
        <v>1.7149347999393195E-2</v>
      </c>
      <c r="J75">
        <v>0</v>
      </c>
      <c r="K75">
        <f t="shared" si="3"/>
        <v>1.7149347999393195E-2</v>
      </c>
      <c r="L75">
        <f t="shared" si="4"/>
        <v>1.7149347999393196</v>
      </c>
      <c r="M75">
        <v>1.0900000000000001</v>
      </c>
    </row>
    <row r="76" spans="1:13" x14ac:dyDescent="0.2">
      <c r="A76" s="1">
        <v>43998</v>
      </c>
      <c r="B76">
        <v>237.13999899999999</v>
      </c>
      <c r="C76">
        <v>238.46000699999999</v>
      </c>
      <c r="D76">
        <v>233</v>
      </c>
      <c r="E76">
        <v>235.64999399999999</v>
      </c>
      <c r="F76">
        <v>235.64999399999999</v>
      </c>
      <c r="G76">
        <v>15236700</v>
      </c>
      <c r="I76">
        <f t="shared" si="5"/>
        <v>1.3548361290322547E-2</v>
      </c>
      <c r="J76">
        <v>0</v>
      </c>
      <c r="K76">
        <f t="shared" si="3"/>
        <v>1.3548361290322547E-2</v>
      </c>
      <c r="L76">
        <f t="shared" si="4"/>
        <v>1.3548361290322548</v>
      </c>
      <c r="M76">
        <v>1.86</v>
      </c>
    </row>
    <row r="77" spans="1:13" x14ac:dyDescent="0.2">
      <c r="A77" s="1">
        <v>43999</v>
      </c>
      <c r="B77">
        <v>235</v>
      </c>
      <c r="C77">
        <v>237.58999600000001</v>
      </c>
      <c r="D77">
        <v>231.729996</v>
      </c>
      <c r="E77">
        <v>235.529999</v>
      </c>
      <c r="F77">
        <v>235.529999</v>
      </c>
      <c r="G77">
        <v>19578100</v>
      </c>
      <c r="I77">
        <f t="shared" si="5"/>
        <v>-5.0920858499995867E-4</v>
      </c>
      <c r="J77">
        <v>0</v>
      </c>
      <c r="K77">
        <f t="shared" si="3"/>
        <v>-5.0920858499995867E-4</v>
      </c>
      <c r="L77">
        <f t="shared" si="4"/>
        <v>-5.0920858499995864E-2</v>
      </c>
      <c r="M77">
        <v>-0.4</v>
      </c>
    </row>
    <row r="78" spans="1:13" x14ac:dyDescent="0.2">
      <c r="A78" s="1">
        <v>44000</v>
      </c>
      <c r="B78">
        <v>234.990005</v>
      </c>
      <c r="C78">
        <v>236.13999899999999</v>
      </c>
      <c r="D78">
        <v>232.14999399999999</v>
      </c>
      <c r="E78">
        <v>235.94000199999999</v>
      </c>
      <c r="F78">
        <v>235.94000199999999</v>
      </c>
      <c r="G78">
        <v>15782500</v>
      </c>
      <c r="I78">
        <f t="shared" si="5"/>
        <v>1.7407676378412798E-3</v>
      </c>
      <c r="J78">
        <v>0</v>
      </c>
      <c r="K78">
        <f t="shared" si="3"/>
        <v>1.7407676378412798E-3</v>
      </c>
      <c r="L78">
        <f t="shared" si="4"/>
        <v>0.17407676378412798</v>
      </c>
      <c r="M78">
        <v>0.19</v>
      </c>
    </row>
    <row r="79" spans="1:13" x14ac:dyDescent="0.2">
      <c r="A79" s="1">
        <v>44001</v>
      </c>
      <c r="B79">
        <v>237.78999300000001</v>
      </c>
      <c r="C79">
        <v>240.83000200000001</v>
      </c>
      <c r="D79">
        <v>235.550003</v>
      </c>
      <c r="E79">
        <v>238.78999300000001</v>
      </c>
      <c r="F79">
        <v>238.78999300000001</v>
      </c>
      <c r="G79">
        <v>30081300</v>
      </c>
      <c r="I79">
        <f t="shared" si="5"/>
        <v>1.2079303957961385E-2</v>
      </c>
      <c r="J79">
        <v>0</v>
      </c>
      <c r="K79">
        <f t="shared" si="3"/>
        <v>1.2079303957961385E-2</v>
      </c>
      <c r="L79">
        <f t="shared" si="4"/>
        <v>1.2079303957961385</v>
      </c>
      <c r="M79">
        <v>-0.45</v>
      </c>
    </row>
    <row r="80" spans="1:13" x14ac:dyDescent="0.2">
      <c r="A80" s="1">
        <v>44004</v>
      </c>
      <c r="B80">
        <v>238.55999800000001</v>
      </c>
      <c r="C80">
        <v>240.699997</v>
      </c>
      <c r="D80">
        <v>236.91000399999999</v>
      </c>
      <c r="E80">
        <v>239.220001</v>
      </c>
      <c r="F80">
        <v>239.220001</v>
      </c>
      <c r="G80">
        <v>18917800</v>
      </c>
      <c r="I80">
        <f t="shared" si="5"/>
        <v>1.8007789798795571E-3</v>
      </c>
      <c r="J80">
        <v>0</v>
      </c>
      <c r="K80">
        <f t="shared" si="3"/>
        <v>1.8007789798795571E-3</v>
      </c>
      <c r="L80">
        <f t="shared" si="4"/>
        <v>0.1800778979879557</v>
      </c>
      <c r="M80">
        <v>0.71</v>
      </c>
    </row>
    <row r="81" spans="1:13" x14ac:dyDescent="0.2">
      <c r="A81" s="1">
        <v>44005</v>
      </c>
      <c r="B81">
        <v>241.279999</v>
      </c>
      <c r="C81">
        <v>245.19000199999999</v>
      </c>
      <c r="D81">
        <v>239.86000100000001</v>
      </c>
      <c r="E81">
        <v>242.240005</v>
      </c>
      <c r="F81">
        <v>242.240005</v>
      </c>
      <c r="G81">
        <v>24017900</v>
      </c>
      <c r="I81">
        <f t="shared" si="5"/>
        <v>1.2624379179732552E-2</v>
      </c>
      <c r="J81">
        <v>0</v>
      </c>
      <c r="K81">
        <f t="shared" si="3"/>
        <v>1.2624379179732552E-2</v>
      </c>
      <c r="L81">
        <f t="shared" si="4"/>
        <v>1.2624379179732552</v>
      </c>
      <c r="M81">
        <v>0.42</v>
      </c>
    </row>
    <row r="82" spans="1:13" x14ac:dyDescent="0.2">
      <c r="A82" s="1">
        <v>44006</v>
      </c>
      <c r="B82">
        <v>241.199997</v>
      </c>
      <c r="C82">
        <v>243.220001</v>
      </c>
      <c r="D82">
        <v>232.679993</v>
      </c>
      <c r="E82">
        <v>234.020004</v>
      </c>
      <c r="F82">
        <v>234.020004</v>
      </c>
      <c r="G82">
        <v>20834900</v>
      </c>
      <c r="I82">
        <f t="shared" si="5"/>
        <v>-3.3933292727598798E-2</v>
      </c>
      <c r="J82">
        <v>0</v>
      </c>
      <c r="K82">
        <f t="shared" si="3"/>
        <v>-3.3933292727598798E-2</v>
      </c>
      <c r="L82">
        <f t="shared" si="4"/>
        <v>-3.3933292727598796</v>
      </c>
      <c r="M82">
        <v>-2.61</v>
      </c>
    </row>
    <row r="83" spans="1:13" x14ac:dyDescent="0.2">
      <c r="A83" s="1">
        <v>44007</v>
      </c>
      <c r="B83">
        <v>234.61999499999999</v>
      </c>
      <c r="C83">
        <v>237.300003</v>
      </c>
      <c r="D83">
        <v>232.740005</v>
      </c>
      <c r="E83">
        <v>235.679993</v>
      </c>
      <c r="F83">
        <v>235.679993</v>
      </c>
      <c r="G83">
        <v>18704300</v>
      </c>
      <c r="I83">
        <f t="shared" si="5"/>
        <v>7.0933636938148069E-3</v>
      </c>
      <c r="J83">
        <v>0</v>
      </c>
      <c r="K83">
        <f t="shared" si="3"/>
        <v>7.0933636938148069E-3</v>
      </c>
      <c r="L83">
        <f t="shared" si="4"/>
        <v>0.7093363693814807</v>
      </c>
      <c r="M83">
        <v>1.1200000000000001</v>
      </c>
    </row>
    <row r="84" spans="1:13" x14ac:dyDescent="0.2">
      <c r="A84" s="1">
        <v>44008</v>
      </c>
      <c r="B84">
        <v>232.63999899999999</v>
      </c>
      <c r="C84">
        <v>233.08999600000001</v>
      </c>
      <c r="D84">
        <v>215.39999399999999</v>
      </c>
      <c r="E84">
        <v>216.08000200000001</v>
      </c>
      <c r="F84">
        <v>216.08000200000001</v>
      </c>
      <c r="G84">
        <v>76343900</v>
      </c>
      <c r="I84">
        <f t="shared" si="5"/>
        <v>-8.3163575959542685E-2</v>
      </c>
      <c r="J84">
        <v>0</v>
      </c>
      <c r="K84">
        <f t="shared" si="3"/>
        <v>-8.3163575959542685E-2</v>
      </c>
      <c r="L84">
        <f t="shared" si="4"/>
        <v>-8.316357595954269</v>
      </c>
      <c r="M84">
        <v>-2.44</v>
      </c>
    </row>
    <row r="85" spans="1:13" x14ac:dyDescent="0.2">
      <c r="A85" s="1">
        <v>44011</v>
      </c>
      <c r="B85">
        <v>209.75</v>
      </c>
      <c r="C85">
        <v>220.75</v>
      </c>
      <c r="D85">
        <v>207.11000100000001</v>
      </c>
      <c r="E85">
        <v>220.63999899999999</v>
      </c>
      <c r="F85">
        <v>220.63999899999999</v>
      </c>
      <c r="G85">
        <v>58514300</v>
      </c>
      <c r="I85">
        <f t="shared" si="5"/>
        <v>2.1103280996822564E-2</v>
      </c>
      <c r="J85">
        <v>0</v>
      </c>
      <c r="K85">
        <f t="shared" si="3"/>
        <v>2.1103280996822564E-2</v>
      </c>
      <c r="L85">
        <f t="shared" si="4"/>
        <v>2.1103280996822562</v>
      </c>
      <c r="M85">
        <v>1.51</v>
      </c>
    </row>
    <row r="86" spans="1:13" x14ac:dyDescent="0.2">
      <c r="A86" s="1">
        <v>44012</v>
      </c>
      <c r="B86">
        <v>220.58999600000001</v>
      </c>
      <c r="C86">
        <v>227.5</v>
      </c>
      <c r="D86">
        <v>218.470001</v>
      </c>
      <c r="E86">
        <v>227.070007</v>
      </c>
      <c r="F86">
        <v>227.070007</v>
      </c>
      <c r="G86">
        <v>33927100</v>
      </c>
      <c r="I86">
        <f t="shared" si="5"/>
        <v>2.9142530951516255E-2</v>
      </c>
      <c r="J86">
        <v>0</v>
      </c>
      <c r="K86">
        <f t="shared" si="3"/>
        <v>2.9142530951516255E-2</v>
      </c>
      <c r="L86">
        <f t="shared" si="4"/>
        <v>2.9142530951516257</v>
      </c>
      <c r="M86">
        <v>1.58</v>
      </c>
    </row>
    <row r="87" spans="1:13" x14ac:dyDescent="0.2">
      <c r="A87" s="1">
        <v>44013</v>
      </c>
      <c r="B87">
        <v>228.5</v>
      </c>
      <c r="C87">
        <v>239</v>
      </c>
      <c r="D87">
        <v>227.55999800000001</v>
      </c>
      <c r="E87">
        <v>237.550003</v>
      </c>
      <c r="F87">
        <v>237.550003</v>
      </c>
      <c r="G87">
        <v>43399700</v>
      </c>
      <c r="I87">
        <f t="shared" si="5"/>
        <v>4.6153149587915415E-2</v>
      </c>
      <c r="J87">
        <v>0</v>
      </c>
      <c r="K87">
        <f t="shared" si="3"/>
        <v>4.6153149587915415E-2</v>
      </c>
      <c r="L87">
        <f t="shared" si="4"/>
        <v>4.6153149587915419</v>
      </c>
      <c r="M87">
        <v>0.41</v>
      </c>
    </row>
    <row r="88" spans="1:13" x14ac:dyDescent="0.2">
      <c r="A88" s="1">
        <v>44014</v>
      </c>
      <c r="B88">
        <v>239</v>
      </c>
      <c r="C88">
        <v>240</v>
      </c>
      <c r="D88">
        <v>232.61000100000001</v>
      </c>
      <c r="E88">
        <v>233.41999799999999</v>
      </c>
      <c r="F88">
        <v>233.41999799999999</v>
      </c>
      <c r="G88">
        <v>30633600</v>
      </c>
      <c r="I88">
        <f t="shared" si="5"/>
        <v>-1.7385834341580753E-2</v>
      </c>
      <c r="J88">
        <v>0</v>
      </c>
      <c r="K88">
        <f t="shared" si="3"/>
        <v>-1.7385834341580753E-2</v>
      </c>
      <c r="L88">
        <f t="shared" si="4"/>
        <v>-1.7385834341580753</v>
      </c>
      <c r="M88">
        <v>0.5</v>
      </c>
    </row>
    <row r="89" spans="1:13" x14ac:dyDescent="0.2">
      <c r="A89" s="1">
        <v>44018</v>
      </c>
      <c r="B89">
        <v>233.759995</v>
      </c>
      <c r="C89">
        <v>240.39999399999999</v>
      </c>
      <c r="D89">
        <v>232.270004</v>
      </c>
      <c r="E89">
        <v>240.279999</v>
      </c>
      <c r="F89">
        <v>240.279999</v>
      </c>
      <c r="G89">
        <v>26206200</v>
      </c>
      <c r="I89">
        <f t="shared" si="5"/>
        <v>2.9389088590430077E-2</v>
      </c>
      <c r="J89">
        <v>0</v>
      </c>
      <c r="K89">
        <f t="shared" si="3"/>
        <v>2.9389088590430077E-2</v>
      </c>
      <c r="L89">
        <f t="shared" si="4"/>
        <v>2.9389088590430079</v>
      </c>
      <c r="M89">
        <v>1.65</v>
      </c>
    </row>
    <row r="90" spans="1:13" x14ac:dyDescent="0.2">
      <c r="A90" s="1">
        <v>44019</v>
      </c>
      <c r="B90">
        <v>239.41000399999999</v>
      </c>
      <c r="C90">
        <v>247.64999399999999</v>
      </c>
      <c r="D90">
        <v>238.820007</v>
      </c>
      <c r="E90">
        <v>240.86000100000001</v>
      </c>
      <c r="F90">
        <v>240.86000100000001</v>
      </c>
      <c r="G90">
        <v>27887800</v>
      </c>
      <c r="I90">
        <f t="shared" si="5"/>
        <v>2.4138588414094652E-3</v>
      </c>
      <c r="J90">
        <v>0</v>
      </c>
      <c r="K90">
        <f t="shared" si="3"/>
        <v>2.4138588414094652E-3</v>
      </c>
      <c r="L90">
        <f t="shared" si="4"/>
        <v>0.24138588414094653</v>
      </c>
      <c r="M90">
        <v>-1.03</v>
      </c>
    </row>
    <row r="91" spans="1:13" x14ac:dyDescent="0.2">
      <c r="A91" s="1">
        <v>44020</v>
      </c>
      <c r="B91">
        <v>238.11000100000001</v>
      </c>
      <c r="C91">
        <v>246.990005</v>
      </c>
      <c r="D91">
        <v>236.58999600000001</v>
      </c>
      <c r="E91">
        <v>243.58000200000001</v>
      </c>
      <c r="F91">
        <v>243.58000200000001</v>
      </c>
      <c r="G91">
        <v>29791300</v>
      </c>
      <c r="I91">
        <f t="shared" si="5"/>
        <v>1.129287133067809E-2</v>
      </c>
      <c r="J91">
        <v>0</v>
      </c>
      <c r="K91">
        <f t="shared" si="3"/>
        <v>1.129287133067809E-2</v>
      </c>
      <c r="L91">
        <f t="shared" si="4"/>
        <v>1.1292871330678089</v>
      </c>
      <c r="M91">
        <v>0.91</v>
      </c>
    </row>
    <row r="92" spans="1:13" x14ac:dyDescent="0.2">
      <c r="A92" s="1">
        <v>44021</v>
      </c>
      <c r="B92">
        <v>245</v>
      </c>
      <c r="C92">
        <v>246.529999</v>
      </c>
      <c r="D92">
        <v>239.240005</v>
      </c>
      <c r="E92">
        <v>244.5</v>
      </c>
      <c r="F92">
        <v>244.5</v>
      </c>
      <c r="G92">
        <v>22174900</v>
      </c>
      <c r="I92">
        <f t="shared" si="5"/>
        <v>3.7769849431235022E-3</v>
      </c>
      <c r="J92">
        <v>0</v>
      </c>
      <c r="K92">
        <f t="shared" si="3"/>
        <v>3.7769849431235022E-3</v>
      </c>
      <c r="L92">
        <f t="shared" si="4"/>
        <v>0.3776984943123502</v>
      </c>
      <c r="M92">
        <v>-0.53</v>
      </c>
    </row>
    <row r="93" spans="1:13" x14ac:dyDescent="0.2">
      <c r="A93" s="1">
        <v>44022</v>
      </c>
      <c r="B93">
        <v>243.69000199999999</v>
      </c>
      <c r="C93">
        <v>245.490005</v>
      </c>
      <c r="D93">
        <v>239.320007</v>
      </c>
      <c r="E93">
        <v>245.070007</v>
      </c>
      <c r="F93">
        <v>245.070007</v>
      </c>
      <c r="G93">
        <v>22982700</v>
      </c>
      <c r="I93">
        <f t="shared" si="5"/>
        <v>2.3313169734151488E-3</v>
      </c>
      <c r="J93">
        <v>0</v>
      </c>
      <c r="K93">
        <f t="shared" si="3"/>
        <v>2.3313169734151488E-3</v>
      </c>
      <c r="L93">
        <f t="shared" si="4"/>
        <v>0.23313169734151487</v>
      </c>
      <c r="M93">
        <v>1.1100000000000001</v>
      </c>
    </row>
    <row r="94" spans="1:13" x14ac:dyDescent="0.2">
      <c r="A94" s="1">
        <v>44025</v>
      </c>
      <c r="B94">
        <v>247.009995</v>
      </c>
      <c r="C94">
        <v>250.14999399999999</v>
      </c>
      <c r="D94">
        <v>238.41999799999999</v>
      </c>
      <c r="E94">
        <v>239</v>
      </c>
      <c r="F94">
        <v>239</v>
      </c>
      <c r="G94">
        <v>24674900</v>
      </c>
      <c r="I94">
        <f t="shared" si="5"/>
        <v>-2.4768461364592868E-2</v>
      </c>
      <c r="J94">
        <v>0</v>
      </c>
      <c r="K94">
        <f t="shared" si="3"/>
        <v>-2.4768461364592868E-2</v>
      </c>
      <c r="L94">
        <f t="shared" si="4"/>
        <v>-2.4768461364592866</v>
      </c>
      <c r="M94">
        <v>-1.2</v>
      </c>
    </row>
    <row r="95" spans="1:13" x14ac:dyDescent="0.2">
      <c r="A95" s="1">
        <v>44026</v>
      </c>
      <c r="B95">
        <v>236.759995</v>
      </c>
      <c r="C95">
        <v>240.33000200000001</v>
      </c>
      <c r="D95">
        <v>232.029999</v>
      </c>
      <c r="E95">
        <v>239.729996</v>
      </c>
      <c r="F95">
        <v>239.729996</v>
      </c>
      <c r="G95">
        <v>23378100</v>
      </c>
      <c r="I95">
        <f t="shared" si="5"/>
        <v>3.0543765690376565E-3</v>
      </c>
      <c r="J95">
        <v>0</v>
      </c>
      <c r="K95">
        <f t="shared" si="3"/>
        <v>3.0543765690376565E-3</v>
      </c>
      <c r="L95">
        <f t="shared" si="4"/>
        <v>0.30543765690376568</v>
      </c>
      <c r="M95">
        <v>1.35</v>
      </c>
    </row>
    <row r="96" spans="1:13" x14ac:dyDescent="0.2">
      <c r="A96" s="1">
        <v>44027</v>
      </c>
      <c r="B96">
        <v>241.550003</v>
      </c>
      <c r="C96">
        <v>244.820007</v>
      </c>
      <c r="D96">
        <v>238.050003</v>
      </c>
      <c r="E96">
        <v>240.279999</v>
      </c>
      <c r="F96">
        <v>240.279999</v>
      </c>
      <c r="G96">
        <v>19133600</v>
      </c>
      <c r="I96">
        <f t="shared" si="5"/>
        <v>2.2942602476829967E-3</v>
      </c>
      <c r="J96">
        <v>0</v>
      </c>
      <c r="K96">
        <f t="shared" si="3"/>
        <v>2.2942602476829967E-3</v>
      </c>
      <c r="L96">
        <f t="shared" si="4"/>
        <v>0.22942602476829968</v>
      </c>
      <c r="M96">
        <v>1.1399999999999999</v>
      </c>
    </row>
    <row r="97" spans="1:13" x14ac:dyDescent="0.2">
      <c r="A97" s="1">
        <v>44028</v>
      </c>
      <c r="B97">
        <v>238</v>
      </c>
      <c r="C97">
        <v>241.759995</v>
      </c>
      <c r="D97">
        <v>236.33000200000001</v>
      </c>
      <c r="E97">
        <v>240.929993</v>
      </c>
      <c r="F97">
        <v>240.929993</v>
      </c>
      <c r="G97">
        <v>18880700</v>
      </c>
      <c r="I97">
        <f t="shared" si="5"/>
        <v>2.7051523335489625E-3</v>
      </c>
      <c r="J97">
        <v>0</v>
      </c>
      <c r="K97">
        <f t="shared" si="3"/>
        <v>2.7051523335489625E-3</v>
      </c>
      <c r="L97">
        <f t="shared" si="4"/>
        <v>0.27051523335489625</v>
      </c>
      <c r="M97">
        <v>-0.37</v>
      </c>
    </row>
    <row r="98" spans="1:13" x14ac:dyDescent="0.2">
      <c r="A98" s="1">
        <v>44029</v>
      </c>
      <c r="B98">
        <v>241</v>
      </c>
      <c r="C98">
        <v>244.16000399999999</v>
      </c>
      <c r="D98">
        <v>237.86000100000001</v>
      </c>
      <c r="E98">
        <v>242.029999</v>
      </c>
      <c r="F98">
        <v>242.029999</v>
      </c>
      <c r="G98">
        <v>18152400</v>
      </c>
      <c r="I98">
        <f t="shared" si="5"/>
        <v>4.5656665087771267E-3</v>
      </c>
      <c r="J98">
        <v>0</v>
      </c>
      <c r="K98">
        <f t="shared" si="3"/>
        <v>4.5656665087771267E-3</v>
      </c>
      <c r="L98">
        <f t="shared" si="4"/>
        <v>0.45656665087771264</v>
      </c>
      <c r="M98">
        <v>0.3</v>
      </c>
    </row>
    <row r="99" spans="1:13" x14ac:dyDescent="0.2">
      <c r="A99" s="1">
        <v>44032</v>
      </c>
      <c r="B99">
        <v>240.05999800000001</v>
      </c>
      <c r="C99">
        <v>246.050003</v>
      </c>
      <c r="D99">
        <v>235.63999899999999</v>
      </c>
      <c r="E99">
        <v>245.41999799999999</v>
      </c>
      <c r="F99">
        <v>245.41999799999999</v>
      </c>
      <c r="G99">
        <v>20872200</v>
      </c>
      <c r="I99">
        <f t="shared" si="5"/>
        <v>1.4006524042500983E-2</v>
      </c>
      <c r="J99">
        <v>0</v>
      </c>
      <c r="K99">
        <f t="shared" si="3"/>
        <v>1.4006524042500983E-2</v>
      </c>
      <c r="L99">
        <f t="shared" si="4"/>
        <v>1.4006524042500983</v>
      </c>
      <c r="M99">
        <v>1.01</v>
      </c>
    </row>
    <row r="100" spans="1:13" x14ac:dyDescent="0.2">
      <c r="A100" s="1">
        <v>44033</v>
      </c>
      <c r="B100">
        <v>246.220001</v>
      </c>
      <c r="C100">
        <v>246.91000399999999</v>
      </c>
      <c r="D100">
        <v>240.08000200000001</v>
      </c>
      <c r="E100">
        <v>241.75</v>
      </c>
      <c r="F100">
        <v>241.75</v>
      </c>
      <c r="G100">
        <v>19364200</v>
      </c>
      <c r="I100">
        <f t="shared" si="5"/>
        <v>-1.4953948455333264E-2</v>
      </c>
      <c r="J100">
        <v>0</v>
      </c>
      <c r="K100">
        <f t="shared" si="3"/>
        <v>-1.4953948455333264E-2</v>
      </c>
      <c r="L100">
        <f t="shared" si="4"/>
        <v>-1.4953948455333264</v>
      </c>
      <c r="M100">
        <v>0.16</v>
      </c>
    </row>
    <row r="101" spans="1:13" x14ac:dyDescent="0.2">
      <c r="A101" s="1">
        <v>44034</v>
      </c>
      <c r="B101">
        <v>240.259995</v>
      </c>
      <c r="C101">
        <v>241.89999399999999</v>
      </c>
      <c r="D101">
        <v>238.11999499999999</v>
      </c>
      <c r="E101">
        <v>239.86999499999999</v>
      </c>
      <c r="F101">
        <v>239.86999499999999</v>
      </c>
      <c r="G101">
        <v>15427900</v>
      </c>
      <c r="I101">
        <f t="shared" si="5"/>
        <v>-7.7766494312306563E-3</v>
      </c>
      <c r="J101">
        <v>0</v>
      </c>
      <c r="K101">
        <f t="shared" si="3"/>
        <v>-7.7766494312306563E-3</v>
      </c>
      <c r="L101">
        <f t="shared" si="4"/>
        <v>-0.77766494312306567</v>
      </c>
      <c r="M101">
        <v>0.49</v>
      </c>
    </row>
    <row r="102" spans="1:13" x14ac:dyDescent="0.2">
      <c r="A102" s="1">
        <v>44035</v>
      </c>
      <c r="B102">
        <v>239.63000500000001</v>
      </c>
      <c r="C102">
        <v>242.41999799999999</v>
      </c>
      <c r="D102">
        <v>231.75</v>
      </c>
      <c r="E102">
        <v>232.60000600000001</v>
      </c>
      <c r="F102">
        <v>232.60000600000001</v>
      </c>
      <c r="G102">
        <v>21771800</v>
      </c>
      <c r="I102">
        <f t="shared" si="5"/>
        <v>-3.0308038318840092E-2</v>
      </c>
      <c r="J102">
        <v>0</v>
      </c>
      <c r="K102">
        <f t="shared" si="3"/>
        <v>-3.0308038318840092E-2</v>
      </c>
      <c r="L102">
        <f t="shared" si="4"/>
        <v>-3.0308038318840094</v>
      </c>
      <c r="M102">
        <v>-1.2</v>
      </c>
    </row>
    <row r="103" spans="1:13" x14ac:dyDescent="0.2">
      <c r="A103" s="1">
        <v>44036</v>
      </c>
      <c r="B103">
        <v>230.19000199999999</v>
      </c>
      <c r="C103">
        <v>233.490005</v>
      </c>
      <c r="D103">
        <v>226.89999399999999</v>
      </c>
      <c r="E103">
        <v>230.71000699999999</v>
      </c>
      <c r="F103">
        <v>230.71000699999999</v>
      </c>
      <c r="G103">
        <v>18325800</v>
      </c>
      <c r="I103">
        <f t="shared" si="5"/>
        <v>-8.1255328944403269E-3</v>
      </c>
      <c r="J103">
        <v>0</v>
      </c>
      <c r="K103">
        <f t="shared" si="3"/>
        <v>-8.1255328944403269E-3</v>
      </c>
      <c r="L103">
        <f t="shared" si="4"/>
        <v>-0.81255328944403271</v>
      </c>
      <c r="M103">
        <v>-0.75</v>
      </c>
    </row>
    <row r="104" spans="1:13" x14ac:dyDescent="0.2">
      <c r="A104" s="1">
        <v>44039</v>
      </c>
      <c r="B104">
        <v>231.46000699999999</v>
      </c>
      <c r="C104">
        <v>234.949997</v>
      </c>
      <c r="D104">
        <v>230.83000200000001</v>
      </c>
      <c r="E104">
        <v>233.5</v>
      </c>
      <c r="F104">
        <v>233.5</v>
      </c>
      <c r="G104">
        <v>13163100</v>
      </c>
      <c r="I104">
        <f t="shared" si="5"/>
        <v>1.209307318862857E-2</v>
      </c>
      <c r="J104">
        <v>0</v>
      </c>
      <c r="K104">
        <f t="shared" si="3"/>
        <v>1.209307318862857E-2</v>
      </c>
      <c r="L104">
        <f t="shared" si="4"/>
        <v>1.2093073188628571</v>
      </c>
      <c r="M104">
        <v>0.88</v>
      </c>
    </row>
    <row r="105" spans="1:13" x14ac:dyDescent="0.2">
      <c r="A105" s="1">
        <v>44040</v>
      </c>
      <c r="B105">
        <v>234.63000500000001</v>
      </c>
      <c r="C105">
        <v>234.96000699999999</v>
      </c>
      <c r="D105">
        <v>229.83000200000001</v>
      </c>
      <c r="E105">
        <v>230.11999499999999</v>
      </c>
      <c r="F105">
        <v>230.11999499999999</v>
      </c>
      <c r="G105">
        <v>14170100</v>
      </c>
      <c r="I105">
        <f t="shared" si="5"/>
        <v>-1.4475396145610327E-2</v>
      </c>
      <c r="J105">
        <v>0</v>
      </c>
      <c r="K105">
        <f t="shared" si="3"/>
        <v>-1.4475396145610327E-2</v>
      </c>
      <c r="L105">
        <f t="shared" si="4"/>
        <v>-1.4475396145610326</v>
      </c>
      <c r="M105">
        <v>-0.81</v>
      </c>
    </row>
    <row r="106" spans="1:13" x14ac:dyDescent="0.2">
      <c r="A106" s="1">
        <v>44041</v>
      </c>
      <c r="B106">
        <v>231.13999899999999</v>
      </c>
      <c r="C106">
        <v>233.699997</v>
      </c>
      <c r="D106">
        <v>230.30999800000001</v>
      </c>
      <c r="E106">
        <v>233.28999300000001</v>
      </c>
      <c r="F106">
        <v>233.28999300000001</v>
      </c>
      <c r="G106">
        <v>13588300</v>
      </c>
      <c r="I106">
        <f t="shared" si="5"/>
        <v>1.3775413127399126E-2</v>
      </c>
      <c r="J106">
        <v>0</v>
      </c>
      <c r="K106">
        <f t="shared" si="3"/>
        <v>1.3775413127399126E-2</v>
      </c>
      <c r="L106">
        <f t="shared" si="4"/>
        <v>1.3775413127399125</v>
      </c>
      <c r="M106">
        <v>1.35</v>
      </c>
    </row>
    <row r="107" spans="1:13" x14ac:dyDescent="0.2">
      <c r="A107" s="1">
        <v>44042</v>
      </c>
      <c r="B107">
        <v>230.220001</v>
      </c>
      <c r="C107">
        <v>234.88999899999999</v>
      </c>
      <c r="D107">
        <v>229</v>
      </c>
      <c r="E107">
        <v>234.5</v>
      </c>
      <c r="F107">
        <v>234.5</v>
      </c>
      <c r="G107">
        <v>20615300</v>
      </c>
      <c r="I107">
        <f t="shared" si="5"/>
        <v>5.1867076870287798E-3</v>
      </c>
      <c r="J107">
        <v>0</v>
      </c>
      <c r="K107">
        <f t="shared" si="3"/>
        <v>5.1867076870287798E-3</v>
      </c>
      <c r="L107">
        <f t="shared" si="4"/>
        <v>0.51867076870287798</v>
      </c>
      <c r="M107">
        <v>-0.28999999999999998</v>
      </c>
    </row>
    <row r="108" spans="1:13" x14ac:dyDescent="0.2">
      <c r="A108" s="1">
        <v>44043</v>
      </c>
      <c r="B108">
        <v>255.820007</v>
      </c>
      <c r="C108">
        <v>255.85000600000001</v>
      </c>
      <c r="D108">
        <v>249</v>
      </c>
      <c r="E108">
        <v>253.66999799999999</v>
      </c>
      <c r="F108">
        <v>253.66999799999999</v>
      </c>
      <c r="G108">
        <v>53005100</v>
      </c>
      <c r="I108">
        <f t="shared" si="5"/>
        <v>8.1748392324093783E-2</v>
      </c>
      <c r="J108">
        <v>0</v>
      </c>
      <c r="K108">
        <f t="shared" si="3"/>
        <v>8.1748392324093783E-2</v>
      </c>
      <c r="L108">
        <f t="shared" si="4"/>
        <v>8.1748392324093775</v>
      </c>
      <c r="M108">
        <v>0.61</v>
      </c>
    </row>
    <row r="109" spans="1:13" x14ac:dyDescent="0.2">
      <c r="A109" s="1">
        <v>44046</v>
      </c>
      <c r="B109">
        <v>252.64999399999999</v>
      </c>
      <c r="C109">
        <v>255.39999399999999</v>
      </c>
      <c r="D109">
        <v>250.33000200000001</v>
      </c>
      <c r="E109">
        <v>251.96000699999999</v>
      </c>
      <c r="F109">
        <v>251.96000699999999</v>
      </c>
      <c r="G109">
        <v>23124900</v>
      </c>
      <c r="I109">
        <f t="shared" si="5"/>
        <v>-6.7410060846060408E-3</v>
      </c>
      <c r="J109">
        <v>0</v>
      </c>
      <c r="K109">
        <f t="shared" si="3"/>
        <v>-6.7410060846060408E-3</v>
      </c>
      <c r="L109">
        <f t="shared" si="4"/>
        <v>-0.67410060846060404</v>
      </c>
      <c r="M109">
        <v>0.98</v>
      </c>
    </row>
    <row r="110" spans="1:13" x14ac:dyDescent="0.2">
      <c r="A110" s="1">
        <v>44047</v>
      </c>
      <c r="B110">
        <v>251.55999800000001</v>
      </c>
      <c r="C110">
        <v>252.800003</v>
      </c>
      <c r="D110">
        <v>247.429993</v>
      </c>
      <c r="E110">
        <v>249.83000200000001</v>
      </c>
      <c r="F110">
        <v>249.83000200000001</v>
      </c>
      <c r="G110">
        <v>17183500</v>
      </c>
      <c r="I110">
        <f t="shared" si="5"/>
        <v>-8.4537424227011659E-3</v>
      </c>
      <c r="J110">
        <v>0</v>
      </c>
      <c r="K110">
        <f t="shared" si="3"/>
        <v>-8.4537424227011659E-3</v>
      </c>
      <c r="L110">
        <f t="shared" si="4"/>
        <v>-0.84537424227011659</v>
      </c>
      <c r="M110">
        <v>0.37</v>
      </c>
    </row>
    <row r="111" spans="1:13" x14ac:dyDescent="0.2">
      <c r="A111" s="1">
        <v>44048</v>
      </c>
      <c r="B111">
        <v>250.19000199999999</v>
      </c>
      <c r="C111">
        <v>252.270004</v>
      </c>
      <c r="D111">
        <v>247.770004</v>
      </c>
      <c r="E111">
        <v>249.11999499999999</v>
      </c>
      <c r="F111">
        <v>249.11999499999999</v>
      </c>
      <c r="G111">
        <v>13050100</v>
      </c>
      <c r="I111">
        <f t="shared" si="5"/>
        <v>-2.8419605104114706E-3</v>
      </c>
      <c r="J111">
        <v>0</v>
      </c>
      <c r="K111">
        <f t="shared" si="3"/>
        <v>-2.8419605104114706E-3</v>
      </c>
      <c r="L111">
        <f t="shared" si="4"/>
        <v>-0.28419605104114704</v>
      </c>
      <c r="M111">
        <v>0.78</v>
      </c>
    </row>
    <row r="112" spans="1:13" x14ac:dyDescent="0.2">
      <c r="A112" s="1">
        <v>44049</v>
      </c>
      <c r="B112">
        <v>249.03999300000001</v>
      </c>
      <c r="C112">
        <v>266.60000600000001</v>
      </c>
      <c r="D112">
        <v>248.66999799999999</v>
      </c>
      <c r="E112">
        <v>265.27999899999998</v>
      </c>
      <c r="F112">
        <v>265.27999899999998</v>
      </c>
      <c r="G112">
        <v>45241600</v>
      </c>
      <c r="I112">
        <f t="shared" si="5"/>
        <v>6.4868353903105955E-2</v>
      </c>
      <c r="J112">
        <v>0</v>
      </c>
      <c r="K112">
        <f t="shared" si="3"/>
        <v>6.4868353903105955E-2</v>
      </c>
      <c r="L112">
        <f t="shared" si="4"/>
        <v>6.4868353903105955</v>
      </c>
      <c r="M112">
        <v>0.53</v>
      </c>
    </row>
    <row r="113" spans="1:13" x14ac:dyDescent="0.2">
      <c r="A113" s="1">
        <v>44050</v>
      </c>
      <c r="B113">
        <v>264.07998700000002</v>
      </c>
      <c r="C113">
        <v>278.89001500000001</v>
      </c>
      <c r="D113">
        <v>263.42999300000002</v>
      </c>
      <c r="E113">
        <v>268.44000199999999</v>
      </c>
      <c r="F113">
        <v>268.44000199999999</v>
      </c>
      <c r="G113">
        <v>72766400</v>
      </c>
      <c r="I113">
        <f t="shared" si="5"/>
        <v>1.1911953452623534E-2</v>
      </c>
      <c r="J113">
        <v>0</v>
      </c>
      <c r="K113">
        <f t="shared" si="3"/>
        <v>1.1911953452623534E-2</v>
      </c>
      <c r="L113">
        <f t="shared" si="4"/>
        <v>1.1911953452623534</v>
      </c>
      <c r="M113">
        <v>0.02</v>
      </c>
    </row>
    <row r="114" spans="1:13" x14ac:dyDescent="0.2">
      <c r="A114" s="1">
        <v>44053</v>
      </c>
      <c r="B114">
        <v>268.040009</v>
      </c>
      <c r="C114">
        <v>273.85998499999999</v>
      </c>
      <c r="D114">
        <v>259.69000199999999</v>
      </c>
      <c r="E114">
        <v>263</v>
      </c>
      <c r="F114">
        <v>263</v>
      </c>
      <c r="G114">
        <v>30248800</v>
      </c>
      <c r="I114">
        <f t="shared" si="5"/>
        <v>-2.0265243478876122E-2</v>
      </c>
      <c r="J114">
        <v>0</v>
      </c>
      <c r="K114">
        <f t="shared" si="3"/>
        <v>-2.0265243478876122E-2</v>
      </c>
      <c r="L114">
        <f t="shared" si="4"/>
        <v>-2.0265243478876123</v>
      </c>
      <c r="M114">
        <v>0.24</v>
      </c>
    </row>
    <row r="115" spans="1:13" x14ac:dyDescent="0.2">
      <c r="A115" s="1">
        <v>44054</v>
      </c>
      <c r="B115">
        <v>260.19000199999999</v>
      </c>
      <c r="C115">
        <v>265.92001299999998</v>
      </c>
      <c r="D115">
        <v>255.13000500000001</v>
      </c>
      <c r="E115">
        <v>256.13000499999998</v>
      </c>
      <c r="F115">
        <v>256.13000499999998</v>
      </c>
      <c r="G115">
        <v>28238300</v>
      </c>
      <c r="I115">
        <f t="shared" si="5"/>
        <v>-2.6121653992395504E-2</v>
      </c>
      <c r="J115">
        <v>0</v>
      </c>
      <c r="K115">
        <f t="shared" si="3"/>
        <v>-2.6121653992395504E-2</v>
      </c>
      <c r="L115">
        <f t="shared" si="4"/>
        <v>-2.6121653992395504</v>
      </c>
      <c r="M115">
        <v>-0.83</v>
      </c>
    </row>
    <row r="116" spans="1:13" x14ac:dyDescent="0.2">
      <c r="A116" s="1">
        <v>44055</v>
      </c>
      <c r="B116">
        <v>258.97000100000002</v>
      </c>
      <c r="C116">
        <v>263.89999399999999</v>
      </c>
      <c r="D116">
        <v>258.10998499999999</v>
      </c>
      <c r="E116">
        <v>259.89001500000001</v>
      </c>
      <c r="F116">
        <v>259.89001500000001</v>
      </c>
      <c r="G116">
        <v>21415700</v>
      </c>
      <c r="I116">
        <f t="shared" si="5"/>
        <v>1.468008404560029E-2</v>
      </c>
      <c r="J116">
        <v>0</v>
      </c>
      <c r="K116">
        <f t="shared" si="3"/>
        <v>1.468008404560029E-2</v>
      </c>
      <c r="L116">
        <f t="shared" si="4"/>
        <v>1.468008404560029</v>
      </c>
      <c r="M116">
        <v>1.4</v>
      </c>
    </row>
    <row r="117" spans="1:13" x14ac:dyDescent="0.2">
      <c r="A117" s="1">
        <v>44056</v>
      </c>
      <c r="B117">
        <v>261.54998799999998</v>
      </c>
      <c r="C117">
        <v>265.16000400000001</v>
      </c>
      <c r="D117">
        <v>259.57000699999998</v>
      </c>
      <c r="E117">
        <v>261.29998799999998</v>
      </c>
      <c r="F117">
        <v>261.29998799999998</v>
      </c>
      <c r="G117">
        <v>17374000</v>
      </c>
      <c r="I117">
        <f t="shared" si="5"/>
        <v>5.4252680696485374E-3</v>
      </c>
      <c r="J117">
        <v>0</v>
      </c>
      <c r="K117">
        <f t="shared" si="3"/>
        <v>5.4252680696485374E-3</v>
      </c>
      <c r="L117">
        <f t="shared" si="4"/>
        <v>0.54252680696485378</v>
      </c>
      <c r="M117">
        <v>-0.01</v>
      </c>
    </row>
    <row r="118" spans="1:13" x14ac:dyDescent="0.2">
      <c r="A118" s="1">
        <v>44057</v>
      </c>
      <c r="B118">
        <v>262.30999800000001</v>
      </c>
      <c r="C118">
        <v>262.64999399999999</v>
      </c>
      <c r="D118">
        <v>258.67999300000002</v>
      </c>
      <c r="E118">
        <v>261.23998999999998</v>
      </c>
      <c r="F118">
        <v>261.23998999999998</v>
      </c>
      <c r="G118">
        <v>14792700</v>
      </c>
      <c r="I118">
        <f t="shared" si="5"/>
        <v>-2.2961348165085766E-4</v>
      </c>
      <c r="J118">
        <v>0</v>
      </c>
      <c r="K118">
        <f t="shared" si="3"/>
        <v>-2.2961348165085766E-4</v>
      </c>
      <c r="L118">
        <f t="shared" si="4"/>
        <v>-2.2961348165085767E-2</v>
      </c>
      <c r="M118">
        <v>-0.04</v>
      </c>
    </row>
    <row r="119" spans="1:13" x14ac:dyDescent="0.2">
      <c r="A119" s="1">
        <v>44060</v>
      </c>
      <c r="B119">
        <v>262.5</v>
      </c>
      <c r="C119">
        <v>264.10000600000001</v>
      </c>
      <c r="D119">
        <v>259.39999399999999</v>
      </c>
      <c r="E119">
        <v>261.16000400000001</v>
      </c>
      <c r="F119">
        <v>261.16000400000001</v>
      </c>
      <c r="G119">
        <v>13351100</v>
      </c>
      <c r="I119">
        <f t="shared" si="5"/>
        <v>-3.0617823863782336E-4</v>
      </c>
      <c r="J119">
        <v>0</v>
      </c>
      <c r="K119">
        <f t="shared" si="3"/>
        <v>-3.0617823863782336E-4</v>
      </c>
      <c r="L119">
        <f t="shared" si="4"/>
        <v>-3.0617823863782336E-2</v>
      </c>
      <c r="M119">
        <v>0.45</v>
      </c>
    </row>
    <row r="120" spans="1:13" x14ac:dyDescent="0.2">
      <c r="A120" s="1">
        <v>44061</v>
      </c>
      <c r="B120">
        <v>260.95001200000002</v>
      </c>
      <c r="C120">
        <v>265.14999399999999</v>
      </c>
      <c r="D120">
        <v>259.26001000000002</v>
      </c>
      <c r="E120">
        <v>262.33999599999999</v>
      </c>
      <c r="F120">
        <v>262.33999599999999</v>
      </c>
      <c r="G120">
        <v>18690400</v>
      </c>
      <c r="I120">
        <f t="shared" si="5"/>
        <v>4.5182722542766165E-3</v>
      </c>
      <c r="J120">
        <v>0</v>
      </c>
      <c r="K120">
        <f t="shared" si="3"/>
        <v>4.5182722542766165E-3</v>
      </c>
      <c r="L120">
        <f t="shared" si="4"/>
        <v>0.45182722542766163</v>
      </c>
      <c r="M120">
        <v>0.22</v>
      </c>
    </row>
    <row r="121" spans="1:13" x14ac:dyDescent="0.2">
      <c r="A121" s="1">
        <v>44062</v>
      </c>
      <c r="B121">
        <v>261.39001500000001</v>
      </c>
      <c r="C121">
        <v>267.91000400000001</v>
      </c>
      <c r="D121">
        <v>261.35000600000001</v>
      </c>
      <c r="E121">
        <v>262.58999599999999</v>
      </c>
      <c r="F121">
        <v>262.58999599999999</v>
      </c>
      <c r="G121">
        <v>23291500</v>
      </c>
      <c r="I121">
        <f t="shared" si="5"/>
        <v>9.5296181982102346E-4</v>
      </c>
      <c r="J121">
        <v>0</v>
      </c>
      <c r="K121">
        <f t="shared" si="3"/>
        <v>9.5296181982102346E-4</v>
      </c>
      <c r="L121">
        <f t="shared" si="4"/>
        <v>9.5296181982102351E-2</v>
      </c>
      <c r="M121">
        <v>-0.38</v>
      </c>
    </row>
    <row r="122" spans="1:13" x14ac:dyDescent="0.2">
      <c r="A122" s="1">
        <v>44063</v>
      </c>
      <c r="B122">
        <v>261.5</v>
      </c>
      <c r="C122">
        <v>269.63000499999998</v>
      </c>
      <c r="D122">
        <v>261.459991</v>
      </c>
      <c r="E122">
        <v>269.01001000000002</v>
      </c>
      <c r="F122">
        <v>269.01001000000002</v>
      </c>
      <c r="G122">
        <v>20299700</v>
      </c>
      <c r="I122">
        <f t="shared" si="5"/>
        <v>2.4448814112476843E-2</v>
      </c>
      <c r="J122">
        <v>0</v>
      </c>
      <c r="K122">
        <f t="shared" si="3"/>
        <v>2.4448814112476843E-2</v>
      </c>
      <c r="L122">
        <f t="shared" si="4"/>
        <v>2.4448814112476844</v>
      </c>
      <c r="M122">
        <v>0.31</v>
      </c>
    </row>
    <row r="123" spans="1:13" x14ac:dyDescent="0.2">
      <c r="A123" s="1">
        <v>44064</v>
      </c>
      <c r="B123">
        <v>268.69000199999999</v>
      </c>
      <c r="C123">
        <v>270.48998999999998</v>
      </c>
      <c r="D123">
        <v>266.42001299999998</v>
      </c>
      <c r="E123">
        <v>267.01001000000002</v>
      </c>
      <c r="F123">
        <v>267.01001000000002</v>
      </c>
      <c r="G123">
        <v>15538600</v>
      </c>
      <c r="I123">
        <f t="shared" si="5"/>
        <v>-7.434667579842103E-3</v>
      </c>
      <c r="J123">
        <v>0</v>
      </c>
      <c r="K123">
        <f t="shared" si="3"/>
        <v>-7.434667579842103E-3</v>
      </c>
      <c r="L123">
        <f t="shared" si="4"/>
        <v>-0.74346675798421025</v>
      </c>
      <c r="M123">
        <v>0.25</v>
      </c>
    </row>
    <row r="124" spans="1:13" x14ac:dyDescent="0.2">
      <c r="A124" s="1">
        <v>44067</v>
      </c>
      <c r="B124">
        <v>271.07000699999998</v>
      </c>
      <c r="C124">
        <v>277.25</v>
      </c>
      <c r="D124">
        <v>268.76998900000001</v>
      </c>
      <c r="E124">
        <v>271.39001500000001</v>
      </c>
      <c r="F124">
        <v>271.39001500000001</v>
      </c>
      <c r="G124">
        <v>23685600</v>
      </c>
      <c r="I124">
        <f t="shared" si="5"/>
        <v>1.6403898116029367E-2</v>
      </c>
      <c r="J124">
        <v>0</v>
      </c>
      <c r="K124">
        <f t="shared" si="3"/>
        <v>1.6403898116029367E-2</v>
      </c>
      <c r="L124">
        <f t="shared" si="4"/>
        <v>1.6403898116029367</v>
      </c>
      <c r="M124">
        <v>0.92</v>
      </c>
    </row>
    <row r="125" spans="1:13" x14ac:dyDescent="0.2">
      <c r="A125" s="1">
        <v>44068</v>
      </c>
      <c r="B125">
        <v>272.41000400000001</v>
      </c>
      <c r="C125">
        <v>283.08999599999999</v>
      </c>
      <c r="D125">
        <v>270.26001000000002</v>
      </c>
      <c r="E125">
        <v>280.82000699999998</v>
      </c>
      <c r="F125">
        <v>280.82000699999998</v>
      </c>
      <c r="G125">
        <v>42127200</v>
      </c>
      <c r="I125">
        <f t="shared" si="5"/>
        <v>3.4747011602471706E-2</v>
      </c>
      <c r="J125">
        <v>0</v>
      </c>
      <c r="K125">
        <f t="shared" si="3"/>
        <v>3.4747011602471706E-2</v>
      </c>
      <c r="L125">
        <f t="shared" si="4"/>
        <v>3.4747011602471707</v>
      </c>
      <c r="M125">
        <v>0.36</v>
      </c>
    </row>
    <row r="126" spans="1:13" x14ac:dyDescent="0.2">
      <c r="A126" s="1">
        <v>44069</v>
      </c>
      <c r="B126">
        <v>284</v>
      </c>
      <c r="C126">
        <v>304.67001299999998</v>
      </c>
      <c r="D126">
        <v>284</v>
      </c>
      <c r="E126">
        <v>303.91000400000001</v>
      </c>
      <c r="F126">
        <v>303.91000400000001</v>
      </c>
      <c r="G126">
        <v>69015200</v>
      </c>
      <c r="I126">
        <f t="shared" si="5"/>
        <v>8.222347562294606E-2</v>
      </c>
      <c r="J126">
        <v>0</v>
      </c>
      <c r="K126">
        <f t="shared" si="3"/>
        <v>8.222347562294606E-2</v>
      </c>
      <c r="L126">
        <f t="shared" si="4"/>
        <v>8.2223475622946065</v>
      </c>
      <c r="M126">
        <v>1</v>
      </c>
    </row>
    <row r="127" spans="1:13" x14ac:dyDescent="0.2">
      <c r="A127" s="1">
        <v>44070</v>
      </c>
      <c r="B127">
        <v>300.16000400000001</v>
      </c>
      <c r="C127">
        <v>301.23001099999999</v>
      </c>
      <c r="D127">
        <v>292.01998900000001</v>
      </c>
      <c r="E127">
        <v>293.22000100000002</v>
      </c>
      <c r="F127">
        <v>293.22000100000002</v>
      </c>
      <c r="G127">
        <v>30301300</v>
      </c>
      <c r="I127">
        <f t="shared" si="5"/>
        <v>-3.517489671054063E-2</v>
      </c>
      <c r="J127">
        <v>0</v>
      </c>
      <c r="K127">
        <f t="shared" si="3"/>
        <v>-3.517489671054063E-2</v>
      </c>
      <c r="L127">
        <f t="shared" si="4"/>
        <v>-3.5174896710540628</v>
      </c>
      <c r="M127">
        <v>0.18</v>
      </c>
    </row>
    <row r="128" spans="1:13" x14ac:dyDescent="0.2">
      <c r="A128" s="1">
        <v>44071</v>
      </c>
      <c r="B128">
        <v>295</v>
      </c>
      <c r="C128">
        <v>297.23001099999999</v>
      </c>
      <c r="D128">
        <v>290.98001099999999</v>
      </c>
      <c r="E128">
        <v>293.66000400000001</v>
      </c>
      <c r="F128">
        <v>293.66000400000001</v>
      </c>
      <c r="G128">
        <v>17157400</v>
      </c>
      <c r="I128">
        <f t="shared" si="5"/>
        <v>1.5005899955644231E-3</v>
      </c>
      <c r="J128">
        <v>0</v>
      </c>
      <c r="K128">
        <f t="shared" si="3"/>
        <v>1.5005899955644231E-3</v>
      </c>
      <c r="L128">
        <f t="shared" si="4"/>
        <v>0.15005899955644231</v>
      </c>
      <c r="M128">
        <v>0.7</v>
      </c>
    </row>
    <row r="129" spans="1:13" x14ac:dyDescent="0.2">
      <c r="A129" s="1">
        <v>44074</v>
      </c>
      <c r="B129">
        <v>293.95001200000002</v>
      </c>
      <c r="C129">
        <v>296.88000499999998</v>
      </c>
      <c r="D129">
        <v>291.54998799999998</v>
      </c>
      <c r="E129">
        <v>293.20001200000002</v>
      </c>
      <c r="F129">
        <v>293.20001200000002</v>
      </c>
      <c r="G129">
        <v>17345100</v>
      </c>
      <c r="I129">
        <f t="shared" si="5"/>
        <v>-1.5664101128323887E-3</v>
      </c>
      <c r="J129">
        <v>0</v>
      </c>
      <c r="K129">
        <f t="shared" si="3"/>
        <v>-1.5664101128323887E-3</v>
      </c>
      <c r="L129">
        <f t="shared" si="4"/>
        <v>-0.15664101128323887</v>
      </c>
      <c r="M129">
        <v>-0.04</v>
      </c>
    </row>
    <row r="130" spans="1:13" x14ac:dyDescent="0.2">
      <c r="A130" s="1">
        <v>44075</v>
      </c>
      <c r="B130">
        <v>294.709991</v>
      </c>
      <c r="C130">
        <v>301.48998999999998</v>
      </c>
      <c r="D130">
        <v>292.709991</v>
      </c>
      <c r="E130">
        <v>295.44000199999999</v>
      </c>
      <c r="F130">
        <v>295.44000199999999</v>
      </c>
      <c r="G130">
        <v>17295900</v>
      </c>
      <c r="I130">
        <f t="shared" si="5"/>
        <v>7.6398018701308154E-3</v>
      </c>
      <c r="J130">
        <v>0</v>
      </c>
      <c r="K130">
        <f t="shared" si="3"/>
        <v>7.6398018701308154E-3</v>
      </c>
      <c r="L130">
        <f t="shared" si="4"/>
        <v>0.76398018701308157</v>
      </c>
      <c r="M130">
        <v>0.92</v>
      </c>
    </row>
    <row r="131" spans="1:13" x14ac:dyDescent="0.2">
      <c r="A131" s="1">
        <v>44076</v>
      </c>
      <c r="B131">
        <v>298.88000499999998</v>
      </c>
      <c r="C131">
        <v>303.60000600000001</v>
      </c>
      <c r="D131">
        <v>293.04998799999998</v>
      </c>
      <c r="E131">
        <v>302.5</v>
      </c>
      <c r="F131">
        <v>302.5</v>
      </c>
      <c r="G131">
        <v>24341400</v>
      </c>
      <c r="I131">
        <f t="shared" si="5"/>
        <v>2.3896554130134372E-2</v>
      </c>
      <c r="J131">
        <v>0</v>
      </c>
      <c r="K131">
        <f t="shared" si="3"/>
        <v>2.3896554130134372E-2</v>
      </c>
      <c r="L131">
        <f t="shared" si="4"/>
        <v>2.3896554130134371</v>
      </c>
      <c r="M131">
        <v>1.27</v>
      </c>
    </row>
    <row r="132" spans="1:13" x14ac:dyDescent="0.2">
      <c r="A132" s="1">
        <v>44077</v>
      </c>
      <c r="B132">
        <v>295.98998999999998</v>
      </c>
      <c r="C132">
        <v>297.60000600000001</v>
      </c>
      <c r="D132">
        <v>283.63000499999998</v>
      </c>
      <c r="E132">
        <v>291.11999500000002</v>
      </c>
      <c r="F132">
        <v>291.11999500000002</v>
      </c>
      <c r="G132">
        <v>32294100</v>
      </c>
      <c r="I132">
        <f t="shared" si="5"/>
        <v>-3.7619851239669364E-2</v>
      </c>
      <c r="J132">
        <v>0</v>
      </c>
      <c r="K132">
        <f t="shared" ref="K132:K195" si="6">I132-J132</f>
        <v>-3.7619851239669364E-2</v>
      </c>
      <c r="L132">
        <f t="shared" ref="L132:L195" si="7">100*K132</f>
        <v>-3.7619851239669364</v>
      </c>
      <c r="M132">
        <v>-3.7</v>
      </c>
    </row>
    <row r="133" spans="1:13" x14ac:dyDescent="0.2">
      <c r="A133" s="1">
        <v>44078</v>
      </c>
      <c r="B133">
        <v>287.25</v>
      </c>
      <c r="C133">
        <v>289</v>
      </c>
      <c r="D133">
        <v>271.14001500000001</v>
      </c>
      <c r="E133">
        <v>282.73001099999999</v>
      </c>
      <c r="F133">
        <v>282.73001099999999</v>
      </c>
      <c r="G133">
        <v>30333700</v>
      </c>
      <c r="I133">
        <f t="shared" ref="I133:I196" si="8">(F133-F132)/F132</f>
        <v>-2.8819676230071475E-2</v>
      </c>
      <c r="J133">
        <v>0</v>
      </c>
      <c r="K133">
        <f t="shared" si="6"/>
        <v>-2.8819676230071475E-2</v>
      </c>
      <c r="L133">
        <f t="shared" si="7"/>
        <v>-2.8819676230071476</v>
      </c>
      <c r="M133">
        <v>-0.87</v>
      </c>
    </row>
    <row r="134" spans="1:13" x14ac:dyDescent="0.2">
      <c r="A134" s="1">
        <v>44082</v>
      </c>
      <c r="B134">
        <v>271.27999899999998</v>
      </c>
      <c r="C134">
        <v>279.29998799999998</v>
      </c>
      <c r="D134">
        <v>269.42001299999998</v>
      </c>
      <c r="E134">
        <v>271.16000400000001</v>
      </c>
      <c r="F134">
        <v>271.16000400000001</v>
      </c>
      <c r="G134">
        <v>24864000</v>
      </c>
      <c r="I134">
        <f t="shared" si="8"/>
        <v>-4.092245799827729E-2</v>
      </c>
      <c r="J134">
        <v>0</v>
      </c>
      <c r="K134">
        <f t="shared" si="6"/>
        <v>-4.092245799827729E-2</v>
      </c>
      <c r="L134">
        <f t="shared" si="7"/>
        <v>-4.0922457998277286</v>
      </c>
      <c r="M134">
        <v>-2.91</v>
      </c>
    </row>
    <row r="135" spans="1:13" x14ac:dyDescent="0.2">
      <c r="A135" s="1">
        <v>44083</v>
      </c>
      <c r="B135">
        <v>275.76998900000001</v>
      </c>
      <c r="C135">
        <v>278.48001099999999</v>
      </c>
      <c r="D135">
        <v>271.35000600000001</v>
      </c>
      <c r="E135">
        <v>273.72000100000002</v>
      </c>
      <c r="F135">
        <v>273.72000100000002</v>
      </c>
      <c r="G135">
        <v>22918800</v>
      </c>
      <c r="I135">
        <f t="shared" si="8"/>
        <v>9.4409092869020966E-3</v>
      </c>
      <c r="J135">
        <v>0</v>
      </c>
      <c r="K135">
        <f t="shared" si="6"/>
        <v>9.4409092869020966E-3</v>
      </c>
      <c r="L135">
        <f t="shared" si="7"/>
        <v>0.94409092869020972</v>
      </c>
      <c r="M135">
        <v>2.0699999999999998</v>
      </c>
    </row>
    <row r="136" spans="1:13" x14ac:dyDescent="0.2">
      <c r="A136" s="1">
        <v>44084</v>
      </c>
      <c r="B136">
        <v>275.51001000000002</v>
      </c>
      <c r="C136">
        <v>279.16000400000001</v>
      </c>
      <c r="D136">
        <v>267.02999899999998</v>
      </c>
      <c r="E136">
        <v>268.08999599999999</v>
      </c>
      <c r="F136">
        <v>268.08999599999999</v>
      </c>
      <c r="G136">
        <v>24814700</v>
      </c>
      <c r="I136">
        <f t="shared" si="8"/>
        <v>-2.0568482315620185E-2</v>
      </c>
      <c r="J136">
        <v>0</v>
      </c>
      <c r="K136">
        <f t="shared" si="6"/>
        <v>-2.0568482315620185E-2</v>
      </c>
      <c r="L136">
        <f t="shared" si="7"/>
        <v>-2.0568482315620185</v>
      </c>
      <c r="M136">
        <v>-1.64</v>
      </c>
    </row>
    <row r="137" spans="1:13" x14ac:dyDescent="0.2">
      <c r="A137" s="1">
        <v>44085</v>
      </c>
      <c r="B137">
        <v>270.05999800000001</v>
      </c>
      <c r="C137">
        <v>271.39001500000001</v>
      </c>
      <c r="D137">
        <v>262.64001500000001</v>
      </c>
      <c r="E137">
        <v>266.60998499999999</v>
      </c>
      <c r="F137">
        <v>266.60998499999999</v>
      </c>
      <c r="G137">
        <v>18913900</v>
      </c>
      <c r="I137">
        <f t="shared" si="8"/>
        <v>-5.5205752623458228E-3</v>
      </c>
      <c r="J137">
        <v>0</v>
      </c>
      <c r="K137">
        <f t="shared" si="6"/>
        <v>-5.5205752623458228E-3</v>
      </c>
      <c r="L137">
        <f t="shared" si="7"/>
        <v>-0.55205752623458226</v>
      </c>
      <c r="M137">
        <v>-0.06</v>
      </c>
    </row>
    <row r="138" spans="1:13" x14ac:dyDescent="0.2">
      <c r="A138" s="1">
        <v>44088</v>
      </c>
      <c r="B138">
        <v>270.95001200000002</v>
      </c>
      <c r="C138">
        <v>276.64001500000001</v>
      </c>
      <c r="D138">
        <v>265.70001200000002</v>
      </c>
      <c r="E138">
        <v>266.14999399999999</v>
      </c>
      <c r="F138">
        <v>266.14999399999999</v>
      </c>
      <c r="G138">
        <v>24093800</v>
      </c>
      <c r="I138">
        <f t="shared" si="8"/>
        <v>-1.7253329803083041E-3</v>
      </c>
      <c r="J138">
        <v>0</v>
      </c>
      <c r="K138">
        <f t="shared" si="6"/>
        <v>-1.7253329803083041E-3</v>
      </c>
      <c r="L138">
        <f t="shared" si="7"/>
        <v>-0.17253329803083042</v>
      </c>
      <c r="M138">
        <v>1.59</v>
      </c>
    </row>
    <row r="139" spans="1:13" x14ac:dyDescent="0.2">
      <c r="A139" s="1">
        <v>44089</v>
      </c>
      <c r="B139">
        <v>270.67001299999998</v>
      </c>
      <c r="C139">
        <v>274.51998900000001</v>
      </c>
      <c r="D139">
        <v>269.29998799999998</v>
      </c>
      <c r="E139">
        <v>272.42001299999998</v>
      </c>
      <c r="F139">
        <v>272.42001299999998</v>
      </c>
      <c r="G139">
        <v>18478500</v>
      </c>
      <c r="I139">
        <f t="shared" si="8"/>
        <v>2.3558215823217304E-2</v>
      </c>
      <c r="J139">
        <v>0</v>
      </c>
      <c r="K139">
        <f t="shared" si="6"/>
        <v>2.3558215823217304E-2</v>
      </c>
      <c r="L139">
        <f t="shared" si="7"/>
        <v>2.3558215823217306</v>
      </c>
      <c r="M139">
        <v>0.56999999999999995</v>
      </c>
    </row>
    <row r="140" spans="1:13" x14ac:dyDescent="0.2">
      <c r="A140" s="1">
        <v>44090</v>
      </c>
      <c r="B140">
        <v>267.290009</v>
      </c>
      <c r="C140">
        <v>272.44000199999999</v>
      </c>
      <c r="D140">
        <v>261.790009</v>
      </c>
      <c r="E140">
        <v>263.51998900000001</v>
      </c>
      <c r="F140">
        <v>263.51998900000001</v>
      </c>
      <c r="G140">
        <v>29183400</v>
      </c>
      <c r="I140">
        <f t="shared" si="8"/>
        <v>-3.2670228233195091E-2</v>
      </c>
      <c r="J140">
        <v>0</v>
      </c>
      <c r="K140">
        <f t="shared" si="6"/>
        <v>-3.2670228233195091E-2</v>
      </c>
      <c r="L140">
        <f t="shared" si="7"/>
        <v>-3.2670228233195089</v>
      </c>
      <c r="M140">
        <v>-0.39</v>
      </c>
    </row>
    <row r="141" spans="1:13" x14ac:dyDescent="0.2">
      <c r="A141" s="1">
        <v>44091</v>
      </c>
      <c r="B141">
        <v>258.27999899999998</v>
      </c>
      <c r="C141">
        <v>261.5</v>
      </c>
      <c r="D141">
        <v>250.19000199999999</v>
      </c>
      <c r="E141">
        <v>254.820007</v>
      </c>
      <c r="F141">
        <v>254.820007</v>
      </c>
      <c r="G141">
        <v>31281400</v>
      </c>
      <c r="I141">
        <f t="shared" si="8"/>
        <v>-3.3014505021097297E-2</v>
      </c>
      <c r="J141">
        <v>0</v>
      </c>
      <c r="K141">
        <f t="shared" si="6"/>
        <v>-3.3014505021097297E-2</v>
      </c>
      <c r="L141">
        <f t="shared" si="7"/>
        <v>-3.3014505021097298</v>
      </c>
      <c r="M141">
        <v>-0.85</v>
      </c>
    </row>
    <row r="142" spans="1:13" x14ac:dyDescent="0.2">
      <c r="A142" s="1">
        <v>44092</v>
      </c>
      <c r="B142">
        <v>258.39999399999999</v>
      </c>
      <c r="C142">
        <v>259.20001200000002</v>
      </c>
      <c r="D142">
        <v>250.050003</v>
      </c>
      <c r="E142">
        <v>252.529999</v>
      </c>
      <c r="F142">
        <v>252.529999</v>
      </c>
      <c r="G142">
        <v>28130800</v>
      </c>
      <c r="I142">
        <f t="shared" si="8"/>
        <v>-8.9867668828688182E-3</v>
      </c>
      <c r="J142">
        <v>0</v>
      </c>
      <c r="K142">
        <f t="shared" si="6"/>
        <v>-8.9867668828688182E-3</v>
      </c>
      <c r="L142">
        <f t="shared" si="7"/>
        <v>-0.89867668828688185</v>
      </c>
      <c r="M142">
        <v>-0.88</v>
      </c>
    </row>
    <row r="143" spans="1:13" x14ac:dyDescent="0.2">
      <c r="A143" s="1">
        <v>44095</v>
      </c>
      <c r="B143">
        <v>247.53999300000001</v>
      </c>
      <c r="C143">
        <v>249.949997</v>
      </c>
      <c r="D143">
        <v>244.13000500000001</v>
      </c>
      <c r="E143">
        <v>248.14999399999999</v>
      </c>
      <c r="F143">
        <v>248.14999399999999</v>
      </c>
      <c r="G143">
        <v>24709400</v>
      </c>
      <c r="I143">
        <f t="shared" si="8"/>
        <v>-1.7344493792200946E-2</v>
      </c>
      <c r="J143">
        <v>0</v>
      </c>
      <c r="K143">
        <f t="shared" si="6"/>
        <v>-1.7344493792200946E-2</v>
      </c>
      <c r="L143">
        <f t="shared" si="7"/>
        <v>-1.7344493792200946</v>
      </c>
      <c r="M143">
        <v>-1.08</v>
      </c>
    </row>
    <row r="144" spans="1:13" x14ac:dyDescent="0.2">
      <c r="A144" s="1">
        <v>44096</v>
      </c>
      <c r="B144">
        <v>253.30999800000001</v>
      </c>
      <c r="C144">
        <v>255.320007</v>
      </c>
      <c r="D144">
        <v>248.220001</v>
      </c>
      <c r="E144">
        <v>254.75</v>
      </c>
      <c r="F144">
        <v>254.75</v>
      </c>
      <c r="G144">
        <v>30293100</v>
      </c>
      <c r="I144">
        <f t="shared" si="8"/>
        <v>2.6596841263675421E-2</v>
      </c>
      <c r="J144">
        <v>0</v>
      </c>
      <c r="K144">
        <f t="shared" si="6"/>
        <v>2.6596841263675421E-2</v>
      </c>
      <c r="L144">
        <f t="shared" si="7"/>
        <v>2.6596841263675421</v>
      </c>
      <c r="M144">
        <v>1.02</v>
      </c>
    </row>
    <row r="145" spans="1:13" x14ac:dyDescent="0.2">
      <c r="A145" s="1">
        <v>44097</v>
      </c>
      <c r="B145">
        <v>255.259995</v>
      </c>
      <c r="C145">
        <v>257.98998999999998</v>
      </c>
      <c r="D145">
        <v>248.14999399999999</v>
      </c>
      <c r="E145">
        <v>249.020004</v>
      </c>
      <c r="F145">
        <v>249.020004</v>
      </c>
      <c r="G145">
        <v>19641300</v>
      </c>
      <c r="I145">
        <f t="shared" si="8"/>
        <v>-2.2492624141315015E-2</v>
      </c>
      <c r="J145">
        <v>0</v>
      </c>
      <c r="K145">
        <f t="shared" si="6"/>
        <v>-2.2492624141315015E-2</v>
      </c>
      <c r="L145">
        <f t="shared" si="7"/>
        <v>-2.2492624141315014</v>
      </c>
      <c r="M145">
        <v>-2.48</v>
      </c>
    </row>
    <row r="146" spans="1:13" x14ac:dyDescent="0.2">
      <c r="A146" s="1">
        <v>44098</v>
      </c>
      <c r="B146">
        <v>246.5</v>
      </c>
      <c r="C146">
        <v>252.240005</v>
      </c>
      <c r="D146">
        <v>245.61999499999999</v>
      </c>
      <c r="E146">
        <v>249.529999</v>
      </c>
      <c r="F146">
        <v>249.529999</v>
      </c>
      <c r="G146">
        <v>20006800</v>
      </c>
      <c r="I146">
        <f t="shared" si="8"/>
        <v>2.0480081592160102E-3</v>
      </c>
      <c r="J146">
        <v>0</v>
      </c>
      <c r="K146">
        <f t="shared" si="6"/>
        <v>2.0480081592160102E-3</v>
      </c>
      <c r="L146">
        <f t="shared" si="7"/>
        <v>0.20480081592160101</v>
      </c>
      <c r="M146">
        <v>0.25</v>
      </c>
    </row>
    <row r="147" spans="1:13" x14ac:dyDescent="0.2">
      <c r="A147" s="1">
        <v>44099</v>
      </c>
      <c r="B147">
        <v>249.39999399999999</v>
      </c>
      <c r="C147">
        <v>255.75</v>
      </c>
      <c r="D147">
        <v>246.61000100000001</v>
      </c>
      <c r="E147">
        <v>254.820007</v>
      </c>
      <c r="F147">
        <v>254.820007</v>
      </c>
      <c r="G147">
        <v>18351300</v>
      </c>
      <c r="I147">
        <f t="shared" si="8"/>
        <v>2.1199887874002676E-2</v>
      </c>
      <c r="J147">
        <v>0</v>
      </c>
      <c r="K147">
        <f t="shared" si="6"/>
        <v>2.1199887874002676E-2</v>
      </c>
      <c r="L147">
        <f t="shared" si="7"/>
        <v>2.1199887874002679</v>
      </c>
      <c r="M147">
        <v>1.72</v>
      </c>
    </row>
    <row r="148" spans="1:13" x14ac:dyDescent="0.2">
      <c r="A148" s="1">
        <v>44102</v>
      </c>
      <c r="B148">
        <v>259.39999399999999</v>
      </c>
      <c r="C148">
        <v>259.60000600000001</v>
      </c>
      <c r="D148">
        <v>254.820007</v>
      </c>
      <c r="E148">
        <v>256.82000699999998</v>
      </c>
      <c r="F148">
        <v>256.82000699999998</v>
      </c>
      <c r="G148">
        <v>18826300</v>
      </c>
      <c r="I148">
        <f t="shared" si="8"/>
        <v>7.8486772822354226E-3</v>
      </c>
      <c r="J148">
        <v>0</v>
      </c>
      <c r="K148">
        <f t="shared" si="6"/>
        <v>7.8486772822354226E-3</v>
      </c>
      <c r="L148">
        <f t="shared" si="7"/>
        <v>0.78486772822354223</v>
      </c>
      <c r="M148">
        <v>1.66</v>
      </c>
    </row>
    <row r="149" spans="1:13" x14ac:dyDescent="0.2">
      <c r="A149" s="1">
        <v>44103</v>
      </c>
      <c r="B149">
        <v>257.80999800000001</v>
      </c>
      <c r="C149">
        <v>263.32998700000002</v>
      </c>
      <c r="D149">
        <v>256.89999399999999</v>
      </c>
      <c r="E149">
        <v>261.790009</v>
      </c>
      <c r="F149">
        <v>261.790009</v>
      </c>
      <c r="G149">
        <v>20200200</v>
      </c>
      <c r="I149">
        <f t="shared" si="8"/>
        <v>1.9352082643623723E-2</v>
      </c>
      <c r="J149">
        <v>0</v>
      </c>
      <c r="K149">
        <f t="shared" si="6"/>
        <v>1.9352082643623723E-2</v>
      </c>
      <c r="L149">
        <f t="shared" si="7"/>
        <v>1.9352082643623723</v>
      </c>
      <c r="M149">
        <v>-0.42</v>
      </c>
    </row>
    <row r="150" spans="1:13" x14ac:dyDescent="0.2">
      <c r="A150" s="1">
        <v>44104</v>
      </c>
      <c r="B150">
        <v>261.98001099999999</v>
      </c>
      <c r="C150">
        <v>266.07998700000002</v>
      </c>
      <c r="D150">
        <v>260.10000600000001</v>
      </c>
      <c r="E150">
        <v>261.89999399999999</v>
      </c>
      <c r="F150">
        <v>261.89999399999999</v>
      </c>
      <c r="G150">
        <v>20142500</v>
      </c>
      <c r="I150">
        <f t="shared" si="8"/>
        <v>4.2012680476280007E-4</v>
      </c>
      <c r="J150">
        <v>0</v>
      </c>
      <c r="K150">
        <f t="shared" si="6"/>
        <v>4.2012680476280007E-4</v>
      </c>
      <c r="L150">
        <f t="shared" si="7"/>
        <v>4.2012680476280005E-2</v>
      </c>
      <c r="M150">
        <v>0.79</v>
      </c>
    </row>
    <row r="151" spans="1:13" x14ac:dyDescent="0.2">
      <c r="A151" s="1">
        <v>44105</v>
      </c>
      <c r="B151">
        <v>265.35000600000001</v>
      </c>
      <c r="C151">
        <v>268.32998700000002</v>
      </c>
      <c r="D151">
        <v>264.79998799999998</v>
      </c>
      <c r="E151">
        <v>266.63000499999998</v>
      </c>
      <c r="F151">
        <v>266.63000499999998</v>
      </c>
      <c r="G151">
        <v>20009800</v>
      </c>
      <c r="I151">
        <f t="shared" si="8"/>
        <v>1.8060370784124532E-2</v>
      </c>
      <c r="J151">
        <v>0</v>
      </c>
      <c r="K151">
        <f t="shared" si="6"/>
        <v>1.8060370784124532E-2</v>
      </c>
      <c r="L151">
        <f t="shared" si="7"/>
        <v>1.8060370784124531</v>
      </c>
      <c r="M151">
        <v>0.79</v>
      </c>
    </row>
    <row r="152" spans="1:13" x14ac:dyDescent="0.2">
      <c r="A152" s="1">
        <v>44106</v>
      </c>
      <c r="B152">
        <v>261.209991</v>
      </c>
      <c r="C152">
        <v>265.14999399999999</v>
      </c>
      <c r="D152">
        <v>259.17999300000002</v>
      </c>
      <c r="E152">
        <v>259.94000199999999</v>
      </c>
      <c r="F152">
        <v>259.94000199999999</v>
      </c>
      <c r="G152">
        <v>16367600</v>
      </c>
      <c r="I152">
        <f t="shared" si="8"/>
        <v>-2.5090960786652614E-2</v>
      </c>
      <c r="J152">
        <v>0</v>
      </c>
      <c r="K152">
        <f t="shared" si="6"/>
        <v>-2.5090960786652614E-2</v>
      </c>
      <c r="L152">
        <f t="shared" si="7"/>
        <v>-2.5090960786652614</v>
      </c>
      <c r="M152">
        <v>-0.96</v>
      </c>
    </row>
    <row r="153" spans="1:13" x14ac:dyDescent="0.2">
      <c r="A153" s="1">
        <v>44109</v>
      </c>
      <c r="B153">
        <v>262.20001200000002</v>
      </c>
      <c r="C153">
        <v>264.86999500000002</v>
      </c>
      <c r="D153">
        <v>260.83999599999999</v>
      </c>
      <c r="E153">
        <v>264.64999399999999</v>
      </c>
      <c r="F153">
        <v>264.64999399999999</v>
      </c>
      <c r="G153">
        <v>12822300</v>
      </c>
      <c r="I153">
        <f t="shared" si="8"/>
        <v>1.8119535137958487E-2</v>
      </c>
      <c r="J153">
        <v>0</v>
      </c>
      <c r="K153">
        <f t="shared" si="6"/>
        <v>1.8119535137958487E-2</v>
      </c>
      <c r="L153">
        <f t="shared" si="7"/>
        <v>1.8119535137958487</v>
      </c>
      <c r="M153">
        <v>1.93</v>
      </c>
    </row>
    <row r="154" spans="1:13" x14ac:dyDescent="0.2">
      <c r="A154" s="1">
        <v>44110</v>
      </c>
      <c r="B154">
        <v>261.77999899999998</v>
      </c>
      <c r="C154">
        <v>265.69000199999999</v>
      </c>
      <c r="D154">
        <v>258.23998999999998</v>
      </c>
      <c r="E154">
        <v>258.66000400000001</v>
      </c>
      <c r="F154">
        <v>258.66000400000001</v>
      </c>
      <c r="G154">
        <v>18696900</v>
      </c>
      <c r="I154">
        <f t="shared" si="8"/>
        <v>-2.2633629834882891E-2</v>
      </c>
      <c r="J154">
        <v>0</v>
      </c>
      <c r="K154">
        <f t="shared" si="6"/>
        <v>-2.2633629834882891E-2</v>
      </c>
      <c r="L154">
        <f t="shared" si="7"/>
        <v>-2.2633629834882889</v>
      </c>
      <c r="M154">
        <v>-1.28</v>
      </c>
    </row>
    <row r="155" spans="1:13" x14ac:dyDescent="0.2">
      <c r="A155" s="1">
        <v>44111</v>
      </c>
      <c r="B155">
        <v>259.209991</v>
      </c>
      <c r="C155">
        <v>260.17999300000002</v>
      </c>
      <c r="D155">
        <v>254.820007</v>
      </c>
      <c r="E155">
        <v>258.11999500000002</v>
      </c>
      <c r="F155">
        <v>258.11999500000002</v>
      </c>
      <c r="G155">
        <v>23133400</v>
      </c>
      <c r="I155">
        <f t="shared" si="8"/>
        <v>-2.0877174346598934E-3</v>
      </c>
      <c r="J155">
        <v>0</v>
      </c>
      <c r="K155">
        <f t="shared" si="6"/>
        <v>-2.0877174346598934E-3</v>
      </c>
      <c r="L155">
        <f t="shared" si="7"/>
        <v>-0.20877174346598934</v>
      </c>
      <c r="M155">
        <v>1.84</v>
      </c>
    </row>
    <row r="156" spans="1:13" x14ac:dyDescent="0.2">
      <c r="A156" s="1">
        <v>44112</v>
      </c>
      <c r="B156">
        <v>259.75</v>
      </c>
      <c r="C156">
        <v>264.61999500000002</v>
      </c>
      <c r="D156">
        <v>259.14999399999999</v>
      </c>
      <c r="E156">
        <v>263.76001000000002</v>
      </c>
      <c r="F156">
        <v>263.76001000000002</v>
      </c>
      <c r="G156">
        <v>16312800</v>
      </c>
      <c r="I156">
        <f t="shared" si="8"/>
        <v>2.1850360720795787E-2</v>
      </c>
      <c r="J156">
        <v>0</v>
      </c>
      <c r="K156">
        <f t="shared" si="6"/>
        <v>2.1850360720795787E-2</v>
      </c>
      <c r="L156">
        <f t="shared" si="7"/>
        <v>2.1850360720795785</v>
      </c>
      <c r="M156">
        <v>0.8</v>
      </c>
    </row>
    <row r="157" spans="1:13" x14ac:dyDescent="0.2">
      <c r="A157" s="1">
        <v>44113</v>
      </c>
      <c r="B157">
        <v>264.51998900000001</v>
      </c>
      <c r="C157">
        <v>264.75</v>
      </c>
      <c r="D157">
        <v>262.17001299999998</v>
      </c>
      <c r="E157">
        <v>264.45001200000002</v>
      </c>
      <c r="F157">
        <v>264.45001200000002</v>
      </c>
      <c r="G157">
        <v>14107800</v>
      </c>
      <c r="I157">
        <f t="shared" si="8"/>
        <v>2.6160220421586754E-3</v>
      </c>
      <c r="J157">
        <v>0</v>
      </c>
      <c r="K157">
        <f t="shared" si="6"/>
        <v>2.6160220421586754E-3</v>
      </c>
      <c r="L157">
        <f t="shared" si="7"/>
        <v>0.26160220421586755</v>
      </c>
      <c r="M157">
        <v>0.93</v>
      </c>
    </row>
    <row r="158" spans="1:13" x14ac:dyDescent="0.2">
      <c r="A158" s="1">
        <v>44116</v>
      </c>
      <c r="B158">
        <v>270.20001200000002</v>
      </c>
      <c r="C158">
        <v>280.17999300000002</v>
      </c>
      <c r="D158">
        <v>267.86999500000002</v>
      </c>
      <c r="E158">
        <v>275.75</v>
      </c>
      <c r="F158">
        <v>275.75</v>
      </c>
      <c r="G158">
        <v>31019300</v>
      </c>
      <c r="I158">
        <f t="shared" si="8"/>
        <v>4.2730147427635527E-2</v>
      </c>
      <c r="J158">
        <v>0</v>
      </c>
      <c r="K158">
        <f t="shared" si="6"/>
        <v>4.2730147427635527E-2</v>
      </c>
      <c r="L158">
        <f t="shared" si="7"/>
        <v>4.2730147427635528</v>
      </c>
      <c r="M158">
        <v>1.53</v>
      </c>
    </row>
    <row r="159" spans="1:13" x14ac:dyDescent="0.2">
      <c r="A159" s="1">
        <v>44117</v>
      </c>
      <c r="B159">
        <v>277.57998700000002</v>
      </c>
      <c r="C159">
        <v>279.10000600000001</v>
      </c>
      <c r="D159">
        <v>273.39001500000001</v>
      </c>
      <c r="E159">
        <v>276.14001500000001</v>
      </c>
      <c r="F159">
        <v>276.14001500000001</v>
      </c>
      <c r="G159">
        <v>18063300</v>
      </c>
      <c r="I159">
        <f t="shared" si="8"/>
        <v>1.4143789664551418E-3</v>
      </c>
      <c r="J159">
        <v>0</v>
      </c>
      <c r="K159">
        <f t="shared" si="6"/>
        <v>1.4143789664551418E-3</v>
      </c>
      <c r="L159">
        <f t="shared" si="7"/>
        <v>0.14143789664551418</v>
      </c>
      <c r="M159">
        <v>-0.41</v>
      </c>
    </row>
    <row r="160" spans="1:13" x14ac:dyDescent="0.2">
      <c r="A160" s="1">
        <v>44118</v>
      </c>
      <c r="B160">
        <v>277.61999500000002</v>
      </c>
      <c r="C160">
        <v>278.75</v>
      </c>
      <c r="D160">
        <v>271.5</v>
      </c>
      <c r="E160">
        <v>271.82000699999998</v>
      </c>
      <c r="F160">
        <v>271.82000699999998</v>
      </c>
      <c r="G160">
        <v>15577800</v>
      </c>
      <c r="I160">
        <f t="shared" si="8"/>
        <v>-1.5644266550793189E-2</v>
      </c>
      <c r="J160">
        <v>0</v>
      </c>
      <c r="K160">
        <f t="shared" si="6"/>
        <v>-1.5644266550793189E-2</v>
      </c>
      <c r="L160">
        <f t="shared" si="7"/>
        <v>-1.5644266550793189</v>
      </c>
      <c r="M160">
        <v>-0.65</v>
      </c>
    </row>
    <row r="161" spans="1:13" x14ac:dyDescent="0.2">
      <c r="A161" s="1">
        <v>44119</v>
      </c>
      <c r="B161">
        <v>267.60000600000001</v>
      </c>
      <c r="C161">
        <v>269.040009</v>
      </c>
      <c r="D161">
        <v>263.67001299999998</v>
      </c>
      <c r="E161">
        <v>266.72000100000002</v>
      </c>
      <c r="F161">
        <v>266.72000100000002</v>
      </c>
      <c r="G161">
        <v>15416100</v>
      </c>
      <c r="I161">
        <f t="shared" si="8"/>
        <v>-1.876243789516182E-2</v>
      </c>
      <c r="J161">
        <v>0</v>
      </c>
      <c r="K161">
        <f t="shared" si="6"/>
        <v>-1.876243789516182E-2</v>
      </c>
      <c r="L161">
        <f t="shared" si="7"/>
        <v>-1.8762437895161819</v>
      </c>
      <c r="M161">
        <v>-0.08</v>
      </c>
    </row>
    <row r="162" spans="1:13" x14ac:dyDescent="0.2">
      <c r="A162" s="1">
        <v>44120</v>
      </c>
      <c r="B162">
        <v>267.38000499999998</v>
      </c>
      <c r="C162">
        <v>271.36999500000002</v>
      </c>
      <c r="D162">
        <v>265.29998799999998</v>
      </c>
      <c r="E162">
        <v>265.92999300000002</v>
      </c>
      <c r="F162">
        <v>265.92999300000002</v>
      </c>
      <c r="G162">
        <v>16622700</v>
      </c>
      <c r="I162">
        <f t="shared" si="8"/>
        <v>-2.9619376013724601E-3</v>
      </c>
      <c r="J162">
        <v>0</v>
      </c>
      <c r="K162">
        <f t="shared" si="6"/>
        <v>-2.9619376013724601E-3</v>
      </c>
      <c r="L162">
        <f t="shared" si="7"/>
        <v>-0.29619376013724602</v>
      </c>
      <c r="M162">
        <v>-0.06</v>
      </c>
    </row>
    <row r="163" spans="1:13" x14ac:dyDescent="0.2">
      <c r="A163" s="1">
        <v>44123</v>
      </c>
      <c r="B163">
        <v>265.52999899999998</v>
      </c>
      <c r="C163">
        <v>268.54998799999998</v>
      </c>
      <c r="D163">
        <v>259.88000499999998</v>
      </c>
      <c r="E163">
        <v>261.39999399999999</v>
      </c>
      <c r="F163">
        <v>261.39999399999999</v>
      </c>
      <c r="G163">
        <v>13587000</v>
      </c>
      <c r="I163">
        <f t="shared" si="8"/>
        <v>-1.7034554654389931E-2</v>
      </c>
      <c r="J163">
        <v>0</v>
      </c>
      <c r="K163">
        <f t="shared" si="6"/>
        <v>-1.7034554654389931E-2</v>
      </c>
      <c r="L163">
        <f t="shared" si="7"/>
        <v>-1.7034554654389931</v>
      </c>
      <c r="M163">
        <v>-1.53</v>
      </c>
    </row>
    <row r="164" spans="1:13" x14ac:dyDescent="0.2">
      <c r="A164" s="1">
        <v>44124</v>
      </c>
      <c r="B164">
        <v>263.05999800000001</v>
      </c>
      <c r="C164">
        <v>269.70001200000002</v>
      </c>
      <c r="D164">
        <v>262.88000499999998</v>
      </c>
      <c r="E164">
        <v>267.55999800000001</v>
      </c>
      <c r="F164">
        <v>267.55999800000001</v>
      </c>
      <c r="G164">
        <v>18763200</v>
      </c>
      <c r="I164">
        <f t="shared" si="8"/>
        <v>2.3565432828586887E-2</v>
      </c>
      <c r="J164">
        <v>0</v>
      </c>
      <c r="K164">
        <f t="shared" si="6"/>
        <v>2.3565432828586887E-2</v>
      </c>
      <c r="L164">
        <f t="shared" si="7"/>
        <v>2.3565432828586887</v>
      </c>
      <c r="M164">
        <v>0.34</v>
      </c>
    </row>
    <row r="165" spans="1:13" x14ac:dyDescent="0.2">
      <c r="A165" s="1">
        <v>44125</v>
      </c>
      <c r="B165">
        <v>279.55999800000001</v>
      </c>
      <c r="C165">
        <v>283.04998799999998</v>
      </c>
      <c r="D165">
        <v>276.36999500000002</v>
      </c>
      <c r="E165">
        <v>278.73001099999999</v>
      </c>
      <c r="F165">
        <v>278.73001099999999</v>
      </c>
      <c r="G165">
        <v>28998600</v>
      </c>
      <c r="I165">
        <f t="shared" si="8"/>
        <v>4.1747694287245368E-2</v>
      </c>
      <c r="J165">
        <v>0</v>
      </c>
      <c r="K165">
        <f t="shared" si="6"/>
        <v>4.1747694287245368E-2</v>
      </c>
      <c r="L165">
        <f t="shared" si="7"/>
        <v>4.1747694287245372</v>
      </c>
      <c r="M165">
        <v>-0.36</v>
      </c>
    </row>
    <row r="166" spans="1:13" x14ac:dyDescent="0.2">
      <c r="A166" s="1">
        <v>44126</v>
      </c>
      <c r="B166">
        <v>279.86999500000002</v>
      </c>
      <c r="C166">
        <v>282.45001200000002</v>
      </c>
      <c r="D166">
        <v>275.040009</v>
      </c>
      <c r="E166">
        <v>278.11999500000002</v>
      </c>
      <c r="F166">
        <v>278.11999500000002</v>
      </c>
      <c r="G166">
        <v>16720000</v>
      </c>
      <c r="I166">
        <f t="shared" si="8"/>
        <v>-2.1885551462916325E-3</v>
      </c>
      <c r="J166">
        <v>0</v>
      </c>
      <c r="K166">
        <f t="shared" si="6"/>
        <v>-2.1885551462916325E-3</v>
      </c>
      <c r="L166">
        <f t="shared" si="7"/>
        <v>-0.21885551462916325</v>
      </c>
      <c r="M166">
        <v>0.67</v>
      </c>
    </row>
    <row r="167" spans="1:13" x14ac:dyDescent="0.2">
      <c r="A167" s="1">
        <v>44127</v>
      </c>
      <c r="B167">
        <v>278.79998799999998</v>
      </c>
      <c r="C167">
        <v>285.23998999999998</v>
      </c>
      <c r="D167">
        <v>276.82000699999998</v>
      </c>
      <c r="E167">
        <v>284.790009</v>
      </c>
      <c r="F167">
        <v>284.790009</v>
      </c>
      <c r="G167">
        <v>17535200</v>
      </c>
      <c r="I167">
        <f t="shared" si="8"/>
        <v>2.398250438628111E-2</v>
      </c>
      <c r="J167">
        <v>0</v>
      </c>
      <c r="K167">
        <f t="shared" si="6"/>
        <v>2.398250438628111E-2</v>
      </c>
      <c r="L167">
        <f t="shared" si="7"/>
        <v>2.3982504386281112</v>
      </c>
      <c r="M167">
        <v>0.38</v>
      </c>
    </row>
    <row r="168" spans="1:13" x14ac:dyDescent="0.2">
      <c r="A168" s="1">
        <v>44130</v>
      </c>
      <c r="B168">
        <v>283.16000400000001</v>
      </c>
      <c r="C168">
        <v>285.23001099999999</v>
      </c>
      <c r="D168">
        <v>274.26001000000002</v>
      </c>
      <c r="E168">
        <v>277.10998499999999</v>
      </c>
      <c r="F168">
        <v>277.10998499999999</v>
      </c>
      <c r="G168">
        <v>21322900</v>
      </c>
      <c r="I168">
        <f t="shared" si="8"/>
        <v>-2.6967322438618286E-2</v>
      </c>
      <c r="J168">
        <v>0</v>
      </c>
      <c r="K168">
        <f t="shared" si="6"/>
        <v>-2.6967322438618286E-2</v>
      </c>
      <c r="L168">
        <f t="shared" si="7"/>
        <v>-2.6967322438618284</v>
      </c>
      <c r="M168">
        <v>-1.85</v>
      </c>
    </row>
    <row r="169" spans="1:13" x14ac:dyDescent="0.2">
      <c r="A169" s="1">
        <v>44131</v>
      </c>
      <c r="B169">
        <v>278.76001000000002</v>
      </c>
      <c r="C169">
        <v>284.51001000000002</v>
      </c>
      <c r="D169">
        <v>276.30999800000001</v>
      </c>
      <c r="E169">
        <v>283.290009</v>
      </c>
      <c r="F169">
        <v>283.290009</v>
      </c>
      <c r="G169">
        <v>16287200</v>
      </c>
      <c r="I169">
        <f t="shared" si="8"/>
        <v>2.2301700893239206E-2</v>
      </c>
      <c r="J169">
        <v>0</v>
      </c>
      <c r="K169">
        <f t="shared" si="6"/>
        <v>2.2301700893239206E-2</v>
      </c>
      <c r="L169">
        <f t="shared" si="7"/>
        <v>2.2301700893239205</v>
      </c>
      <c r="M169">
        <v>-0.23</v>
      </c>
    </row>
    <row r="170" spans="1:13" x14ac:dyDescent="0.2">
      <c r="A170" s="1">
        <v>44132</v>
      </c>
      <c r="B170">
        <v>278.790009</v>
      </c>
      <c r="C170">
        <v>278.790009</v>
      </c>
      <c r="D170">
        <v>267.26001000000002</v>
      </c>
      <c r="E170">
        <v>267.67001299999998</v>
      </c>
      <c r="F170">
        <v>267.67001299999998</v>
      </c>
      <c r="G170">
        <v>23121800</v>
      </c>
      <c r="I170">
        <f t="shared" si="8"/>
        <v>-5.5137828740017492E-2</v>
      </c>
      <c r="J170">
        <v>0</v>
      </c>
      <c r="K170">
        <f t="shared" si="6"/>
        <v>-5.5137828740017492E-2</v>
      </c>
      <c r="L170">
        <f t="shared" si="7"/>
        <v>-5.5137828740017492</v>
      </c>
      <c r="M170">
        <v>-3.41</v>
      </c>
    </row>
    <row r="171" spans="1:13" x14ac:dyDescent="0.2">
      <c r="A171" s="1">
        <v>44133</v>
      </c>
      <c r="B171">
        <v>276.54998799999998</v>
      </c>
      <c r="C171">
        <v>283.60000600000001</v>
      </c>
      <c r="D171">
        <v>273.77999899999998</v>
      </c>
      <c r="E171">
        <v>280.82998700000002</v>
      </c>
      <c r="F171">
        <v>280.82998700000002</v>
      </c>
      <c r="G171">
        <v>32368100</v>
      </c>
      <c r="I171">
        <f t="shared" si="8"/>
        <v>4.9164917102611845E-2</v>
      </c>
      <c r="J171">
        <v>0</v>
      </c>
      <c r="K171">
        <f t="shared" si="6"/>
        <v>4.9164917102611845E-2</v>
      </c>
      <c r="L171">
        <f t="shared" si="7"/>
        <v>4.9164917102611847</v>
      </c>
      <c r="M171">
        <v>1.1299999999999999</v>
      </c>
    </row>
    <row r="172" spans="1:13" x14ac:dyDescent="0.2">
      <c r="A172" s="1">
        <v>44134</v>
      </c>
      <c r="B172">
        <v>274.5</v>
      </c>
      <c r="C172">
        <v>276.70001200000002</v>
      </c>
      <c r="D172">
        <v>259.10000600000001</v>
      </c>
      <c r="E172">
        <v>263.10998499999999</v>
      </c>
      <c r="F172">
        <v>263.10998499999999</v>
      </c>
      <c r="G172">
        <v>47247800</v>
      </c>
      <c r="I172">
        <f t="shared" si="8"/>
        <v>-6.3098681836993506E-2</v>
      </c>
      <c r="J172">
        <v>0</v>
      </c>
      <c r="K172">
        <f t="shared" si="6"/>
        <v>-6.3098681836993506E-2</v>
      </c>
      <c r="L172">
        <f t="shared" si="7"/>
        <v>-6.3098681836993507</v>
      </c>
      <c r="M172">
        <v>-1.45</v>
      </c>
    </row>
    <row r="173" spans="1:13" x14ac:dyDescent="0.2">
      <c r="A173" s="1">
        <v>44137</v>
      </c>
      <c r="B173">
        <v>264.60000600000001</v>
      </c>
      <c r="C173">
        <v>270.47000100000002</v>
      </c>
      <c r="D173">
        <v>257.33999599999999</v>
      </c>
      <c r="E173">
        <v>261.35998499999999</v>
      </c>
      <c r="F173">
        <v>261.35998499999999</v>
      </c>
      <c r="G173">
        <v>27165700</v>
      </c>
      <c r="I173">
        <f t="shared" si="8"/>
        <v>-6.6512108995027313E-3</v>
      </c>
      <c r="J173">
        <v>0</v>
      </c>
      <c r="K173">
        <f t="shared" si="6"/>
        <v>-6.6512108995027313E-3</v>
      </c>
      <c r="L173">
        <f t="shared" si="7"/>
        <v>-0.66512108995027308</v>
      </c>
      <c r="M173">
        <v>1.17</v>
      </c>
    </row>
    <row r="174" spans="1:13" x14ac:dyDescent="0.2">
      <c r="A174" s="1">
        <v>44138</v>
      </c>
      <c r="B174">
        <v>263.16000400000001</v>
      </c>
      <c r="C174">
        <v>270.04998799999998</v>
      </c>
      <c r="D174">
        <v>260.88000499999998</v>
      </c>
      <c r="E174">
        <v>265.29998799999998</v>
      </c>
      <c r="F174">
        <v>265.29998799999998</v>
      </c>
      <c r="G174">
        <v>17961900</v>
      </c>
      <c r="I174">
        <f t="shared" si="8"/>
        <v>1.5075004691326372E-2</v>
      </c>
      <c r="J174">
        <v>0</v>
      </c>
      <c r="K174">
        <f t="shared" si="6"/>
        <v>1.5075004691326372E-2</v>
      </c>
      <c r="L174">
        <f t="shared" si="7"/>
        <v>1.5075004691326372</v>
      </c>
      <c r="M174">
        <v>1.93</v>
      </c>
    </row>
    <row r="175" spans="1:13" x14ac:dyDescent="0.2">
      <c r="A175" s="1">
        <v>44139</v>
      </c>
      <c r="B175">
        <v>281</v>
      </c>
      <c r="C175">
        <v>288.94000199999999</v>
      </c>
      <c r="D175">
        <v>278.61999500000002</v>
      </c>
      <c r="E175">
        <v>287.38000499999998</v>
      </c>
      <c r="F175">
        <v>287.38000499999998</v>
      </c>
      <c r="G175">
        <v>35364400</v>
      </c>
      <c r="I175">
        <f t="shared" si="8"/>
        <v>8.322660383987654E-2</v>
      </c>
      <c r="J175">
        <v>0</v>
      </c>
      <c r="K175">
        <f t="shared" si="6"/>
        <v>8.322660383987654E-2</v>
      </c>
      <c r="L175">
        <f t="shared" si="7"/>
        <v>8.3226603839876532</v>
      </c>
      <c r="M175">
        <v>2.25</v>
      </c>
    </row>
    <row r="176" spans="1:13" x14ac:dyDescent="0.2">
      <c r="A176" s="1">
        <v>44140</v>
      </c>
      <c r="B176">
        <v>291.89999399999999</v>
      </c>
      <c r="C176">
        <v>297.38000499999998</v>
      </c>
      <c r="D176">
        <v>288.95001200000002</v>
      </c>
      <c r="E176">
        <v>294.67999300000002</v>
      </c>
      <c r="F176">
        <v>294.67999300000002</v>
      </c>
      <c r="G176">
        <v>23823600</v>
      </c>
      <c r="I176">
        <f t="shared" si="8"/>
        <v>2.5401864684357709E-2</v>
      </c>
      <c r="J176">
        <v>0</v>
      </c>
      <c r="K176">
        <f t="shared" si="6"/>
        <v>2.5401864684357709E-2</v>
      </c>
      <c r="L176">
        <f t="shared" si="7"/>
        <v>2.5401864684357709</v>
      </c>
      <c r="M176">
        <v>2.13</v>
      </c>
    </row>
    <row r="177" spans="1:13" x14ac:dyDescent="0.2">
      <c r="A177" s="1">
        <v>44141</v>
      </c>
      <c r="B177">
        <v>293.95001200000002</v>
      </c>
      <c r="C177">
        <v>294.60000600000001</v>
      </c>
      <c r="D177">
        <v>288.05999800000001</v>
      </c>
      <c r="E177">
        <v>293.41000400000001</v>
      </c>
      <c r="F177">
        <v>293.41000400000001</v>
      </c>
      <c r="G177">
        <v>13891000</v>
      </c>
      <c r="I177">
        <f t="shared" si="8"/>
        <v>-4.3097225131263307E-3</v>
      </c>
      <c r="J177">
        <v>0</v>
      </c>
      <c r="K177">
        <f t="shared" si="6"/>
        <v>-4.3097225131263307E-3</v>
      </c>
      <c r="L177">
        <f t="shared" si="7"/>
        <v>-0.43097225131263306</v>
      </c>
      <c r="M177">
        <v>0.01</v>
      </c>
    </row>
    <row r="178" spans="1:13" x14ac:dyDescent="0.2">
      <c r="A178" s="1">
        <v>44144</v>
      </c>
      <c r="B178">
        <v>289.86999500000002</v>
      </c>
      <c r="C178">
        <v>292.57998700000002</v>
      </c>
      <c r="D178">
        <v>278.52999899999998</v>
      </c>
      <c r="E178">
        <v>278.76998900000001</v>
      </c>
      <c r="F178">
        <v>278.76998900000001</v>
      </c>
      <c r="G178">
        <v>25117700</v>
      </c>
      <c r="I178">
        <f t="shared" si="8"/>
        <v>-4.989610033882827E-2</v>
      </c>
      <c r="J178">
        <v>0</v>
      </c>
      <c r="K178">
        <f t="shared" si="6"/>
        <v>-4.989610033882827E-2</v>
      </c>
      <c r="L178">
        <f t="shared" si="7"/>
        <v>-4.9896100338828271</v>
      </c>
      <c r="M178">
        <v>0.82</v>
      </c>
    </row>
    <row r="179" spans="1:13" x14ac:dyDescent="0.2">
      <c r="A179" s="1">
        <v>44145</v>
      </c>
      <c r="B179">
        <v>273.10000600000001</v>
      </c>
      <c r="C179">
        <v>274</v>
      </c>
      <c r="D179">
        <v>264</v>
      </c>
      <c r="E179">
        <v>272.42999300000002</v>
      </c>
      <c r="F179">
        <v>272.42999300000002</v>
      </c>
      <c r="G179">
        <v>29067700</v>
      </c>
      <c r="I179">
        <f t="shared" si="8"/>
        <v>-2.274274939975689E-2</v>
      </c>
      <c r="J179">
        <v>0</v>
      </c>
      <c r="K179">
        <f t="shared" si="6"/>
        <v>-2.274274939975689E-2</v>
      </c>
      <c r="L179">
        <f t="shared" si="7"/>
        <v>-2.274274939975689</v>
      </c>
      <c r="M179">
        <v>-0.17</v>
      </c>
    </row>
    <row r="180" spans="1:13" x14ac:dyDescent="0.2">
      <c r="A180" s="1">
        <v>44146</v>
      </c>
      <c r="B180">
        <v>273.47000100000002</v>
      </c>
      <c r="C180">
        <v>278.39999399999999</v>
      </c>
      <c r="D180">
        <v>272.48001099999999</v>
      </c>
      <c r="E180">
        <v>276.48001099999999</v>
      </c>
      <c r="F180">
        <v>276.48001099999999</v>
      </c>
      <c r="G180">
        <v>14957000</v>
      </c>
      <c r="I180">
        <f t="shared" si="8"/>
        <v>1.4866270616539515E-2</v>
      </c>
      <c r="J180">
        <v>0</v>
      </c>
      <c r="K180">
        <f t="shared" si="6"/>
        <v>1.4866270616539515E-2</v>
      </c>
      <c r="L180">
        <f t="shared" si="7"/>
        <v>1.4866270616539514</v>
      </c>
      <c r="M180">
        <v>0.88</v>
      </c>
    </row>
    <row r="181" spans="1:13" x14ac:dyDescent="0.2">
      <c r="A181" s="1">
        <v>44147</v>
      </c>
      <c r="B181">
        <v>277.17999300000002</v>
      </c>
      <c r="C181">
        <v>279.75</v>
      </c>
      <c r="D181">
        <v>274.42999300000002</v>
      </c>
      <c r="E181">
        <v>275.07998700000002</v>
      </c>
      <c r="F181">
        <v>275.07998700000002</v>
      </c>
      <c r="G181">
        <v>12899500</v>
      </c>
      <c r="I181">
        <f t="shared" si="8"/>
        <v>-5.063744011497358E-3</v>
      </c>
      <c r="J181">
        <v>0</v>
      </c>
      <c r="K181">
        <f t="shared" si="6"/>
        <v>-5.063744011497358E-3</v>
      </c>
      <c r="L181">
        <f t="shared" si="7"/>
        <v>-0.50637440114973575</v>
      </c>
      <c r="M181">
        <v>-0.94</v>
      </c>
    </row>
    <row r="182" spans="1:13" x14ac:dyDescent="0.2">
      <c r="A182" s="1">
        <v>44148</v>
      </c>
      <c r="B182">
        <v>277.72000100000002</v>
      </c>
      <c r="C182">
        <v>277.76001000000002</v>
      </c>
      <c r="D182">
        <v>273.10000600000001</v>
      </c>
      <c r="E182">
        <v>276.95001200000002</v>
      </c>
      <c r="F182">
        <v>276.95001200000002</v>
      </c>
      <c r="G182">
        <v>10391200</v>
      </c>
      <c r="I182">
        <f t="shared" si="8"/>
        <v>6.7981135974097533E-3</v>
      </c>
      <c r="J182">
        <v>0</v>
      </c>
      <c r="K182">
        <f t="shared" si="6"/>
        <v>6.7981135974097533E-3</v>
      </c>
      <c r="L182">
        <f t="shared" si="7"/>
        <v>0.67981135974097529</v>
      </c>
      <c r="M182">
        <v>1.31</v>
      </c>
    </row>
    <row r="183" spans="1:13" x14ac:dyDescent="0.2">
      <c r="A183" s="1">
        <v>44151</v>
      </c>
      <c r="B183">
        <v>275.04998799999998</v>
      </c>
      <c r="C183">
        <v>279.41000400000001</v>
      </c>
      <c r="D183">
        <v>274.63000499999998</v>
      </c>
      <c r="E183">
        <v>278.959991</v>
      </c>
      <c r="F183">
        <v>278.959991</v>
      </c>
      <c r="G183">
        <v>12970400</v>
      </c>
      <c r="I183">
        <f t="shared" si="8"/>
        <v>7.2575515902125578E-3</v>
      </c>
      <c r="J183">
        <v>0</v>
      </c>
      <c r="K183">
        <f t="shared" si="6"/>
        <v>7.2575515902125578E-3</v>
      </c>
      <c r="L183">
        <f t="shared" si="7"/>
        <v>0.72575515902125576</v>
      </c>
      <c r="M183">
        <v>1.22</v>
      </c>
    </row>
    <row r="184" spans="1:13" x14ac:dyDescent="0.2">
      <c r="A184" s="1">
        <v>44152</v>
      </c>
      <c r="B184">
        <v>277.67999300000002</v>
      </c>
      <c r="C184">
        <v>277.67999300000002</v>
      </c>
      <c r="D184">
        <v>273.290009</v>
      </c>
      <c r="E184">
        <v>275</v>
      </c>
      <c r="F184">
        <v>275</v>
      </c>
      <c r="G184">
        <v>15040300</v>
      </c>
      <c r="I184">
        <f t="shared" si="8"/>
        <v>-1.4195551791511215E-2</v>
      </c>
      <c r="J184">
        <v>0</v>
      </c>
      <c r="K184">
        <f t="shared" si="6"/>
        <v>-1.4195551791511215E-2</v>
      </c>
      <c r="L184">
        <f t="shared" si="7"/>
        <v>-1.4195551791511214</v>
      </c>
      <c r="M184">
        <v>-0.19</v>
      </c>
    </row>
    <row r="185" spans="1:13" x14ac:dyDescent="0.2">
      <c r="A185" s="1">
        <v>44153</v>
      </c>
      <c r="B185">
        <v>274.51998900000001</v>
      </c>
      <c r="C185">
        <v>277.39001500000001</v>
      </c>
      <c r="D185">
        <v>271.83999599999999</v>
      </c>
      <c r="E185">
        <v>271.97000100000002</v>
      </c>
      <c r="F185">
        <v>271.97000100000002</v>
      </c>
      <c r="G185">
        <v>12152900</v>
      </c>
      <c r="I185">
        <f t="shared" si="8"/>
        <v>-1.1018178181818092E-2</v>
      </c>
      <c r="J185">
        <v>0</v>
      </c>
      <c r="K185">
        <f t="shared" si="6"/>
        <v>-1.1018178181818092E-2</v>
      </c>
      <c r="L185">
        <f t="shared" si="7"/>
        <v>-1.1018178181818092</v>
      </c>
      <c r="M185">
        <v>-0.93</v>
      </c>
    </row>
    <row r="186" spans="1:13" x14ac:dyDescent="0.2">
      <c r="A186" s="1">
        <v>44154</v>
      </c>
      <c r="B186">
        <v>271.01998900000001</v>
      </c>
      <c r="C186">
        <v>273.47000100000002</v>
      </c>
      <c r="D186">
        <v>269.19000199999999</v>
      </c>
      <c r="E186">
        <v>272.94000199999999</v>
      </c>
      <c r="F186">
        <v>272.94000199999999</v>
      </c>
      <c r="G186">
        <v>12963700</v>
      </c>
      <c r="I186">
        <f t="shared" si="8"/>
        <v>3.5665735060241731E-3</v>
      </c>
      <c r="J186">
        <v>0</v>
      </c>
      <c r="K186">
        <f t="shared" si="6"/>
        <v>3.5665735060241731E-3</v>
      </c>
      <c r="L186">
        <f t="shared" si="7"/>
        <v>0.35665735060241732</v>
      </c>
      <c r="M186">
        <v>0.59</v>
      </c>
    </row>
    <row r="187" spans="1:13" x14ac:dyDescent="0.2">
      <c r="A187" s="1">
        <v>44155</v>
      </c>
      <c r="B187">
        <v>272.55999800000001</v>
      </c>
      <c r="C187">
        <v>273</v>
      </c>
      <c r="D187">
        <v>269.41000400000001</v>
      </c>
      <c r="E187">
        <v>269.70001200000002</v>
      </c>
      <c r="F187">
        <v>269.70001200000002</v>
      </c>
      <c r="G187">
        <v>18114700</v>
      </c>
      <c r="I187">
        <f t="shared" si="8"/>
        <v>-1.1870704097085695E-2</v>
      </c>
      <c r="J187">
        <v>0</v>
      </c>
      <c r="K187">
        <f t="shared" si="6"/>
        <v>-1.1870704097085695E-2</v>
      </c>
      <c r="L187">
        <f t="shared" si="7"/>
        <v>-1.1870704097085694</v>
      </c>
      <c r="M187">
        <v>-0.51</v>
      </c>
    </row>
    <row r="188" spans="1:13" x14ac:dyDescent="0.2">
      <c r="A188" s="1">
        <v>44158</v>
      </c>
      <c r="B188">
        <v>270.89001500000001</v>
      </c>
      <c r="C188">
        <v>270.95001200000002</v>
      </c>
      <c r="D188">
        <v>264.52999899999998</v>
      </c>
      <c r="E188">
        <v>268.42999300000002</v>
      </c>
      <c r="F188">
        <v>268.42999300000002</v>
      </c>
      <c r="G188">
        <v>20990800</v>
      </c>
      <c r="I188">
        <f t="shared" si="8"/>
        <v>-4.7090060937779663E-3</v>
      </c>
      <c r="J188">
        <v>0</v>
      </c>
      <c r="K188">
        <f t="shared" si="6"/>
        <v>-4.7090060937779663E-3</v>
      </c>
      <c r="L188">
        <f t="shared" si="7"/>
        <v>-0.47090060937779665</v>
      </c>
      <c r="M188">
        <v>0.83</v>
      </c>
    </row>
    <row r="189" spans="1:13" x14ac:dyDescent="0.2">
      <c r="A189" s="1">
        <v>44159</v>
      </c>
      <c r="B189">
        <v>268.48998999999998</v>
      </c>
      <c r="C189">
        <v>277.82000699999998</v>
      </c>
      <c r="D189">
        <v>267.86999500000002</v>
      </c>
      <c r="E189">
        <v>276.92001299999998</v>
      </c>
      <c r="F189">
        <v>276.92001299999998</v>
      </c>
      <c r="G189">
        <v>16930400</v>
      </c>
      <c r="I189">
        <f t="shared" si="8"/>
        <v>3.1628432818235623E-2</v>
      </c>
      <c r="J189">
        <v>0</v>
      </c>
      <c r="K189">
        <f t="shared" si="6"/>
        <v>3.1628432818235623E-2</v>
      </c>
      <c r="L189">
        <f t="shared" si="7"/>
        <v>3.1628432818235623</v>
      </c>
      <c r="M189">
        <v>1.56</v>
      </c>
    </row>
    <row r="190" spans="1:13" x14ac:dyDescent="0.2">
      <c r="A190" s="1">
        <v>44160</v>
      </c>
      <c r="B190">
        <v>278.14001500000001</v>
      </c>
      <c r="C190">
        <v>280.17999300000002</v>
      </c>
      <c r="D190">
        <v>272.64999399999999</v>
      </c>
      <c r="E190">
        <v>275.58999599999999</v>
      </c>
      <c r="F190">
        <v>275.58999599999999</v>
      </c>
      <c r="G190">
        <v>12467000</v>
      </c>
      <c r="I190">
        <f t="shared" si="8"/>
        <v>-4.8028923066676232E-3</v>
      </c>
      <c r="J190">
        <v>0</v>
      </c>
      <c r="K190">
        <f t="shared" si="6"/>
        <v>-4.8028923066676232E-3</v>
      </c>
      <c r="L190">
        <f t="shared" si="7"/>
        <v>-0.48028923066676232</v>
      </c>
      <c r="M190">
        <v>0.03</v>
      </c>
    </row>
    <row r="191" spans="1:13" x14ac:dyDescent="0.2">
      <c r="A191" s="1">
        <v>44162</v>
      </c>
      <c r="B191">
        <v>277.39001500000001</v>
      </c>
      <c r="C191">
        <v>279.13000499999998</v>
      </c>
      <c r="D191">
        <v>274.82000699999998</v>
      </c>
      <c r="E191">
        <v>277.80999800000001</v>
      </c>
      <c r="F191">
        <v>277.80999800000001</v>
      </c>
      <c r="G191">
        <v>7808400</v>
      </c>
      <c r="I191">
        <f t="shared" si="8"/>
        <v>8.0554520563947546E-3</v>
      </c>
      <c r="J191">
        <v>0</v>
      </c>
      <c r="K191">
        <f t="shared" si="6"/>
        <v>8.0554520563947546E-3</v>
      </c>
      <c r="L191">
        <f t="shared" si="7"/>
        <v>0.8055452056394754</v>
      </c>
      <c r="M191">
        <v>0.43</v>
      </c>
    </row>
    <row r="192" spans="1:13" x14ac:dyDescent="0.2">
      <c r="A192" s="1">
        <v>44165</v>
      </c>
      <c r="B192">
        <v>276.02999899999998</v>
      </c>
      <c r="C192">
        <v>277.70001200000002</v>
      </c>
      <c r="D192">
        <v>271.01001000000002</v>
      </c>
      <c r="E192">
        <v>276.97000100000002</v>
      </c>
      <c r="F192">
        <v>276.97000100000002</v>
      </c>
      <c r="G192">
        <v>16693300</v>
      </c>
      <c r="I192">
        <f t="shared" si="8"/>
        <v>-3.0236384797064884E-3</v>
      </c>
      <c r="J192">
        <v>0</v>
      </c>
      <c r="K192">
        <f t="shared" si="6"/>
        <v>-3.0236384797064884E-3</v>
      </c>
      <c r="L192">
        <f t="shared" si="7"/>
        <v>-0.30236384797064886</v>
      </c>
      <c r="M192">
        <v>-0.53</v>
      </c>
    </row>
    <row r="193" spans="1:13" x14ac:dyDescent="0.2">
      <c r="A193" s="1">
        <v>44166</v>
      </c>
      <c r="B193">
        <v>279.16000400000001</v>
      </c>
      <c r="C193">
        <v>289.29998799999998</v>
      </c>
      <c r="D193">
        <v>278.959991</v>
      </c>
      <c r="E193">
        <v>286.54998799999998</v>
      </c>
      <c r="F193">
        <v>286.54998799999998</v>
      </c>
      <c r="G193">
        <v>20777900</v>
      </c>
      <c r="I193">
        <f t="shared" si="8"/>
        <v>3.458853653973868E-2</v>
      </c>
      <c r="J193">
        <v>0</v>
      </c>
      <c r="K193">
        <f t="shared" si="6"/>
        <v>3.458853653973868E-2</v>
      </c>
      <c r="L193">
        <f t="shared" si="7"/>
        <v>3.4588536539738679</v>
      </c>
      <c r="M193">
        <v>0.98</v>
      </c>
    </row>
    <row r="194" spans="1:13" x14ac:dyDescent="0.2">
      <c r="A194" s="1">
        <v>44167</v>
      </c>
      <c r="B194">
        <v>285.35998499999999</v>
      </c>
      <c r="C194">
        <v>291.77999899999998</v>
      </c>
      <c r="D194">
        <v>280.82998700000002</v>
      </c>
      <c r="E194">
        <v>287.51998900000001</v>
      </c>
      <c r="F194">
        <v>287.51998900000001</v>
      </c>
      <c r="G194">
        <v>17361600</v>
      </c>
      <c r="I194">
        <f t="shared" si="8"/>
        <v>3.3851022181861853E-3</v>
      </c>
      <c r="J194">
        <v>0</v>
      </c>
      <c r="K194">
        <f t="shared" si="6"/>
        <v>3.3851022181861853E-3</v>
      </c>
      <c r="L194">
        <f t="shared" si="7"/>
        <v>0.33851022181861856</v>
      </c>
      <c r="M194">
        <v>0.11</v>
      </c>
    </row>
    <row r="195" spans="1:13" x14ac:dyDescent="0.2">
      <c r="A195" s="1">
        <v>44168</v>
      </c>
      <c r="B195">
        <v>286.25</v>
      </c>
      <c r="C195">
        <v>286.64999399999999</v>
      </c>
      <c r="D195">
        <v>281.07000699999998</v>
      </c>
      <c r="E195">
        <v>281.85000600000001</v>
      </c>
      <c r="F195">
        <v>281.85000600000001</v>
      </c>
      <c r="G195">
        <v>12921700</v>
      </c>
      <c r="I195">
        <f t="shared" si="8"/>
        <v>-1.9720308906940039E-2</v>
      </c>
      <c r="J195">
        <v>0</v>
      </c>
      <c r="K195">
        <f t="shared" si="6"/>
        <v>-1.9720308906940039E-2</v>
      </c>
      <c r="L195">
        <f t="shared" si="7"/>
        <v>-1.9720308906940038</v>
      </c>
      <c r="M195">
        <v>0.18</v>
      </c>
    </row>
    <row r="196" spans="1:13" x14ac:dyDescent="0.2">
      <c r="A196" s="1">
        <v>44169</v>
      </c>
      <c r="B196">
        <v>280.29998799999998</v>
      </c>
      <c r="C196">
        <v>283.459991</v>
      </c>
      <c r="D196">
        <v>279.29998799999998</v>
      </c>
      <c r="E196">
        <v>279.70001200000002</v>
      </c>
      <c r="F196">
        <v>279.70001200000002</v>
      </c>
      <c r="G196">
        <v>10880300</v>
      </c>
      <c r="I196">
        <f t="shared" si="8"/>
        <v>-7.628149562643587E-3</v>
      </c>
      <c r="J196">
        <v>0</v>
      </c>
      <c r="K196">
        <f t="shared" ref="K196:K252" si="9">I196-J196</f>
        <v>-7.628149562643587E-3</v>
      </c>
      <c r="L196">
        <f t="shared" ref="L196:L252" si="10">100*K196</f>
        <v>-0.76281495626435869</v>
      </c>
      <c r="M196">
        <v>1.02</v>
      </c>
    </row>
    <row r="197" spans="1:13" x14ac:dyDescent="0.2">
      <c r="A197" s="1">
        <v>44172</v>
      </c>
      <c r="B197">
        <v>279.19000199999999</v>
      </c>
      <c r="C197">
        <v>288.48998999999998</v>
      </c>
      <c r="D197">
        <v>278.20001200000002</v>
      </c>
      <c r="E197">
        <v>285.57998700000002</v>
      </c>
      <c r="F197">
        <v>285.57998700000002</v>
      </c>
      <c r="G197">
        <v>13007700</v>
      </c>
      <c r="I197">
        <f t="shared" ref="I197:I252" si="11">(F197-F196)/F196</f>
        <v>2.1022433849591689E-2</v>
      </c>
      <c r="J197">
        <v>0</v>
      </c>
      <c r="K197">
        <f t="shared" si="9"/>
        <v>2.1022433849591689E-2</v>
      </c>
      <c r="L197">
        <f t="shared" si="10"/>
        <v>2.1022433849591691</v>
      </c>
      <c r="M197">
        <v>0.03</v>
      </c>
    </row>
    <row r="198" spans="1:13" x14ac:dyDescent="0.2">
      <c r="A198" s="1">
        <v>44173</v>
      </c>
      <c r="B198">
        <v>286.01001000000002</v>
      </c>
      <c r="C198">
        <v>286.42999300000002</v>
      </c>
      <c r="D198">
        <v>281.54998799999998</v>
      </c>
      <c r="E198">
        <v>283.39999399999999</v>
      </c>
      <c r="F198">
        <v>283.39999399999999</v>
      </c>
      <c r="G198">
        <v>10747700</v>
      </c>
      <c r="I198">
        <f t="shared" si="11"/>
        <v>-7.6335636222296778E-3</v>
      </c>
      <c r="J198">
        <v>0</v>
      </c>
      <c r="K198">
        <f t="shared" si="9"/>
        <v>-7.6335636222296778E-3</v>
      </c>
      <c r="L198">
        <f t="shared" si="10"/>
        <v>-0.76335636222296777</v>
      </c>
      <c r="M198">
        <v>0.47</v>
      </c>
    </row>
    <row r="199" spans="1:13" x14ac:dyDescent="0.2">
      <c r="A199" s="1">
        <v>44174</v>
      </c>
      <c r="B199">
        <v>283.66000400000001</v>
      </c>
      <c r="C199">
        <v>287.63000499999998</v>
      </c>
      <c r="D199">
        <v>271.75</v>
      </c>
      <c r="E199">
        <v>277.92001299999998</v>
      </c>
      <c r="F199">
        <v>277.92001299999998</v>
      </c>
      <c r="G199">
        <v>25189700</v>
      </c>
      <c r="I199">
        <f t="shared" si="11"/>
        <v>-1.9336560042411327E-2</v>
      </c>
      <c r="J199">
        <v>0</v>
      </c>
      <c r="K199">
        <f t="shared" si="9"/>
        <v>-1.9336560042411327E-2</v>
      </c>
      <c r="L199">
        <f t="shared" si="10"/>
        <v>-1.9336560042411328</v>
      </c>
      <c r="M199">
        <v>-1.03</v>
      </c>
    </row>
    <row r="200" spans="1:13" x14ac:dyDescent="0.2">
      <c r="A200" s="1">
        <v>44175</v>
      </c>
      <c r="B200">
        <v>275.540009</v>
      </c>
      <c r="C200">
        <v>278.73001099999999</v>
      </c>
      <c r="D200">
        <v>271.85998499999999</v>
      </c>
      <c r="E200">
        <v>277.11999500000002</v>
      </c>
      <c r="F200">
        <v>277.11999500000002</v>
      </c>
      <c r="G200">
        <v>20065100</v>
      </c>
      <c r="I200">
        <f t="shared" si="11"/>
        <v>-2.8785908267785162E-3</v>
      </c>
      <c r="J200">
        <v>0</v>
      </c>
      <c r="K200">
        <f t="shared" si="9"/>
        <v>-2.8785908267785162E-3</v>
      </c>
      <c r="L200">
        <f t="shared" si="10"/>
        <v>-0.2878590826778516</v>
      </c>
      <c r="M200">
        <v>0.24</v>
      </c>
    </row>
    <row r="201" spans="1:13" x14ac:dyDescent="0.2">
      <c r="A201" s="1">
        <v>44176</v>
      </c>
      <c r="B201">
        <v>274.52999899999998</v>
      </c>
      <c r="C201">
        <v>276.48001099999999</v>
      </c>
      <c r="D201">
        <v>270.25</v>
      </c>
      <c r="E201">
        <v>273.54998799999998</v>
      </c>
      <c r="F201">
        <v>273.54998799999998</v>
      </c>
      <c r="G201">
        <v>14391400</v>
      </c>
      <c r="I201">
        <f t="shared" si="11"/>
        <v>-1.2882531265923385E-2</v>
      </c>
      <c r="J201">
        <v>0</v>
      </c>
      <c r="K201">
        <f t="shared" si="9"/>
        <v>-1.2882531265923385E-2</v>
      </c>
      <c r="L201">
        <f t="shared" si="10"/>
        <v>-1.2882531265923385</v>
      </c>
      <c r="M201">
        <v>-0.2</v>
      </c>
    </row>
    <row r="202" spans="1:13" x14ac:dyDescent="0.2">
      <c r="A202" s="1">
        <v>44179</v>
      </c>
      <c r="B202">
        <v>273.36999500000002</v>
      </c>
      <c r="C202">
        <v>277.22000100000002</v>
      </c>
      <c r="D202">
        <v>271.55999800000001</v>
      </c>
      <c r="E202">
        <v>274.19000199999999</v>
      </c>
      <c r="F202">
        <v>274.19000199999999</v>
      </c>
      <c r="G202">
        <v>16376900</v>
      </c>
      <c r="I202">
        <f t="shared" si="11"/>
        <v>2.3396601282249293E-3</v>
      </c>
      <c r="J202">
        <v>0</v>
      </c>
      <c r="K202">
        <f t="shared" si="9"/>
        <v>2.3396601282249293E-3</v>
      </c>
      <c r="L202">
        <f t="shared" si="10"/>
        <v>0.23396601282249294</v>
      </c>
      <c r="M202">
        <v>-0.28000000000000003</v>
      </c>
    </row>
    <row r="203" spans="1:13" x14ac:dyDescent="0.2">
      <c r="A203" s="1">
        <v>44180</v>
      </c>
      <c r="B203">
        <v>274.82998700000002</v>
      </c>
      <c r="C203">
        <v>276.07998700000002</v>
      </c>
      <c r="D203">
        <v>267.47000100000002</v>
      </c>
      <c r="E203">
        <v>275.54998799999998</v>
      </c>
      <c r="F203">
        <v>275.54998799999998</v>
      </c>
      <c r="G203">
        <v>23979500</v>
      </c>
      <c r="I203">
        <f t="shared" si="11"/>
        <v>4.9600130934022608E-3</v>
      </c>
      <c r="J203">
        <v>0</v>
      </c>
      <c r="K203">
        <f t="shared" si="9"/>
        <v>4.9600130934022608E-3</v>
      </c>
      <c r="L203">
        <f t="shared" si="10"/>
        <v>0.49600130934022607</v>
      </c>
      <c r="M203">
        <v>1.28</v>
      </c>
    </row>
    <row r="204" spans="1:13" x14ac:dyDescent="0.2">
      <c r="A204" s="1">
        <v>44181</v>
      </c>
      <c r="B204">
        <v>274.76001000000002</v>
      </c>
      <c r="C204">
        <v>277.85998499999999</v>
      </c>
      <c r="D204">
        <v>272.51001000000002</v>
      </c>
      <c r="E204">
        <v>275.67001299999998</v>
      </c>
      <c r="F204">
        <v>275.67001299999998</v>
      </c>
      <c r="G204">
        <v>15885000</v>
      </c>
      <c r="I204">
        <f t="shared" si="11"/>
        <v>4.3558339766648174E-4</v>
      </c>
      <c r="J204">
        <v>0</v>
      </c>
      <c r="K204">
        <f t="shared" si="9"/>
        <v>4.3558339766648174E-4</v>
      </c>
      <c r="L204">
        <f t="shared" si="10"/>
        <v>4.3558339766648177E-2</v>
      </c>
      <c r="M204">
        <v>0.17</v>
      </c>
    </row>
    <row r="205" spans="1:13" x14ac:dyDescent="0.2">
      <c r="A205" s="1">
        <v>44182</v>
      </c>
      <c r="B205">
        <v>277.07000699999998</v>
      </c>
      <c r="C205">
        <v>280.44000199999999</v>
      </c>
      <c r="D205">
        <v>273.60998499999999</v>
      </c>
      <c r="E205">
        <v>274.48001099999999</v>
      </c>
      <c r="F205">
        <v>274.48001099999999</v>
      </c>
      <c r="G205">
        <v>16377800</v>
      </c>
      <c r="I205">
        <f t="shared" si="11"/>
        <v>-4.3167625925275835E-3</v>
      </c>
      <c r="J205">
        <v>0</v>
      </c>
      <c r="K205">
        <f t="shared" si="9"/>
        <v>-4.3167625925275835E-3</v>
      </c>
      <c r="L205">
        <f t="shared" si="10"/>
        <v>-0.43167625925275832</v>
      </c>
      <c r="M205">
        <v>0.79</v>
      </c>
    </row>
    <row r="206" spans="1:13" x14ac:dyDescent="0.2">
      <c r="A206" s="1">
        <v>44183</v>
      </c>
      <c r="B206">
        <v>275.76998900000001</v>
      </c>
      <c r="C206">
        <v>278</v>
      </c>
      <c r="D206">
        <v>271.14001500000001</v>
      </c>
      <c r="E206">
        <v>276.39999399999999</v>
      </c>
      <c r="F206">
        <v>276.39999399999999</v>
      </c>
      <c r="G206">
        <v>26693200</v>
      </c>
      <c r="I206">
        <f t="shared" si="11"/>
        <v>6.9949829607082103E-3</v>
      </c>
      <c r="J206">
        <v>0</v>
      </c>
      <c r="K206">
        <f t="shared" si="9"/>
        <v>6.9949829607082103E-3</v>
      </c>
      <c r="L206">
        <f t="shared" si="10"/>
        <v>0.69949829607082104</v>
      </c>
      <c r="M206">
        <v>-0.12</v>
      </c>
    </row>
    <row r="207" spans="1:13" x14ac:dyDescent="0.2">
      <c r="A207" s="1">
        <v>44186</v>
      </c>
      <c r="B207">
        <v>272.98001099999999</v>
      </c>
      <c r="C207">
        <v>274.67001299999998</v>
      </c>
      <c r="D207">
        <v>267.790009</v>
      </c>
      <c r="E207">
        <v>272.790009</v>
      </c>
      <c r="F207">
        <v>272.790009</v>
      </c>
      <c r="G207">
        <v>16553700</v>
      </c>
      <c r="I207">
        <f t="shared" si="11"/>
        <v>-1.3060727490464398E-2</v>
      </c>
      <c r="J207">
        <v>0</v>
      </c>
      <c r="K207">
        <f t="shared" si="9"/>
        <v>-1.3060727490464398E-2</v>
      </c>
      <c r="L207">
        <f t="shared" si="10"/>
        <v>-1.3060727490464397</v>
      </c>
      <c r="M207">
        <v>-0.23</v>
      </c>
    </row>
    <row r="208" spans="1:13" x14ac:dyDescent="0.2">
      <c r="A208" s="1">
        <v>44187</v>
      </c>
      <c r="B208">
        <v>271.5</v>
      </c>
      <c r="C208">
        <v>271.5</v>
      </c>
      <c r="D208">
        <v>264.63000499999998</v>
      </c>
      <c r="E208">
        <v>267.08999599999999</v>
      </c>
      <c r="F208">
        <v>267.08999599999999</v>
      </c>
      <c r="G208">
        <v>17312900</v>
      </c>
      <c r="I208">
        <f t="shared" si="11"/>
        <v>-2.0895241071677274E-2</v>
      </c>
      <c r="J208">
        <v>0</v>
      </c>
      <c r="K208">
        <f t="shared" si="9"/>
        <v>-2.0895241071677274E-2</v>
      </c>
      <c r="L208">
        <f t="shared" si="10"/>
        <v>-2.0895241071677275</v>
      </c>
      <c r="M208">
        <v>0.06</v>
      </c>
    </row>
    <row r="209" spans="1:13" x14ac:dyDescent="0.2">
      <c r="A209" s="1">
        <v>44188</v>
      </c>
      <c r="B209">
        <v>266.89001500000001</v>
      </c>
      <c r="C209">
        <v>272.17001299999998</v>
      </c>
      <c r="D209">
        <v>266.23001099999999</v>
      </c>
      <c r="E209">
        <v>268.10998499999999</v>
      </c>
      <c r="F209">
        <v>268.10998499999999</v>
      </c>
      <c r="G209">
        <v>14329000</v>
      </c>
      <c r="I209">
        <f t="shared" si="11"/>
        <v>3.8188963093923204E-3</v>
      </c>
      <c r="J209">
        <v>0</v>
      </c>
      <c r="K209">
        <f t="shared" si="9"/>
        <v>3.8188963093923204E-3</v>
      </c>
      <c r="L209">
        <f t="shared" si="10"/>
        <v>0.38188963093923206</v>
      </c>
      <c r="M209">
        <v>0.1</v>
      </c>
    </row>
    <row r="210" spans="1:13" x14ac:dyDescent="0.2">
      <c r="A210" s="1">
        <v>44189</v>
      </c>
      <c r="B210">
        <v>268.88000499999998</v>
      </c>
      <c r="C210">
        <v>270.39999399999999</v>
      </c>
      <c r="D210">
        <v>266.20001200000002</v>
      </c>
      <c r="E210">
        <v>267.39999399999999</v>
      </c>
      <c r="F210">
        <v>267.39999399999999</v>
      </c>
      <c r="G210">
        <v>6702000</v>
      </c>
      <c r="I210">
        <f t="shared" si="11"/>
        <v>-2.6481333770542051E-3</v>
      </c>
      <c r="J210">
        <v>0</v>
      </c>
      <c r="K210">
        <f t="shared" si="9"/>
        <v>-2.6481333770542051E-3</v>
      </c>
      <c r="L210">
        <f t="shared" si="10"/>
        <v>-0.26481333770542054</v>
      </c>
      <c r="M210">
        <v>0.21</v>
      </c>
    </row>
    <row r="211" spans="1:13" x14ac:dyDescent="0.2">
      <c r="A211" s="1">
        <v>44193</v>
      </c>
      <c r="B211">
        <v>268.73998999999998</v>
      </c>
      <c r="C211">
        <v>277.29998799999998</v>
      </c>
      <c r="D211">
        <v>265.66000400000001</v>
      </c>
      <c r="E211">
        <v>277</v>
      </c>
      <c r="F211">
        <v>277</v>
      </c>
      <c r="G211">
        <v>23299700</v>
      </c>
      <c r="I211">
        <f t="shared" si="11"/>
        <v>3.5901294747224297E-2</v>
      </c>
      <c r="J211">
        <v>0</v>
      </c>
      <c r="K211">
        <f t="shared" si="9"/>
        <v>3.5901294747224297E-2</v>
      </c>
      <c r="L211">
        <f t="shared" si="10"/>
        <v>3.5901294747224295</v>
      </c>
      <c r="M211">
        <v>0.46</v>
      </c>
    </row>
    <row r="212" spans="1:13" x14ac:dyDescent="0.2">
      <c r="A212" s="1">
        <v>44194</v>
      </c>
      <c r="B212">
        <v>276.95001200000002</v>
      </c>
      <c r="C212">
        <v>280.51001000000002</v>
      </c>
      <c r="D212">
        <v>276.27999899999998</v>
      </c>
      <c r="E212">
        <v>276.77999899999998</v>
      </c>
      <c r="F212">
        <v>276.77999899999998</v>
      </c>
      <c r="G212">
        <v>16383000</v>
      </c>
      <c r="I212">
        <f t="shared" si="11"/>
        <v>-7.9422743682319404E-4</v>
      </c>
      <c r="J212">
        <v>0</v>
      </c>
      <c r="K212">
        <f t="shared" si="9"/>
        <v>-7.9422743682319404E-4</v>
      </c>
      <c r="L212">
        <f t="shared" si="10"/>
        <v>-7.9422743682319399E-2</v>
      </c>
      <c r="M212">
        <v>-0.4</v>
      </c>
    </row>
    <row r="213" spans="1:13" x14ac:dyDescent="0.2">
      <c r="A213" s="1">
        <v>44195</v>
      </c>
      <c r="B213">
        <v>277.95001200000002</v>
      </c>
      <c r="C213">
        <v>278.07998700000002</v>
      </c>
      <c r="D213">
        <v>271.709991</v>
      </c>
      <c r="E213">
        <v>271.86999500000002</v>
      </c>
      <c r="F213">
        <v>271.86999500000002</v>
      </c>
      <c r="G213">
        <v>11803800</v>
      </c>
      <c r="I213">
        <f t="shared" si="11"/>
        <v>-1.7739735594116967E-2</v>
      </c>
      <c r="J213">
        <v>0</v>
      </c>
      <c r="K213">
        <f t="shared" si="9"/>
        <v>-1.7739735594116967E-2</v>
      </c>
      <c r="L213">
        <f t="shared" si="10"/>
        <v>-1.7739735594116968</v>
      </c>
      <c r="M213">
        <v>0.27</v>
      </c>
    </row>
    <row r="214" spans="1:13" x14ac:dyDescent="0.2">
      <c r="A214" s="1">
        <v>44196</v>
      </c>
      <c r="B214">
        <v>272</v>
      </c>
      <c r="C214">
        <v>277.08999599999999</v>
      </c>
      <c r="D214">
        <v>269.80999800000001</v>
      </c>
      <c r="E214">
        <v>273.16000400000001</v>
      </c>
      <c r="F214">
        <v>273.16000400000001</v>
      </c>
      <c r="G214">
        <v>12900400</v>
      </c>
      <c r="I214">
        <f t="shared" si="11"/>
        <v>4.7449480403308122E-3</v>
      </c>
      <c r="J214">
        <v>0</v>
      </c>
      <c r="K214">
        <f t="shared" si="9"/>
        <v>4.7449480403308122E-3</v>
      </c>
      <c r="L214">
        <f t="shared" si="10"/>
        <v>0.4744948040330812</v>
      </c>
      <c r="M214">
        <v>0.39</v>
      </c>
    </row>
    <row r="215" spans="1:13" x14ac:dyDescent="0.2">
      <c r="A215" s="1">
        <v>44200</v>
      </c>
      <c r="B215">
        <v>274.77999899999998</v>
      </c>
      <c r="C215">
        <v>275</v>
      </c>
      <c r="D215">
        <v>265.20001200000002</v>
      </c>
      <c r="E215">
        <v>268.94000199999999</v>
      </c>
      <c r="F215">
        <v>268.94000199999999</v>
      </c>
      <c r="G215">
        <v>15106100</v>
      </c>
      <c r="I215">
        <f t="shared" si="11"/>
        <v>-1.5448828299182562E-2</v>
      </c>
      <c r="J215">
        <v>0</v>
      </c>
      <c r="K215">
        <f t="shared" si="9"/>
        <v>-1.5448828299182562E-2</v>
      </c>
      <c r="L215">
        <f t="shared" si="10"/>
        <v>-1.5448828299182562</v>
      </c>
      <c r="M215">
        <v>-1.41</v>
      </c>
    </row>
    <row r="216" spans="1:13" x14ac:dyDescent="0.2">
      <c r="A216" s="1">
        <v>44201</v>
      </c>
      <c r="B216">
        <v>268.290009</v>
      </c>
      <c r="C216">
        <v>272.39999399999999</v>
      </c>
      <c r="D216">
        <v>268.209991</v>
      </c>
      <c r="E216">
        <v>270.97000100000002</v>
      </c>
      <c r="F216">
        <v>270.97000100000002</v>
      </c>
      <c r="G216">
        <v>9871600</v>
      </c>
      <c r="I216">
        <f t="shared" si="11"/>
        <v>7.5481482297305559E-3</v>
      </c>
      <c r="J216">
        <v>0</v>
      </c>
      <c r="K216">
        <f t="shared" si="9"/>
        <v>7.5481482297305559E-3</v>
      </c>
      <c r="L216">
        <f t="shared" si="10"/>
        <v>0.75481482297305558</v>
      </c>
      <c r="M216">
        <v>0.86</v>
      </c>
    </row>
    <row r="217" spans="1:13" x14ac:dyDescent="0.2">
      <c r="A217" s="1">
        <v>44202</v>
      </c>
      <c r="B217">
        <v>262</v>
      </c>
      <c r="C217">
        <v>267.75</v>
      </c>
      <c r="D217">
        <v>260.01001000000002</v>
      </c>
      <c r="E217">
        <v>263.30999800000001</v>
      </c>
      <c r="F217">
        <v>263.30999800000001</v>
      </c>
      <c r="G217">
        <v>24354100</v>
      </c>
      <c r="I217">
        <f t="shared" si="11"/>
        <v>-2.8268823012625729E-2</v>
      </c>
      <c r="J217">
        <v>0</v>
      </c>
      <c r="K217">
        <f t="shared" si="9"/>
        <v>-2.8268823012625729E-2</v>
      </c>
      <c r="L217">
        <f t="shared" si="10"/>
        <v>-2.826882301262573</v>
      </c>
      <c r="M217">
        <v>0.79</v>
      </c>
    </row>
    <row r="218" spans="1:13" x14ac:dyDescent="0.2">
      <c r="A218" s="1">
        <v>44203</v>
      </c>
      <c r="B218">
        <v>265.89999399999999</v>
      </c>
      <c r="C218">
        <v>271.60998499999999</v>
      </c>
      <c r="D218">
        <v>264.77999899999998</v>
      </c>
      <c r="E218">
        <v>268.73998999999998</v>
      </c>
      <c r="F218">
        <v>268.73998999999998</v>
      </c>
      <c r="G218">
        <v>15789800</v>
      </c>
      <c r="I218">
        <f t="shared" si="11"/>
        <v>2.0622050211705101E-2</v>
      </c>
      <c r="J218">
        <v>0</v>
      </c>
      <c r="K218">
        <f t="shared" si="9"/>
        <v>2.0622050211705101E-2</v>
      </c>
      <c r="L218">
        <f t="shared" si="10"/>
        <v>2.0622050211705103</v>
      </c>
      <c r="M218">
        <v>1.76</v>
      </c>
    </row>
    <row r="219" spans="1:13" x14ac:dyDescent="0.2">
      <c r="A219" s="1">
        <v>44204</v>
      </c>
      <c r="B219">
        <v>268.30999800000001</v>
      </c>
      <c r="C219">
        <v>268.95001200000002</v>
      </c>
      <c r="D219">
        <v>263.17999300000002</v>
      </c>
      <c r="E219">
        <v>267.57000699999998</v>
      </c>
      <c r="F219">
        <v>267.57000699999998</v>
      </c>
      <c r="G219">
        <v>18528300</v>
      </c>
      <c r="I219">
        <f t="shared" si="11"/>
        <v>-4.3535872722180353E-3</v>
      </c>
      <c r="J219">
        <v>0</v>
      </c>
      <c r="K219">
        <f t="shared" si="9"/>
        <v>-4.3535872722180353E-3</v>
      </c>
      <c r="L219">
        <f t="shared" si="10"/>
        <v>-0.43535872722180352</v>
      </c>
      <c r="M219">
        <v>0.51</v>
      </c>
    </row>
    <row r="220" spans="1:13" x14ac:dyDescent="0.2">
      <c r="A220" s="1">
        <v>44207</v>
      </c>
      <c r="B220">
        <v>260.48001099999999</v>
      </c>
      <c r="C220">
        <v>263.47000100000002</v>
      </c>
      <c r="D220">
        <v>255.89999399999999</v>
      </c>
      <c r="E220">
        <v>256.83999599999999</v>
      </c>
      <c r="F220">
        <v>256.83999599999999</v>
      </c>
      <c r="G220">
        <v>30412300</v>
      </c>
      <c r="I220">
        <f t="shared" si="11"/>
        <v>-4.0101695703136084E-2</v>
      </c>
      <c r="J220">
        <v>0</v>
      </c>
      <c r="K220">
        <f t="shared" si="9"/>
        <v>-4.0101695703136084E-2</v>
      </c>
      <c r="L220">
        <f t="shared" si="10"/>
        <v>-4.0101695703136082</v>
      </c>
      <c r="M220">
        <v>-0.51</v>
      </c>
    </row>
    <row r="221" spans="1:13" x14ac:dyDescent="0.2">
      <c r="A221" s="1">
        <v>44208</v>
      </c>
      <c r="B221">
        <v>256.63000499999998</v>
      </c>
      <c r="C221">
        <v>259.72000100000002</v>
      </c>
      <c r="D221">
        <v>250.300003</v>
      </c>
      <c r="E221">
        <v>251.08999600000001</v>
      </c>
      <c r="F221">
        <v>251.08999600000001</v>
      </c>
      <c r="G221">
        <v>26449900</v>
      </c>
      <c r="I221">
        <f t="shared" si="11"/>
        <v>-2.2387478934550255E-2</v>
      </c>
      <c r="J221">
        <v>0</v>
      </c>
      <c r="K221">
        <f t="shared" si="9"/>
        <v>-2.2387478934550255E-2</v>
      </c>
      <c r="L221">
        <f t="shared" si="10"/>
        <v>-2.2387478934550256</v>
      </c>
      <c r="M221">
        <v>0.38</v>
      </c>
    </row>
    <row r="222" spans="1:13" x14ac:dyDescent="0.2">
      <c r="A222" s="1">
        <v>44209</v>
      </c>
      <c r="B222">
        <v>251.550003</v>
      </c>
      <c r="C222">
        <v>253.949997</v>
      </c>
      <c r="D222">
        <v>249.199997</v>
      </c>
      <c r="E222">
        <v>251.63999899999999</v>
      </c>
      <c r="F222">
        <v>251.63999899999999</v>
      </c>
      <c r="G222">
        <v>19528900</v>
      </c>
      <c r="I222">
        <f t="shared" si="11"/>
        <v>2.1904616223737379E-3</v>
      </c>
      <c r="J222">
        <v>0</v>
      </c>
      <c r="K222">
        <f t="shared" si="9"/>
        <v>2.1904616223737379E-3</v>
      </c>
      <c r="L222">
        <f t="shared" si="10"/>
        <v>0.2190461622373738</v>
      </c>
      <c r="M222">
        <v>7.0000000000000007E-2</v>
      </c>
    </row>
    <row r="223" spans="1:13" x14ac:dyDescent="0.2">
      <c r="A223" s="1">
        <v>44210</v>
      </c>
      <c r="B223">
        <v>253.39999399999999</v>
      </c>
      <c r="C223">
        <v>255.029999</v>
      </c>
      <c r="D223">
        <v>244.61000100000001</v>
      </c>
      <c r="E223">
        <v>245.63999899999999</v>
      </c>
      <c r="F223">
        <v>245.63999899999999</v>
      </c>
      <c r="G223">
        <v>29739400</v>
      </c>
      <c r="I223">
        <f t="shared" si="11"/>
        <v>-2.3843586170098501E-2</v>
      </c>
      <c r="J223">
        <v>0</v>
      </c>
      <c r="K223">
        <f t="shared" si="9"/>
        <v>-2.3843586170098501E-2</v>
      </c>
      <c r="L223">
        <f t="shared" si="10"/>
        <v>-2.3843586170098501</v>
      </c>
      <c r="M223">
        <v>-0.11</v>
      </c>
    </row>
    <row r="224" spans="1:13" x14ac:dyDescent="0.2">
      <c r="A224" s="1">
        <v>44211</v>
      </c>
      <c r="B224">
        <v>247.89999399999999</v>
      </c>
      <c r="C224">
        <v>253.86000100000001</v>
      </c>
      <c r="D224">
        <v>247.16000399999999</v>
      </c>
      <c r="E224">
        <v>251.36000100000001</v>
      </c>
      <c r="F224">
        <v>251.36000100000001</v>
      </c>
      <c r="G224">
        <v>24942900</v>
      </c>
      <c r="I224">
        <f t="shared" si="11"/>
        <v>2.3286117990905963E-2</v>
      </c>
      <c r="J224">
        <v>0</v>
      </c>
      <c r="K224">
        <f t="shared" si="9"/>
        <v>2.3286117990905963E-2</v>
      </c>
      <c r="L224">
        <f t="shared" si="10"/>
        <v>2.3286117990905963</v>
      </c>
      <c r="M224">
        <v>-0.86</v>
      </c>
    </row>
    <row r="225" spans="1:13" x14ac:dyDescent="0.2">
      <c r="A225" s="1">
        <v>44215</v>
      </c>
      <c r="B225">
        <v>256.89999399999999</v>
      </c>
      <c r="C225">
        <v>262.20001200000002</v>
      </c>
      <c r="D225">
        <v>252.720001</v>
      </c>
      <c r="E225">
        <v>261.10000600000001</v>
      </c>
      <c r="F225">
        <v>261.10000600000001</v>
      </c>
      <c r="G225">
        <v>28028500</v>
      </c>
      <c r="I225">
        <f t="shared" si="11"/>
        <v>3.8749224066083596E-2</v>
      </c>
      <c r="J225">
        <v>0</v>
      </c>
      <c r="K225">
        <f t="shared" si="9"/>
        <v>3.8749224066083596E-2</v>
      </c>
      <c r="L225">
        <f t="shared" si="10"/>
        <v>3.8749224066083596</v>
      </c>
      <c r="M225">
        <v>0.91</v>
      </c>
    </row>
    <row r="226" spans="1:13" x14ac:dyDescent="0.2">
      <c r="A226" s="1">
        <v>44216</v>
      </c>
      <c r="B226">
        <v>268.92999300000002</v>
      </c>
      <c r="C226">
        <v>270.32000699999998</v>
      </c>
      <c r="D226">
        <v>263.60000600000001</v>
      </c>
      <c r="E226">
        <v>267.48001099999999</v>
      </c>
      <c r="F226">
        <v>267.48001099999999</v>
      </c>
      <c r="G226">
        <v>25199900</v>
      </c>
      <c r="I226">
        <f t="shared" si="11"/>
        <v>2.4435100932169197E-2</v>
      </c>
      <c r="J226">
        <v>0</v>
      </c>
      <c r="K226">
        <f t="shared" si="9"/>
        <v>2.4435100932169197E-2</v>
      </c>
      <c r="L226">
        <f t="shared" si="10"/>
        <v>2.4435100932169198</v>
      </c>
      <c r="M226">
        <v>1.26</v>
      </c>
    </row>
    <row r="227" spans="1:13" x14ac:dyDescent="0.2">
      <c r="A227" s="1">
        <v>44217</v>
      </c>
      <c r="B227">
        <v>269.26001000000002</v>
      </c>
      <c r="C227">
        <v>273.60000600000001</v>
      </c>
      <c r="D227">
        <v>267.48998999999998</v>
      </c>
      <c r="E227">
        <v>272.86999500000002</v>
      </c>
      <c r="F227">
        <v>272.86999500000002</v>
      </c>
      <c r="G227">
        <v>20838700</v>
      </c>
      <c r="I227">
        <f t="shared" si="11"/>
        <v>2.015097868378668E-2</v>
      </c>
      <c r="J227">
        <v>0</v>
      </c>
      <c r="K227">
        <f t="shared" si="9"/>
        <v>2.015097868378668E-2</v>
      </c>
      <c r="L227">
        <f t="shared" si="10"/>
        <v>2.015097868378668</v>
      </c>
      <c r="M227">
        <v>-0.04</v>
      </c>
    </row>
    <row r="228" spans="1:13" x14ac:dyDescent="0.2">
      <c r="A228" s="1">
        <v>44218</v>
      </c>
      <c r="B228">
        <v>272.01001000000002</v>
      </c>
      <c r="C228">
        <v>278.47000100000002</v>
      </c>
      <c r="D228">
        <v>272</v>
      </c>
      <c r="E228">
        <v>274.5</v>
      </c>
      <c r="F228">
        <v>274.5</v>
      </c>
      <c r="G228">
        <v>21954000</v>
      </c>
      <c r="I228">
        <f t="shared" si="11"/>
        <v>5.9735589469995876E-3</v>
      </c>
      <c r="J228">
        <v>0</v>
      </c>
      <c r="K228">
        <f t="shared" si="9"/>
        <v>5.9735589469995876E-3</v>
      </c>
      <c r="L228">
        <f t="shared" si="10"/>
        <v>0.59735589469995876</v>
      </c>
      <c r="M228">
        <v>-7.0000000000000007E-2</v>
      </c>
    </row>
    <row r="229" spans="1:13" x14ac:dyDescent="0.2">
      <c r="A229" s="1">
        <v>44221</v>
      </c>
      <c r="B229">
        <v>278.14001500000001</v>
      </c>
      <c r="C229">
        <v>280.10000600000001</v>
      </c>
      <c r="D229">
        <v>271.51001000000002</v>
      </c>
      <c r="E229">
        <v>278.01001000000002</v>
      </c>
      <c r="F229">
        <v>278.01001000000002</v>
      </c>
      <c r="G229">
        <v>19087000</v>
      </c>
      <c r="I229">
        <f t="shared" si="11"/>
        <v>1.2786921675774218E-2</v>
      </c>
      <c r="J229">
        <v>0</v>
      </c>
      <c r="K229">
        <f t="shared" si="9"/>
        <v>1.2786921675774218E-2</v>
      </c>
      <c r="L229">
        <f t="shared" si="10"/>
        <v>1.2786921675774217</v>
      </c>
      <c r="M229">
        <v>0.28000000000000003</v>
      </c>
    </row>
    <row r="230" spans="1:13" x14ac:dyDescent="0.2">
      <c r="A230" s="1">
        <v>44222</v>
      </c>
      <c r="B230">
        <v>278.14001500000001</v>
      </c>
      <c r="C230">
        <v>285.39001500000001</v>
      </c>
      <c r="D230">
        <v>277.80999800000001</v>
      </c>
      <c r="E230">
        <v>282.04998799999998</v>
      </c>
      <c r="F230">
        <v>282.04998799999998</v>
      </c>
      <c r="G230">
        <v>19373600</v>
      </c>
      <c r="I230">
        <f t="shared" si="11"/>
        <v>1.4531771715701755E-2</v>
      </c>
      <c r="J230">
        <v>0</v>
      </c>
      <c r="K230">
        <f t="shared" si="9"/>
        <v>1.4531771715701755E-2</v>
      </c>
      <c r="L230">
        <f t="shared" si="10"/>
        <v>1.4531771715701756</v>
      </c>
      <c r="M230">
        <v>-0.32</v>
      </c>
    </row>
    <row r="231" spans="1:13" x14ac:dyDescent="0.2">
      <c r="A231" s="1">
        <v>44223</v>
      </c>
      <c r="B231">
        <v>282.52999899999998</v>
      </c>
      <c r="C231">
        <v>283.45001200000002</v>
      </c>
      <c r="D231">
        <v>268.11999500000002</v>
      </c>
      <c r="E231">
        <v>272.14001500000001</v>
      </c>
      <c r="F231">
        <v>272.14001500000001</v>
      </c>
      <c r="G231">
        <v>35346200</v>
      </c>
      <c r="I231">
        <f t="shared" si="11"/>
        <v>-3.5135520019947596E-2</v>
      </c>
      <c r="J231">
        <v>0</v>
      </c>
      <c r="K231">
        <f t="shared" si="9"/>
        <v>-3.5135520019947596E-2</v>
      </c>
      <c r="L231">
        <f t="shared" si="10"/>
        <v>-3.5135520019947597</v>
      </c>
      <c r="M231">
        <v>-2.5299999999999998</v>
      </c>
    </row>
    <row r="232" spans="1:13" x14ac:dyDescent="0.2">
      <c r="A232" s="1">
        <v>44224</v>
      </c>
      <c r="B232">
        <v>277.17999300000002</v>
      </c>
      <c r="C232">
        <v>286.790009</v>
      </c>
      <c r="D232">
        <v>264.70001200000002</v>
      </c>
      <c r="E232">
        <v>265</v>
      </c>
      <c r="F232">
        <v>265</v>
      </c>
      <c r="G232">
        <v>37758800</v>
      </c>
      <c r="I232">
        <f t="shared" si="11"/>
        <v>-2.6236549593781733E-2</v>
      </c>
      <c r="J232">
        <v>0</v>
      </c>
      <c r="K232">
        <f t="shared" si="9"/>
        <v>-2.6236549593781733E-2</v>
      </c>
      <c r="L232">
        <f t="shared" si="10"/>
        <v>-2.6236549593781735</v>
      </c>
      <c r="M232">
        <v>0.92</v>
      </c>
    </row>
    <row r="233" spans="1:13" x14ac:dyDescent="0.2">
      <c r="A233" s="1">
        <v>44225</v>
      </c>
      <c r="B233">
        <v>265.29998799999998</v>
      </c>
      <c r="C233">
        <v>266.55999800000001</v>
      </c>
      <c r="D233">
        <v>254.85000600000001</v>
      </c>
      <c r="E233">
        <v>258.32998700000002</v>
      </c>
      <c r="F233">
        <v>258.32998700000002</v>
      </c>
      <c r="G233">
        <v>30389500</v>
      </c>
      <c r="I233">
        <f t="shared" si="11"/>
        <v>-2.5169860377358428E-2</v>
      </c>
      <c r="J233">
        <v>0</v>
      </c>
      <c r="K233">
        <f t="shared" si="9"/>
        <v>-2.5169860377358428E-2</v>
      </c>
      <c r="L233">
        <f t="shared" si="10"/>
        <v>-2.5169860377358426</v>
      </c>
      <c r="M233">
        <v>-1.84</v>
      </c>
    </row>
    <row r="234" spans="1:13" x14ac:dyDescent="0.2">
      <c r="A234" s="1">
        <v>44228</v>
      </c>
      <c r="B234">
        <v>259.51998900000001</v>
      </c>
      <c r="C234">
        <v>264.17001299999998</v>
      </c>
      <c r="D234">
        <v>254.91000399999999</v>
      </c>
      <c r="E234">
        <v>262.01001000000002</v>
      </c>
      <c r="F234">
        <v>262.01001000000002</v>
      </c>
      <c r="G234">
        <v>22914300</v>
      </c>
      <c r="I234">
        <f t="shared" si="11"/>
        <v>1.424543485151031E-2</v>
      </c>
      <c r="J234">
        <v>0</v>
      </c>
      <c r="K234">
        <f t="shared" si="9"/>
        <v>1.424543485151031E-2</v>
      </c>
      <c r="L234">
        <f t="shared" si="10"/>
        <v>1.424543485151031</v>
      </c>
      <c r="M234">
        <v>1.73</v>
      </c>
    </row>
    <row r="235" spans="1:13" x14ac:dyDescent="0.2">
      <c r="A235" s="1">
        <v>44229</v>
      </c>
      <c r="B235">
        <v>264</v>
      </c>
      <c r="C235">
        <v>268.85000600000001</v>
      </c>
      <c r="D235">
        <v>263.26998900000001</v>
      </c>
      <c r="E235">
        <v>267.07998700000002</v>
      </c>
      <c r="F235">
        <v>267.07998700000002</v>
      </c>
      <c r="G235">
        <v>17320800</v>
      </c>
      <c r="I235">
        <f t="shared" si="11"/>
        <v>1.9350317951592741E-2</v>
      </c>
      <c r="J235">
        <v>0</v>
      </c>
      <c r="K235">
        <f t="shared" si="9"/>
        <v>1.9350317951592741E-2</v>
      </c>
      <c r="L235">
        <f t="shared" si="10"/>
        <v>1.9350317951592741</v>
      </c>
      <c r="M235">
        <v>1.48</v>
      </c>
    </row>
    <row r="236" spans="1:13" x14ac:dyDescent="0.2">
      <c r="A236" s="1">
        <v>44230</v>
      </c>
      <c r="B236">
        <v>265.61999500000002</v>
      </c>
      <c r="C236">
        <v>269.20001200000002</v>
      </c>
      <c r="D236">
        <v>263.83999599999999</v>
      </c>
      <c r="E236">
        <v>266.64999399999999</v>
      </c>
      <c r="F236">
        <v>266.64999399999999</v>
      </c>
      <c r="G236">
        <v>14223400</v>
      </c>
      <c r="I236">
        <f t="shared" si="11"/>
        <v>-1.6099783620253975E-3</v>
      </c>
      <c r="J236">
        <v>0</v>
      </c>
      <c r="K236">
        <f t="shared" si="9"/>
        <v>-1.6099783620253975E-3</v>
      </c>
      <c r="L236">
        <f t="shared" si="10"/>
        <v>-0.16099783620253974</v>
      </c>
      <c r="M236">
        <v>0.16</v>
      </c>
    </row>
    <row r="237" spans="1:13" x14ac:dyDescent="0.2">
      <c r="A237" s="1">
        <v>44231</v>
      </c>
      <c r="B237">
        <v>267.01001000000002</v>
      </c>
      <c r="C237">
        <v>268.16000400000001</v>
      </c>
      <c r="D237">
        <v>264</v>
      </c>
      <c r="E237">
        <v>266.48998999999998</v>
      </c>
      <c r="F237">
        <v>266.48998999999998</v>
      </c>
      <c r="G237">
        <v>16060000</v>
      </c>
      <c r="I237">
        <f t="shared" si="11"/>
        <v>-6.0005251678353654E-4</v>
      </c>
      <c r="J237">
        <v>0</v>
      </c>
      <c r="K237">
        <f t="shared" si="9"/>
        <v>-6.0005251678353654E-4</v>
      </c>
      <c r="L237">
        <f t="shared" si="10"/>
        <v>-6.0005251678353654E-2</v>
      </c>
      <c r="M237">
        <v>1.23</v>
      </c>
    </row>
    <row r="238" spans="1:13" x14ac:dyDescent="0.2">
      <c r="A238" s="1">
        <v>44232</v>
      </c>
      <c r="B238">
        <v>266.79998799999998</v>
      </c>
      <c r="C238">
        <v>269.17001299999998</v>
      </c>
      <c r="D238">
        <v>265.67001299999998</v>
      </c>
      <c r="E238">
        <v>268.10000600000001</v>
      </c>
      <c r="F238">
        <v>268.10000600000001</v>
      </c>
      <c r="G238">
        <v>12441700</v>
      </c>
      <c r="I238">
        <f t="shared" si="11"/>
        <v>6.0415627618884684E-3</v>
      </c>
      <c r="J238">
        <v>0</v>
      </c>
      <c r="K238">
        <f t="shared" si="9"/>
        <v>6.0415627618884684E-3</v>
      </c>
      <c r="L238">
        <f t="shared" si="10"/>
        <v>0.60415627618884682</v>
      </c>
      <c r="M238">
        <v>0.57999999999999996</v>
      </c>
    </row>
    <row r="239" spans="1:13" x14ac:dyDescent="0.2">
      <c r="A239" s="1">
        <v>44235</v>
      </c>
      <c r="B239">
        <v>268.75</v>
      </c>
      <c r="C239">
        <v>269.85998499999999</v>
      </c>
      <c r="D239">
        <v>265</v>
      </c>
      <c r="E239">
        <v>266.57998700000002</v>
      </c>
      <c r="F239">
        <v>266.57998700000002</v>
      </c>
      <c r="G239">
        <v>13755200</v>
      </c>
      <c r="I239">
        <f t="shared" si="11"/>
        <v>-5.6695970383528844E-3</v>
      </c>
      <c r="J239">
        <v>0</v>
      </c>
      <c r="K239">
        <f t="shared" si="9"/>
        <v>-5.6695970383528844E-3</v>
      </c>
      <c r="L239">
        <f t="shared" si="10"/>
        <v>-0.56695970383528849</v>
      </c>
      <c r="M239">
        <v>0.96</v>
      </c>
    </row>
    <row r="240" spans="1:13" x14ac:dyDescent="0.2">
      <c r="A240" s="1">
        <v>44236</v>
      </c>
      <c r="B240">
        <v>266.44000199999999</v>
      </c>
      <c r="C240">
        <v>273.39001500000001</v>
      </c>
      <c r="D240">
        <v>265.75</v>
      </c>
      <c r="E240">
        <v>269.45001200000002</v>
      </c>
      <c r="F240">
        <v>269.45001200000002</v>
      </c>
      <c r="G240">
        <v>14613400</v>
      </c>
      <c r="I240">
        <f t="shared" si="11"/>
        <v>1.0766093255154964E-2</v>
      </c>
      <c r="J240">
        <v>0</v>
      </c>
      <c r="K240">
        <f t="shared" si="9"/>
        <v>1.0766093255154964E-2</v>
      </c>
      <c r="L240">
        <f t="shared" si="10"/>
        <v>1.0766093255154965</v>
      </c>
      <c r="M240">
        <v>0.05</v>
      </c>
    </row>
    <row r="241" spans="1:13" x14ac:dyDescent="0.2">
      <c r="A241" s="1">
        <v>44237</v>
      </c>
      <c r="B241">
        <v>272.45001200000002</v>
      </c>
      <c r="C241">
        <v>273.79998799999998</v>
      </c>
      <c r="D241">
        <v>267.72000100000002</v>
      </c>
      <c r="E241">
        <v>271.86999500000002</v>
      </c>
      <c r="F241">
        <v>271.86999500000002</v>
      </c>
      <c r="G241">
        <v>14687200</v>
      </c>
      <c r="I241">
        <f t="shared" si="11"/>
        <v>8.9811946269276917E-3</v>
      </c>
      <c r="J241">
        <v>0</v>
      </c>
      <c r="K241">
        <f t="shared" si="9"/>
        <v>8.9811946269276917E-3</v>
      </c>
      <c r="L241">
        <f t="shared" si="10"/>
        <v>0.89811946269276921</v>
      </c>
      <c r="M241">
        <v>-7.0000000000000007E-2</v>
      </c>
    </row>
    <row r="242" spans="1:13" x14ac:dyDescent="0.2">
      <c r="A242" s="1">
        <v>44238</v>
      </c>
      <c r="B242">
        <v>271.89001500000001</v>
      </c>
      <c r="C242">
        <v>273.57998700000002</v>
      </c>
      <c r="D242">
        <v>268.48998999999998</v>
      </c>
      <c r="E242">
        <v>270.39001500000001</v>
      </c>
      <c r="F242">
        <v>270.39001500000001</v>
      </c>
      <c r="G242">
        <v>12801300</v>
      </c>
      <c r="I242">
        <f t="shared" si="11"/>
        <v>-5.4437048119267877E-3</v>
      </c>
      <c r="J242">
        <v>0</v>
      </c>
      <c r="K242">
        <f t="shared" si="9"/>
        <v>-5.4437048119267877E-3</v>
      </c>
      <c r="L242">
        <f t="shared" si="10"/>
        <v>-0.54437048119267872</v>
      </c>
      <c r="M242">
        <v>0.19</v>
      </c>
    </row>
    <row r="243" spans="1:13" x14ac:dyDescent="0.2">
      <c r="A243" s="1">
        <v>44239</v>
      </c>
      <c r="B243">
        <v>270.51998900000001</v>
      </c>
      <c r="C243">
        <v>271.17999300000002</v>
      </c>
      <c r="D243">
        <v>268.33999599999999</v>
      </c>
      <c r="E243">
        <v>270.5</v>
      </c>
      <c r="F243">
        <v>270.5</v>
      </c>
      <c r="G243">
        <v>9069100</v>
      </c>
      <c r="I243">
        <f t="shared" si="11"/>
        <v>4.0676428084814698E-4</v>
      </c>
      <c r="J243">
        <v>0</v>
      </c>
      <c r="K243">
        <f t="shared" si="9"/>
        <v>4.0676428084814698E-4</v>
      </c>
      <c r="L243">
        <f t="shared" si="10"/>
        <v>4.0676428084814698E-2</v>
      </c>
      <c r="M243">
        <v>0.49</v>
      </c>
    </row>
    <row r="244" spans="1:13" x14ac:dyDescent="0.2">
      <c r="A244" s="1">
        <v>44243</v>
      </c>
      <c r="B244">
        <v>270.79998799999998</v>
      </c>
      <c r="C244">
        <v>276.60000600000001</v>
      </c>
      <c r="D244">
        <v>270.04998799999998</v>
      </c>
      <c r="E244">
        <v>273.97000100000002</v>
      </c>
      <c r="F244">
        <v>273.97000100000002</v>
      </c>
      <c r="G244">
        <v>15417200</v>
      </c>
      <c r="I244">
        <f t="shared" si="11"/>
        <v>1.2828099815157208E-2</v>
      </c>
      <c r="J244">
        <v>0</v>
      </c>
      <c r="K244">
        <f t="shared" si="9"/>
        <v>1.2828099815157208E-2</v>
      </c>
      <c r="L244">
        <f t="shared" si="10"/>
        <v>1.2828099815157208</v>
      </c>
      <c r="M244">
        <v>-0.14000000000000001</v>
      </c>
    </row>
    <row r="245" spans="1:13" x14ac:dyDescent="0.2">
      <c r="A245" s="1">
        <v>44244</v>
      </c>
      <c r="B245">
        <v>271.23998999999998</v>
      </c>
      <c r="C245">
        <v>273.97000100000002</v>
      </c>
      <c r="D245">
        <v>269.57998700000002</v>
      </c>
      <c r="E245">
        <v>273.57000699999998</v>
      </c>
      <c r="F245">
        <v>273.57000699999998</v>
      </c>
      <c r="G245">
        <v>12763200</v>
      </c>
      <c r="I245">
        <f t="shared" si="11"/>
        <v>-1.4599919645948726E-3</v>
      </c>
      <c r="J245">
        <v>0</v>
      </c>
      <c r="K245">
        <f t="shared" si="9"/>
        <v>-1.4599919645948726E-3</v>
      </c>
      <c r="L245">
        <f t="shared" si="10"/>
        <v>-0.14599919645948725</v>
      </c>
      <c r="M245">
        <v>-0.2</v>
      </c>
    </row>
    <row r="246" spans="1:13" x14ac:dyDescent="0.2">
      <c r="A246" s="1">
        <v>44245</v>
      </c>
      <c r="B246">
        <v>269.57000699999998</v>
      </c>
      <c r="C246">
        <v>271.95001200000002</v>
      </c>
      <c r="D246">
        <v>266.02999899999998</v>
      </c>
      <c r="E246">
        <v>269.39001500000001</v>
      </c>
      <c r="F246">
        <v>269.39001500000001</v>
      </c>
      <c r="G246">
        <v>15249100</v>
      </c>
      <c r="I246">
        <f t="shared" si="11"/>
        <v>-1.5279423522476901E-2</v>
      </c>
      <c r="J246">
        <v>0</v>
      </c>
      <c r="K246">
        <f t="shared" si="9"/>
        <v>-1.5279423522476901E-2</v>
      </c>
      <c r="L246">
        <f t="shared" si="10"/>
        <v>-1.52794235224769</v>
      </c>
      <c r="M246">
        <v>-0.63</v>
      </c>
    </row>
    <row r="247" spans="1:13" x14ac:dyDescent="0.2">
      <c r="A247" s="1">
        <v>44246</v>
      </c>
      <c r="B247">
        <v>269.85998499999999</v>
      </c>
      <c r="C247">
        <v>270.26998900000001</v>
      </c>
      <c r="D247">
        <v>260.14999399999999</v>
      </c>
      <c r="E247">
        <v>261.55999800000001</v>
      </c>
      <c r="F247">
        <v>261.55999800000001</v>
      </c>
      <c r="G247">
        <v>25622600</v>
      </c>
      <c r="I247">
        <f t="shared" si="11"/>
        <v>-2.9065728364134052E-2</v>
      </c>
      <c r="J247">
        <v>0</v>
      </c>
      <c r="K247">
        <f t="shared" si="9"/>
        <v>-2.9065728364134052E-2</v>
      </c>
      <c r="L247">
        <f t="shared" si="10"/>
        <v>-2.9065728364134054</v>
      </c>
      <c r="M247">
        <v>0.16</v>
      </c>
    </row>
    <row r="248" spans="1:13" x14ac:dyDescent="0.2">
      <c r="A248" s="1">
        <v>44249</v>
      </c>
      <c r="B248">
        <v>257.95001200000002</v>
      </c>
      <c r="C248">
        <v>263.07000699999998</v>
      </c>
      <c r="D248">
        <v>257.52999899999998</v>
      </c>
      <c r="E248">
        <v>260.32998700000002</v>
      </c>
      <c r="F248">
        <v>260.32998700000002</v>
      </c>
      <c r="G248">
        <v>17434900</v>
      </c>
      <c r="I248">
        <f t="shared" si="11"/>
        <v>-4.7025959986434565E-3</v>
      </c>
      <c r="J248">
        <v>0</v>
      </c>
      <c r="K248">
        <f t="shared" si="9"/>
        <v>-4.7025959986434565E-3</v>
      </c>
      <c r="L248">
        <f t="shared" si="10"/>
        <v>-0.47025959986434562</v>
      </c>
      <c r="M248">
        <v>-1.1200000000000001</v>
      </c>
    </row>
    <row r="249" spans="1:13" x14ac:dyDescent="0.2">
      <c r="A249" s="1">
        <v>44250</v>
      </c>
      <c r="B249">
        <v>259.5</v>
      </c>
      <c r="C249">
        <v>267.459991</v>
      </c>
      <c r="D249">
        <v>254.96000699999999</v>
      </c>
      <c r="E249">
        <v>265.85998499999999</v>
      </c>
      <c r="F249">
        <v>265.85998499999999</v>
      </c>
      <c r="G249">
        <v>21924600</v>
      </c>
      <c r="I249">
        <f t="shared" si="11"/>
        <v>2.1242262805475334E-2</v>
      </c>
      <c r="J249">
        <v>0</v>
      </c>
      <c r="K249">
        <f t="shared" si="9"/>
        <v>2.1242262805475334E-2</v>
      </c>
      <c r="L249">
        <f t="shared" si="10"/>
        <v>2.1242262805475334</v>
      </c>
      <c r="M249">
        <v>-0.15</v>
      </c>
    </row>
    <row r="250" spans="1:13" x14ac:dyDescent="0.2">
      <c r="A250" s="1">
        <v>44251</v>
      </c>
      <c r="B250">
        <v>262.32998700000002</v>
      </c>
      <c r="C250">
        <v>266.38000499999998</v>
      </c>
      <c r="D250">
        <v>258.39001500000001</v>
      </c>
      <c r="E250">
        <v>264.30999800000001</v>
      </c>
      <c r="F250">
        <v>264.30999800000001</v>
      </c>
      <c r="G250">
        <v>15736100</v>
      </c>
      <c r="I250">
        <f t="shared" si="11"/>
        <v>-5.830087592910935E-3</v>
      </c>
      <c r="J250">
        <v>0</v>
      </c>
      <c r="K250">
        <f t="shared" si="9"/>
        <v>-5.830087592910935E-3</v>
      </c>
      <c r="L250">
        <f t="shared" si="10"/>
        <v>-0.58300875929109353</v>
      </c>
      <c r="M250">
        <v>1.1499999999999999</v>
      </c>
    </row>
    <row r="251" spans="1:13" x14ac:dyDescent="0.2">
      <c r="A251" s="1">
        <v>44252</v>
      </c>
      <c r="B251">
        <v>262.29998799999998</v>
      </c>
      <c r="C251">
        <v>266.94000199999999</v>
      </c>
      <c r="D251">
        <v>254.03999300000001</v>
      </c>
      <c r="E251">
        <v>254.69000199999999</v>
      </c>
      <c r="F251">
        <v>254.69000199999999</v>
      </c>
      <c r="G251">
        <v>19053100</v>
      </c>
      <c r="I251">
        <f t="shared" si="11"/>
        <v>-3.639664058413717E-2</v>
      </c>
      <c r="J251">
        <v>0</v>
      </c>
      <c r="K251">
        <f t="shared" si="9"/>
        <v>-3.639664058413717E-2</v>
      </c>
      <c r="L251">
        <f t="shared" si="10"/>
        <v>-3.6396640584137172</v>
      </c>
      <c r="M251">
        <v>-2.73</v>
      </c>
    </row>
    <row r="252" spans="1:13" x14ac:dyDescent="0.2">
      <c r="A252" s="1">
        <v>44253</v>
      </c>
      <c r="B252">
        <v>256.47000100000002</v>
      </c>
      <c r="C252">
        <v>265.54998799999998</v>
      </c>
      <c r="D252">
        <v>256.47000100000002</v>
      </c>
      <c r="E252">
        <v>257.61999500000002</v>
      </c>
      <c r="F252">
        <v>257.61999500000002</v>
      </c>
      <c r="G252">
        <v>26593900</v>
      </c>
      <c r="I252">
        <f t="shared" si="11"/>
        <v>1.1504153979314919E-2</v>
      </c>
      <c r="J252">
        <v>0</v>
      </c>
      <c r="K252">
        <f t="shared" si="9"/>
        <v>1.1504153979314919E-2</v>
      </c>
      <c r="L252">
        <f t="shared" si="10"/>
        <v>1.1504153979314919</v>
      </c>
      <c r="M252">
        <v>-0.28000000000000003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Sheet2</vt:lpstr>
      <vt:lpstr>Sheet1</vt:lpstr>
      <vt:lpstr>FB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2021-04-29T13:07:34Z</dcterms:created>
  <dcterms:modified xsi:type="dcterms:W3CDTF">2021-04-29T16:02:17Z</dcterms:modified>
</cp:coreProperties>
</file>