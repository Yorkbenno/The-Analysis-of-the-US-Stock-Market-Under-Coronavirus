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65459C5C-95B9-0A4C-9DF6-08FFE1708FA8}" xr6:coauthVersionLast="46" xr6:coauthVersionMax="46" xr10:uidLastSave="{00000000-0000-0000-0000-000000000000}"/>
  <bookViews>
    <workbookView xWindow="1580" yWindow="1960" windowWidth="26840" windowHeight="14780" activeTab="1" xr2:uid="{00000000-000D-0000-FFFF-FFFF00000000}"/>
  </bookViews>
  <sheets>
    <sheet name="Sheet2" sheetId="2" r:id="rId1"/>
    <sheet name="Sheet1" sheetId="3" r:id="rId2"/>
    <sheet name="BAC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<sst xmlns="http://schemas.openxmlformats.org/spreadsheetml/2006/main" count="64" uniqueCount="37">
  <si>
    <t>Open</t>
  </si>
  <si>
    <t>High</t>
  </si>
  <si>
    <t>Low</t>
  </si>
  <si>
    <t>Close</t>
  </si>
  <si>
    <t>Adj Close</t>
  </si>
  <si>
    <t>Volume</t>
  </si>
  <si>
    <t>c</t>
  </si>
  <si>
    <t>Mkt-RF</t>
  </si>
  <si>
    <t>BAC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</si>
  <si>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</si>
  <si>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</si>
  <si>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</si>
  <si>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</si>
  <si>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</si>
  <si>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</si>
  <si>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</si>
  <si>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</si>
  <si>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</si>
  <si>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</si>
  <si>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</si>
  <si>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</si>
  <si>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</si>
  <si>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</si>
  <si>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</si>
  <si>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</si>
  <si>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</si>
  <si>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</si>
  <si>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</si>
  <si>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</si>
  <si>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</si>
  <si>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</si>
  <si>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</si>
  <si>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</si>
  <si>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</si>
  <si>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Daily Return</t>
  </si>
  <si>
    <t>RF rate</t>
  </si>
  <si>
    <t>Excess Return for BAC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</si>
</sst>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L14" sqref="L14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0.80274904248832579</v>
      </c>
    </row>
    <row r="5" spans="1:9" x14ac:dyDescent="0.2">
      <c r="A5" s="2" t="s">
        <v>12</v>
      </c>
      <c r="B5" s="2">
        <v>0.64440602521592394</v>
      </c>
    </row>
    <row r="6" spans="1:9" x14ac:dyDescent="0.2">
      <c r="A6" s="2" t="s">
        <v>13</v>
      </c>
      <c r="B6" s="2">
        <v>0.64297217854340749</v>
      </c>
    </row>
    <row r="7" spans="1:9" x14ac:dyDescent="0.2">
      <c r="A7" s="2" t="s">
        <v>14</v>
      </c>
      <c r="B7" s="2">
        <v>2.2355659204747296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2246.1142369554191</v>
      </c>
      <c r="D12" s="2">
        <v>2246.1142369554191</v>
      </c>
      <c r="E12" s="2">
        <v>449.42464042196053</v>
      </c>
      <c r="F12" s="2">
        <v>1.3094472879614787E-57</v>
      </c>
    </row>
    <row r="13" spans="1:9" x14ac:dyDescent="0.2">
      <c r="A13" s="2" t="s">
        <v>18</v>
      </c>
      <c r="B13" s="2">
        <v>248</v>
      </c>
      <c r="C13" s="2">
        <v>1239.4432362274301</v>
      </c>
      <c r="D13" s="2">
        <v>4.9977549847880249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3485.5574731828492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-9.4569083402117032E-2</v>
      </c>
      <c r="C17" s="2">
        <v>0.14167397485986957</v>
      </c>
      <c r="D17" s="2">
        <v>-0.66751203596606767</v>
      </c>
      <c r="E17" s="2">
        <v>0.50506578036162253</v>
      </c>
      <c r="F17" s="2">
        <v>-0.37360669503855259</v>
      </c>
      <c r="G17" s="2">
        <v>0.18446852823431856</v>
      </c>
      <c r="H17" s="2">
        <v>-0.37360669503855259</v>
      </c>
      <c r="I17" s="2">
        <v>0.18446852823431856</v>
      </c>
    </row>
    <row r="18" spans="1:9" ht="17" thickBot="1" x14ac:dyDescent="0.25">
      <c r="A18" s="3" t="s">
        <v>33</v>
      </c>
      <c r="B18" s="3">
        <v>1.3977167424318717</v>
      </c>
      <c r="C18" s="3">
        <v>6.5931161626230111E-2</v>
      </c>
      <c r="D18" s="3">
        <v>21.199637742705914</v>
      </c>
      <c r="E18" s="3">
        <v>1.3094472879613296E-57</v>
      </c>
      <c r="F18" s="3">
        <v>1.2678603316775614</v>
      </c>
      <c r="G18" s="3">
        <v>1.527573153186182</v>
      </c>
      <c r="H18" s="3">
        <v>1.2678603316775614</v>
      </c>
      <c r="I18" s="3">
        <v>1.527573153186182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3DFF-D723-CB4C-AA84-80EAD14616B5}">
  <dimension ref="A1:I18"/>
  <sheetViews>
    <sheetView tabSelected="1" workbookViewId="0">
      <selection activeCell="L12" sqref="L12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0.64012267359656239</v>
      </c>
    </row>
    <row r="5" spans="1:9" x14ac:dyDescent="0.2">
      <c r="A5" s="2" t="s">
        <v>12</v>
      </c>
      <c r="B5" s="2">
        <v>0.40975703725241108</v>
      </c>
    </row>
    <row r="6" spans="1:9" x14ac:dyDescent="0.2">
      <c r="A6" s="2" t="s">
        <v>13</v>
      </c>
      <c r="B6" s="2">
        <v>0.40715684798920582</v>
      </c>
    </row>
    <row r="7" spans="1:9" x14ac:dyDescent="0.2">
      <c r="A7" s="2" t="s">
        <v>14</v>
      </c>
      <c r="B7" s="2">
        <v>2.1923087104260448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21</v>
      </c>
      <c r="C11" s="4" t="s">
        <v>22</v>
      </c>
      <c r="D11" s="4" t="s">
        <v>23</v>
      </c>
      <c r="E11" s="4" t="s">
        <v>24</v>
      </c>
      <c r="F11" s="4" t="s">
        <v>25</v>
      </c>
    </row>
    <row r="12" spans="1:9" x14ac:dyDescent="0.2">
      <c r="A12" s="2" t="s">
        <v>17</v>
      </c>
      <c r="B12" s="2">
        <v>1</v>
      </c>
      <c r="C12" s="2">
        <v>757.39926458642753</v>
      </c>
      <c r="D12" s="2">
        <v>757.39926458642753</v>
      </c>
      <c r="E12" s="2">
        <v>157.58738913770688</v>
      </c>
      <c r="F12" s="2">
        <v>8.4429243369871908E-28</v>
      </c>
    </row>
    <row r="13" spans="1:9" x14ac:dyDescent="0.2">
      <c r="A13" s="2" t="s">
        <v>18</v>
      </c>
      <c r="B13" s="2">
        <v>227</v>
      </c>
      <c r="C13" s="2">
        <v>1091.0113683708491</v>
      </c>
      <c r="D13" s="2">
        <v>4.8062174818099077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1848.4106329572767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26</v>
      </c>
      <c r="C16" s="4" t="s">
        <v>14</v>
      </c>
      <c r="D16" s="4" t="s">
        <v>27</v>
      </c>
      <c r="E16" s="4" t="s">
        <v>28</v>
      </c>
      <c r="F16" s="4" t="s">
        <v>29</v>
      </c>
      <c r="G16" s="4" t="s">
        <v>30</v>
      </c>
      <c r="H16" s="4" t="s">
        <v>31</v>
      </c>
      <c r="I16" s="4" t="s">
        <v>32</v>
      </c>
    </row>
    <row r="17" spans="1:9" x14ac:dyDescent="0.2">
      <c r="A17" s="2" t="s">
        <v>20</v>
      </c>
      <c r="B17" s="2">
        <v>-1.7198291124981724E-2</v>
      </c>
      <c r="C17" s="2">
        <v>0.14658951088491445</v>
      </c>
      <c r="D17" s="2">
        <v>-0.11732279493369674</v>
      </c>
      <c r="E17" s="2">
        <v>0.90670800101502391</v>
      </c>
      <c r="F17" s="2">
        <v>-0.3060484531981974</v>
      </c>
      <c r="G17" s="2">
        <v>0.27165187094823395</v>
      </c>
      <c r="H17" s="2">
        <v>-0.3060484531981974</v>
      </c>
      <c r="I17" s="2">
        <v>0.27165187094823395</v>
      </c>
    </row>
    <row r="18" spans="1:9" ht="17" thickBot="1" x14ac:dyDescent="0.25">
      <c r="A18" s="3" t="s">
        <v>33</v>
      </c>
      <c r="B18" s="3">
        <v>1.3124183780373879</v>
      </c>
      <c r="C18" s="3">
        <v>0.10454699950669187</v>
      </c>
      <c r="D18" s="3">
        <v>12.553381581777316</v>
      </c>
      <c r="E18" s="3">
        <v>8.4429243369895459E-28</v>
      </c>
      <c r="F18" s="3">
        <v>1.1064117028702627</v>
      </c>
      <c r="G18" s="3">
        <v>1.5184250532045132</v>
      </c>
      <c r="H18" s="3">
        <v>1.1064117028702627</v>
      </c>
      <c r="I18" s="3">
        <v>1.5184250532045132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8" sqref="O8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  <col min="12" max="12" width="12.83203125" bestFit="1" customWidth="1"/>
  </cols>
  <sheetData>
    <row r="1" spans="1:13" x14ac:dyDescent="0.2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28.35</v>
      </c>
      <c r="C2">
        <v>29.379999000000002</v>
      </c>
      <c r="D2">
        <v>27.440000999999999</v>
      </c>
      <c r="E2">
        <v>29.370000999999998</v>
      </c>
      <c r="F2">
        <v>28.461542000000001</v>
      </c>
      <c r="G2">
        <v>147776300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29.370000999999998</v>
      </c>
      <c r="C3">
        <v>29.75</v>
      </c>
      <c r="D3">
        <v>27.620000999999998</v>
      </c>
      <c r="E3">
        <v>27.75</v>
      </c>
      <c r="F3">
        <v>26.891646999999999</v>
      </c>
      <c r="G3">
        <v>138698500</v>
      </c>
      <c r="I3">
        <f>(F3-F2)/F2</f>
        <v>-5.5158466115434027E-2</v>
      </c>
      <c r="J3">
        <v>6.0000000000000001E-3</v>
      </c>
      <c r="K3">
        <f>I3-J3</f>
        <v>-6.1158466115434025E-2</v>
      </c>
      <c r="L3">
        <f>100*K3</f>
        <v>-6.1158466115434029</v>
      </c>
      <c r="M3">
        <v>-2.79</v>
      </c>
    </row>
    <row r="4" spans="1:13" x14ac:dyDescent="0.2">
      <c r="A4" s="1">
        <v>43894</v>
      </c>
      <c r="B4">
        <v>28.25</v>
      </c>
      <c r="C4">
        <v>28.42</v>
      </c>
      <c r="D4">
        <v>27.4</v>
      </c>
      <c r="E4">
        <v>28.389999</v>
      </c>
      <c r="F4">
        <v>27.511854</v>
      </c>
      <c r="G4">
        <v>111239800</v>
      </c>
      <c r="I4">
        <f>(F4-F3)/F3</f>
        <v>2.3063183894984216E-2</v>
      </c>
      <c r="J4">
        <v>6.0000000000000001E-3</v>
      </c>
      <c r="K4">
        <f t="shared" ref="K4:K67" si="0">I4-J4</f>
        <v>1.7063183894984214E-2</v>
      </c>
      <c r="L4">
        <f t="shared" ref="L4:L67" si="1">100*K4</f>
        <v>1.7063183894984215</v>
      </c>
      <c r="M4">
        <v>4.03</v>
      </c>
    </row>
    <row r="5" spans="1:13" x14ac:dyDescent="0.2">
      <c r="A5" s="1">
        <v>43895</v>
      </c>
      <c r="B5">
        <v>27.24</v>
      </c>
      <c r="C5">
        <v>27.35</v>
      </c>
      <c r="D5">
        <v>26.4</v>
      </c>
      <c r="E5">
        <v>26.780000999999999</v>
      </c>
      <c r="F5">
        <v>26.117242999999998</v>
      </c>
      <c r="G5">
        <v>110878700</v>
      </c>
      <c r="I5">
        <f t="shared" ref="I5:I68" si="2">(F5-F4)/F4</f>
        <v>-5.0691276567547981E-2</v>
      </c>
      <c r="J5">
        <v>6.0000000000000001E-3</v>
      </c>
      <c r="K5">
        <f t="shared" si="0"/>
        <v>-5.669127656754798E-2</v>
      </c>
      <c r="L5">
        <f t="shared" si="1"/>
        <v>-5.6691276567547977</v>
      </c>
      <c r="M5">
        <v>-3.38</v>
      </c>
    </row>
    <row r="6" spans="1:13" x14ac:dyDescent="0.2">
      <c r="A6" s="1">
        <v>43896</v>
      </c>
      <c r="B6">
        <v>25.469999000000001</v>
      </c>
      <c r="C6">
        <v>26.209999</v>
      </c>
      <c r="D6">
        <v>25.1</v>
      </c>
      <c r="E6">
        <v>25.709999</v>
      </c>
      <c r="F6">
        <v>25.073723000000001</v>
      </c>
      <c r="G6">
        <v>119121200</v>
      </c>
      <c r="I6">
        <f t="shared" si="2"/>
        <v>-3.9955212730531986E-2</v>
      </c>
      <c r="J6">
        <v>6.0000000000000001E-3</v>
      </c>
      <c r="K6">
        <f t="shared" si="0"/>
        <v>-4.5955212730531984E-2</v>
      </c>
      <c r="L6">
        <f t="shared" si="1"/>
        <v>-4.5955212730531985</v>
      </c>
      <c r="M6">
        <v>-1.78</v>
      </c>
    </row>
    <row r="7" spans="1:13" x14ac:dyDescent="0.2">
      <c r="A7" s="1">
        <v>43899</v>
      </c>
      <c r="B7">
        <v>22.23</v>
      </c>
      <c r="C7">
        <v>23.49</v>
      </c>
      <c r="D7">
        <v>21.51</v>
      </c>
      <c r="E7">
        <v>21.93</v>
      </c>
      <c r="F7">
        <v>21.387271999999999</v>
      </c>
      <c r="G7">
        <v>145196000</v>
      </c>
      <c r="I7">
        <f t="shared" si="2"/>
        <v>-0.14702447658052223</v>
      </c>
      <c r="J7">
        <v>6.0000000000000001E-3</v>
      </c>
      <c r="K7">
        <f t="shared" si="0"/>
        <v>-0.15302447658052223</v>
      </c>
      <c r="L7">
        <f t="shared" si="1"/>
        <v>-15.302447658052223</v>
      </c>
      <c r="M7">
        <v>-7.79</v>
      </c>
    </row>
    <row r="8" spans="1:13" x14ac:dyDescent="0.2">
      <c r="A8" s="1">
        <v>43900</v>
      </c>
      <c r="B8">
        <v>23.25</v>
      </c>
      <c r="C8">
        <v>23.68</v>
      </c>
      <c r="D8">
        <v>21.59</v>
      </c>
      <c r="E8">
        <v>23.610001</v>
      </c>
      <c r="F8">
        <v>23.025696</v>
      </c>
      <c r="G8">
        <v>134863600</v>
      </c>
      <c r="I8">
        <f t="shared" si="2"/>
        <v>7.6607432682391688E-2</v>
      </c>
      <c r="J8">
        <v>6.0000000000000001E-3</v>
      </c>
      <c r="K8">
        <f t="shared" si="0"/>
        <v>7.0607432682391683E-2</v>
      </c>
      <c r="L8">
        <f t="shared" si="1"/>
        <v>7.0607432682391682</v>
      </c>
      <c r="M8">
        <v>4.74</v>
      </c>
    </row>
    <row r="9" spans="1:13" x14ac:dyDescent="0.2">
      <c r="A9" s="1">
        <v>43901</v>
      </c>
      <c r="B9">
        <v>22.84</v>
      </c>
      <c r="C9">
        <v>23.959999</v>
      </c>
      <c r="D9">
        <v>22.26</v>
      </c>
      <c r="E9">
        <v>22.67</v>
      </c>
      <c r="F9">
        <v>22.108957</v>
      </c>
      <c r="G9">
        <v>127347000</v>
      </c>
      <c r="I9">
        <f t="shared" si="2"/>
        <v>-3.9813736792147336E-2</v>
      </c>
      <c r="J9">
        <v>6.0000000000000001E-3</v>
      </c>
      <c r="K9">
        <f t="shared" si="0"/>
        <v>-4.5813736792147335E-2</v>
      </c>
      <c r="L9">
        <f t="shared" si="1"/>
        <v>-4.5813736792147335</v>
      </c>
      <c r="M9">
        <v>-5.05</v>
      </c>
    </row>
    <row r="10" spans="1:13" x14ac:dyDescent="0.2">
      <c r="A10" s="1">
        <v>43902</v>
      </c>
      <c r="B10">
        <v>20.59</v>
      </c>
      <c r="C10">
        <v>22.870000999999998</v>
      </c>
      <c r="D10">
        <v>20.149999999999999</v>
      </c>
      <c r="E10">
        <v>20.51</v>
      </c>
      <c r="F10">
        <v>20.002413000000001</v>
      </c>
      <c r="G10">
        <v>139552600</v>
      </c>
      <c r="I10">
        <f t="shared" si="2"/>
        <v>-9.5280116560903322E-2</v>
      </c>
      <c r="J10">
        <v>6.0000000000000001E-3</v>
      </c>
      <c r="K10">
        <f t="shared" si="0"/>
        <v>-0.10128011656090333</v>
      </c>
      <c r="L10">
        <f t="shared" si="1"/>
        <v>-10.128011656090333</v>
      </c>
      <c r="M10">
        <v>-9.6300000000000008</v>
      </c>
    </row>
    <row r="11" spans="1:13" x14ac:dyDescent="0.2">
      <c r="A11" s="1">
        <v>43903</v>
      </c>
      <c r="B11">
        <v>22.190000999999999</v>
      </c>
      <c r="C11">
        <v>24.25</v>
      </c>
      <c r="D11">
        <v>21.48</v>
      </c>
      <c r="E11">
        <v>24.16</v>
      </c>
      <c r="F11">
        <v>23.562083999999999</v>
      </c>
      <c r="G11">
        <v>128357400</v>
      </c>
      <c r="I11">
        <f t="shared" si="2"/>
        <v>0.17796207887518362</v>
      </c>
      <c r="J11">
        <v>6.0000000000000001E-3</v>
      </c>
      <c r="K11">
        <f t="shared" si="0"/>
        <v>0.17196207887518361</v>
      </c>
      <c r="L11">
        <f t="shared" si="1"/>
        <v>17.196207887518362</v>
      </c>
      <c r="M11">
        <v>8.9600000000000009</v>
      </c>
    </row>
    <row r="12" spans="1:13" x14ac:dyDescent="0.2">
      <c r="A12" s="1">
        <v>43906</v>
      </c>
      <c r="B12">
        <v>19.850000000000001</v>
      </c>
      <c r="C12">
        <v>21.73</v>
      </c>
      <c r="D12">
        <v>19.579999999999998</v>
      </c>
      <c r="E12">
        <v>20.440000999999999</v>
      </c>
      <c r="F12">
        <v>19.934145000000001</v>
      </c>
      <c r="G12">
        <v>121688800</v>
      </c>
      <c r="I12">
        <f t="shared" si="2"/>
        <v>-0.15397360437217683</v>
      </c>
      <c r="J12">
        <v>6.0000000000000001E-3</v>
      </c>
      <c r="K12">
        <f t="shared" si="0"/>
        <v>-0.15997360437217684</v>
      </c>
      <c r="L12">
        <f t="shared" si="1"/>
        <v>-15.997360437217683</v>
      </c>
      <c r="M12">
        <v>-12</v>
      </c>
    </row>
    <row r="13" spans="1:13" x14ac:dyDescent="0.2">
      <c r="A13" s="1">
        <v>43907</v>
      </c>
      <c r="B13">
        <v>21.059999000000001</v>
      </c>
      <c r="C13">
        <v>22.690000999999999</v>
      </c>
      <c r="D13">
        <v>20.030000999999999</v>
      </c>
      <c r="E13">
        <v>21.98</v>
      </c>
      <c r="F13">
        <v>21.436035</v>
      </c>
      <c r="G13">
        <v>120065700</v>
      </c>
      <c r="I13">
        <f t="shared" si="2"/>
        <v>7.534258429443548E-2</v>
      </c>
      <c r="J13">
        <v>6.0000000000000001E-3</v>
      </c>
      <c r="K13">
        <f t="shared" si="0"/>
        <v>6.9342584294435475E-2</v>
      </c>
      <c r="L13">
        <f t="shared" si="1"/>
        <v>6.9342584294435472</v>
      </c>
      <c r="M13">
        <v>5.87</v>
      </c>
    </row>
    <row r="14" spans="1:13" x14ac:dyDescent="0.2">
      <c r="A14" s="1">
        <v>43908</v>
      </c>
      <c r="B14">
        <v>20.27</v>
      </c>
      <c r="C14">
        <v>20.969999000000001</v>
      </c>
      <c r="D14">
        <v>19.700001</v>
      </c>
      <c r="E14">
        <v>20.790001</v>
      </c>
      <c r="F14">
        <v>20.275487999999999</v>
      </c>
      <c r="G14">
        <v>148272500</v>
      </c>
      <c r="I14">
        <f t="shared" si="2"/>
        <v>-5.4140003036942282E-2</v>
      </c>
      <c r="J14">
        <v>6.0000000000000001E-3</v>
      </c>
      <c r="K14">
        <f t="shared" si="0"/>
        <v>-6.014000303694228E-2</v>
      </c>
      <c r="L14">
        <f t="shared" si="1"/>
        <v>-6.0140003036942282</v>
      </c>
      <c r="M14">
        <v>-5.56</v>
      </c>
    </row>
    <row r="15" spans="1:13" x14ac:dyDescent="0.2">
      <c r="A15" s="1">
        <v>43909</v>
      </c>
      <c r="B15">
        <v>20.260000000000002</v>
      </c>
      <c r="C15">
        <v>21.75</v>
      </c>
      <c r="D15">
        <v>19</v>
      </c>
      <c r="E15">
        <v>21.200001</v>
      </c>
      <c r="F15">
        <v>20.675339000000001</v>
      </c>
      <c r="G15">
        <v>122461300</v>
      </c>
      <c r="I15">
        <f t="shared" si="2"/>
        <v>1.9720906347605628E-2</v>
      </c>
      <c r="J15">
        <v>6.0000000000000001E-3</v>
      </c>
      <c r="K15">
        <f t="shared" si="0"/>
        <v>1.3720906347605628E-2</v>
      </c>
      <c r="L15">
        <f t="shared" si="1"/>
        <v>1.3720906347605628</v>
      </c>
      <c r="M15">
        <v>1.31</v>
      </c>
    </row>
    <row r="16" spans="1:13" x14ac:dyDescent="0.2">
      <c r="A16" s="1">
        <v>43910</v>
      </c>
      <c r="B16">
        <v>21.76</v>
      </c>
      <c r="C16">
        <v>21.84</v>
      </c>
      <c r="D16">
        <v>19.559999000000001</v>
      </c>
      <c r="E16">
        <v>19.670000000000002</v>
      </c>
      <c r="F16">
        <v>19.183202999999999</v>
      </c>
      <c r="G16">
        <v>150910400</v>
      </c>
      <c r="I16">
        <f t="shared" si="2"/>
        <v>-7.2169844470264893E-2</v>
      </c>
      <c r="J16">
        <v>6.0000000000000001E-3</v>
      </c>
      <c r="K16">
        <f t="shared" si="0"/>
        <v>-7.8169844470264899E-2</v>
      </c>
      <c r="L16">
        <f t="shared" si="1"/>
        <v>-7.8169844470264902</v>
      </c>
      <c r="M16">
        <v>-4.1500000000000004</v>
      </c>
    </row>
    <row r="17" spans="1:13" x14ac:dyDescent="0.2">
      <c r="A17" s="1">
        <v>43913</v>
      </c>
      <c r="B17">
        <v>19.260000000000002</v>
      </c>
      <c r="C17">
        <v>19.670000000000002</v>
      </c>
      <c r="D17">
        <v>17.950001</v>
      </c>
      <c r="E17">
        <v>18.079999999999998</v>
      </c>
      <c r="F17">
        <v>17.632553000000001</v>
      </c>
      <c r="G17">
        <v>181898500</v>
      </c>
      <c r="I17">
        <f t="shared" si="2"/>
        <v>-8.0833737723569804E-2</v>
      </c>
      <c r="J17">
        <v>6.0000000000000001E-3</v>
      </c>
      <c r="K17">
        <f t="shared" si="0"/>
        <v>-8.6833737723569809E-2</v>
      </c>
      <c r="L17">
        <f t="shared" si="1"/>
        <v>-8.6833737723569815</v>
      </c>
      <c r="M17">
        <v>-2.5499999999999998</v>
      </c>
    </row>
    <row r="18" spans="1:13" x14ac:dyDescent="0.2">
      <c r="A18" s="1">
        <v>43914</v>
      </c>
      <c r="B18">
        <v>19.420000000000002</v>
      </c>
      <c r="C18">
        <v>21.15</v>
      </c>
      <c r="D18">
        <v>19.010000000000002</v>
      </c>
      <c r="E18">
        <v>21.030000999999999</v>
      </c>
      <c r="F18">
        <v>20.509544000000002</v>
      </c>
      <c r="G18">
        <v>147882400</v>
      </c>
      <c r="I18">
        <f t="shared" si="2"/>
        <v>0.16316360994349485</v>
      </c>
      <c r="J18">
        <v>6.0000000000000001E-3</v>
      </c>
      <c r="K18">
        <f t="shared" si="0"/>
        <v>0.15716360994349485</v>
      </c>
      <c r="L18">
        <f t="shared" si="1"/>
        <v>15.716360994349484</v>
      </c>
      <c r="M18">
        <v>9.34</v>
      </c>
    </row>
    <row r="19" spans="1:13" x14ac:dyDescent="0.2">
      <c r="A19" s="1">
        <v>43915</v>
      </c>
      <c r="B19">
        <v>21.709999</v>
      </c>
      <c r="C19">
        <v>22.1</v>
      </c>
      <c r="D19">
        <v>20.41</v>
      </c>
      <c r="E19">
        <v>21.1</v>
      </c>
      <c r="F19">
        <v>20.577814</v>
      </c>
      <c r="G19">
        <v>146991300</v>
      </c>
      <c r="I19">
        <f t="shared" si="2"/>
        <v>3.3286941923232555E-3</v>
      </c>
      <c r="J19">
        <v>6.0000000000000001E-3</v>
      </c>
      <c r="K19">
        <f t="shared" si="0"/>
        <v>-2.6713058076767446E-3</v>
      </c>
      <c r="L19">
        <f t="shared" si="1"/>
        <v>-0.26713058076767449</v>
      </c>
      <c r="M19">
        <v>1.18</v>
      </c>
    </row>
    <row r="20" spans="1:13" x14ac:dyDescent="0.2">
      <c r="A20" s="1">
        <v>43916</v>
      </c>
      <c r="B20">
        <v>21.309999000000001</v>
      </c>
      <c r="C20">
        <v>22.950001</v>
      </c>
      <c r="D20">
        <v>21.17</v>
      </c>
      <c r="E20">
        <v>22.719999000000001</v>
      </c>
      <c r="F20">
        <v>22.157719</v>
      </c>
      <c r="G20">
        <v>116111400</v>
      </c>
      <c r="I20">
        <f t="shared" si="2"/>
        <v>7.6777105673129328E-2</v>
      </c>
      <c r="J20">
        <v>6.0000000000000001E-3</v>
      </c>
      <c r="K20">
        <f t="shared" si="0"/>
        <v>7.0777105673129323E-2</v>
      </c>
      <c r="L20">
        <f t="shared" si="1"/>
        <v>7.0777105673129324</v>
      </c>
      <c r="M20">
        <v>6.02</v>
      </c>
    </row>
    <row r="21" spans="1:13" x14ac:dyDescent="0.2">
      <c r="A21" s="1">
        <v>43917</v>
      </c>
      <c r="B21">
        <v>21.68</v>
      </c>
      <c r="C21">
        <v>22.200001</v>
      </c>
      <c r="D21">
        <v>21.1</v>
      </c>
      <c r="E21">
        <v>21.6</v>
      </c>
      <c r="F21">
        <v>21.065436999999999</v>
      </c>
      <c r="G21">
        <v>91522800</v>
      </c>
      <c r="I21">
        <f t="shared" si="2"/>
        <v>-4.9295778143950683E-2</v>
      </c>
      <c r="J21">
        <v>6.0000000000000001E-3</v>
      </c>
      <c r="K21">
        <f t="shared" si="0"/>
        <v>-5.5295778143950682E-2</v>
      </c>
      <c r="L21">
        <f t="shared" si="1"/>
        <v>-5.5295778143950685</v>
      </c>
      <c r="M21">
        <v>-3.48</v>
      </c>
    </row>
    <row r="22" spans="1:13" x14ac:dyDescent="0.2">
      <c r="A22" s="1">
        <v>43920</v>
      </c>
      <c r="B22">
        <v>21.65</v>
      </c>
      <c r="C22">
        <v>22.35</v>
      </c>
      <c r="D22">
        <v>21.27</v>
      </c>
      <c r="E22">
        <v>22.040001</v>
      </c>
      <c r="F22">
        <v>21.494551000000001</v>
      </c>
      <c r="G22">
        <v>80449100</v>
      </c>
      <c r="I22">
        <f t="shared" si="2"/>
        <v>2.0370524475708814E-2</v>
      </c>
      <c r="J22">
        <v>6.0000000000000001E-3</v>
      </c>
      <c r="K22">
        <f t="shared" si="0"/>
        <v>1.4370524475708813E-2</v>
      </c>
      <c r="L22">
        <f t="shared" si="1"/>
        <v>1.4370524475708812</v>
      </c>
      <c r="M22">
        <v>3.16</v>
      </c>
    </row>
    <row r="23" spans="1:13" x14ac:dyDescent="0.2">
      <c r="A23" s="1">
        <v>43921</v>
      </c>
      <c r="B23">
        <v>21.82</v>
      </c>
      <c r="C23">
        <v>22.49</v>
      </c>
      <c r="D23">
        <v>20.959999</v>
      </c>
      <c r="E23">
        <v>21.23</v>
      </c>
      <c r="F23">
        <v>20.704594</v>
      </c>
      <c r="G23">
        <v>95213700</v>
      </c>
      <c r="I23">
        <f t="shared" si="2"/>
        <v>-3.675150041515178E-2</v>
      </c>
      <c r="J23">
        <v>6.0000000000000001E-3</v>
      </c>
      <c r="K23">
        <f t="shared" si="0"/>
        <v>-4.2751500415151779E-2</v>
      </c>
      <c r="L23">
        <f t="shared" si="1"/>
        <v>-4.275150041515178</v>
      </c>
      <c r="M23">
        <v>-1.44</v>
      </c>
    </row>
    <row r="24" spans="1:13" x14ac:dyDescent="0.2">
      <c r="A24" s="1">
        <v>43922</v>
      </c>
      <c r="B24">
        <v>19.93</v>
      </c>
      <c r="C24">
        <v>20.350000000000001</v>
      </c>
      <c r="D24">
        <v>19.510000000000002</v>
      </c>
      <c r="E24">
        <v>19.77</v>
      </c>
      <c r="F24">
        <v>19.280726999999999</v>
      </c>
      <c r="G24">
        <v>83961300</v>
      </c>
      <c r="I24">
        <f t="shared" si="2"/>
        <v>-6.877058299235432E-2</v>
      </c>
      <c r="J24">
        <v>0</v>
      </c>
      <c r="K24">
        <f t="shared" si="0"/>
        <v>-6.877058299235432E-2</v>
      </c>
      <c r="L24">
        <f t="shared" si="1"/>
        <v>-6.8770582992354319</v>
      </c>
      <c r="M24">
        <v>-4.51</v>
      </c>
    </row>
    <row r="25" spans="1:13" x14ac:dyDescent="0.2">
      <c r="A25" s="1">
        <v>43923</v>
      </c>
      <c r="B25">
        <v>19.649999999999999</v>
      </c>
      <c r="C25">
        <v>20.790001</v>
      </c>
      <c r="D25">
        <v>19.59</v>
      </c>
      <c r="E25">
        <v>20.57</v>
      </c>
      <c r="F25">
        <v>20.060928000000001</v>
      </c>
      <c r="G25">
        <v>70007400</v>
      </c>
      <c r="I25">
        <f t="shared" si="2"/>
        <v>4.0465331001263684E-2</v>
      </c>
      <c r="J25">
        <v>0</v>
      </c>
      <c r="K25">
        <f t="shared" si="0"/>
        <v>4.0465331001263684E-2</v>
      </c>
      <c r="L25">
        <f t="shared" si="1"/>
        <v>4.0465331001263687</v>
      </c>
      <c r="M25">
        <v>2.1</v>
      </c>
    </row>
    <row r="26" spans="1:13" x14ac:dyDescent="0.2">
      <c r="A26" s="1">
        <v>43924</v>
      </c>
      <c r="B26">
        <v>20.399999999999999</v>
      </c>
      <c r="C26">
        <v>20.74</v>
      </c>
      <c r="D26">
        <v>19.68</v>
      </c>
      <c r="E26">
        <v>20.030000999999999</v>
      </c>
      <c r="F26">
        <v>19.534293999999999</v>
      </c>
      <c r="G26">
        <v>68293500</v>
      </c>
      <c r="I26">
        <f t="shared" si="2"/>
        <v>-2.6251726739660367E-2</v>
      </c>
      <c r="J26">
        <v>0</v>
      </c>
      <c r="K26">
        <f t="shared" si="0"/>
        <v>-2.6251726739660367E-2</v>
      </c>
      <c r="L26">
        <f t="shared" si="1"/>
        <v>-2.6251726739660368</v>
      </c>
      <c r="M26">
        <v>-1.64</v>
      </c>
    </row>
    <row r="27" spans="1:13" x14ac:dyDescent="0.2">
      <c r="A27" s="1">
        <v>43927</v>
      </c>
      <c r="B27">
        <v>21.030000999999999</v>
      </c>
      <c r="C27">
        <v>21.6</v>
      </c>
      <c r="D27">
        <v>20.809999000000001</v>
      </c>
      <c r="E27">
        <v>21.389999</v>
      </c>
      <c r="F27">
        <v>20.860636</v>
      </c>
      <c r="G27">
        <v>97766200</v>
      </c>
      <c r="I27">
        <f t="shared" si="2"/>
        <v>6.7898128286591794E-2</v>
      </c>
      <c r="J27">
        <v>0</v>
      </c>
      <c r="K27">
        <f t="shared" si="0"/>
        <v>6.7898128286591794E-2</v>
      </c>
      <c r="L27">
        <f t="shared" si="1"/>
        <v>6.789812828659179</v>
      </c>
      <c r="M27">
        <v>7.06</v>
      </c>
    </row>
    <row r="28" spans="1:13" x14ac:dyDescent="0.2">
      <c r="A28" s="1">
        <v>43928</v>
      </c>
      <c r="B28">
        <v>22.799999</v>
      </c>
      <c r="C28">
        <v>22.879999000000002</v>
      </c>
      <c r="D28">
        <v>21.85</v>
      </c>
      <c r="E28">
        <v>22.139999</v>
      </c>
      <c r="F28">
        <v>21.592072999999999</v>
      </c>
      <c r="G28">
        <v>94560300</v>
      </c>
      <c r="I28">
        <f t="shared" si="2"/>
        <v>3.5063024924072289E-2</v>
      </c>
      <c r="J28">
        <v>0</v>
      </c>
      <c r="K28">
        <f t="shared" si="0"/>
        <v>3.5063024924072289E-2</v>
      </c>
      <c r="L28">
        <f t="shared" si="1"/>
        <v>3.506302492407229</v>
      </c>
      <c r="M28">
        <v>-0.11</v>
      </c>
    </row>
    <row r="29" spans="1:13" x14ac:dyDescent="0.2">
      <c r="A29" s="1">
        <v>43929</v>
      </c>
      <c r="B29">
        <v>22.41</v>
      </c>
      <c r="C29">
        <v>23.6</v>
      </c>
      <c r="D29">
        <v>22.41</v>
      </c>
      <c r="E29">
        <v>23.450001</v>
      </c>
      <c r="F29">
        <v>22.869654000000001</v>
      </c>
      <c r="G29">
        <v>81212300</v>
      </c>
      <c r="I29">
        <f t="shared" si="2"/>
        <v>5.9168982987414014E-2</v>
      </c>
      <c r="J29">
        <v>0</v>
      </c>
      <c r="K29">
        <f t="shared" si="0"/>
        <v>5.9168982987414014E-2</v>
      </c>
      <c r="L29">
        <f t="shared" si="1"/>
        <v>5.9168982987414012</v>
      </c>
      <c r="M29">
        <v>3.4</v>
      </c>
    </row>
    <row r="30" spans="1:13" x14ac:dyDescent="0.2">
      <c r="A30" s="1">
        <v>43930</v>
      </c>
      <c r="B30">
        <v>24.07</v>
      </c>
      <c r="C30">
        <v>25.32</v>
      </c>
      <c r="D30">
        <v>24.049999</v>
      </c>
      <c r="E30">
        <v>24.860001</v>
      </c>
      <c r="F30">
        <v>24.244761</v>
      </c>
      <c r="G30">
        <v>125414800</v>
      </c>
      <c r="I30">
        <f t="shared" si="2"/>
        <v>6.0128019426966398E-2</v>
      </c>
      <c r="J30">
        <v>0</v>
      </c>
      <c r="K30">
        <f t="shared" si="0"/>
        <v>6.0128019426966398E-2</v>
      </c>
      <c r="L30">
        <f t="shared" si="1"/>
        <v>6.0128019426966395</v>
      </c>
      <c r="M30">
        <v>1.59</v>
      </c>
    </row>
    <row r="31" spans="1:13" x14ac:dyDescent="0.2">
      <c r="A31" s="1">
        <v>43934</v>
      </c>
      <c r="B31">
        <v>24.780000999999999</v>
      </c>
      <c r="C31">
        <v>24.85</v>
      </c>
      <c r="D31">
        <v>23.780000999999999</v>
      </c>
      <c r="E31">
        <v>23.92</v>
      </c>
      <c r="F31">
        <v>23.328022000000001</v>
      </c>
      <c r="G31">
        <v>83164700</v>
      </c>
      <c r="I31">
        <f t="shared" si="2"/>
        <v>-3.7811839019572094E-2</v>
      </c>
      <c r="J31">
        <v>0</v>
      </c>
      <c r="K31">
        <f t="shared" si="0"/>
        <v>-3.7811839019572094E-2</v>
      </c>
      <c r="L31">
        <f t="shared" si="1"/>
        <v>-3.7811839019572093</v>
      </c>
      <c r="M31">
        <v>-0.92</v>
      </c>
    </row>
    <row r="32" spans="1:13" x14ac:dyDescent="0.2">
      <c r="A32" s="1">
        <v>43935</v>
      </c>
      <c r="B32">
        <v>24.5</v>
      </c>
      <c r="C32">
        <v>24.65</v>
      </c>
      <c r="D32">
        <v>23.1</v>
      </c>
      <c r="E32">
        <v>23.73</v>
      </c>
      <c r="F32">
        <v>23.142724999999999</v>
      </c>
      <c r="G32">
        <v>88991100</v>
      </c>
      <c r="I32">
        <f t="shared" si="2"/>
        <v>-7.9431080783446632E-3</v>
      </c>
      <c r="J32">
        <v>0</v>
      </c>
      <c r="K32">
        <f t="shared" si="0"/>
        <v>-7.9431080783446632E-3</v>
      </c>
      <c r="L32">
        <f t="shared" si="1"/>
        <v>-0.79431080783446628</v>
      </c>
      <c r="M32">
        <v>3.02</v>
      </c>
    </row>
    <row r="33" spans="1:13" x14ac:dyDescent="0.2">
      <c r="A33" s="1">
        <v>43936</v>
      </c>
      <c r="B33">
        <v>22.16</v>
      </c>
      <c r="C33">
        <v>22.65</v>
      </c>
      <c r="D33">
        <v>21.91</v>
      </c>
      <c r="E33">
        <v>22.190000999999999</v>
      </c>
      <c r="F33">
        <v>21.640837000000001</v>
      </c>
      <c r="G33">
        <v>99082200</v>
      </c>
      <c r="I33">
        <f t="shared" si="2"/>
        <v>-6.4896765614247995E-2</v>
      </c>
      <c r="J33">
        <v>0</v>
      </c>
      <c r="K33">
        <f t="shared" si="0"/>
        <v>-6.4896765614247995E-2</v>
      </c>
      <c r="L33">
        <f t="shared" si="1"/>
        <v>-6.4896765614247993</v>
      </c>
      <c r="M33">
        <v>-2.15</v>
      </c>
    </row>
    <row r="34" spans="1:13" x14ac:dyDescent="0.2">
      <c r="A34" s="1">
        <v>43937</v>
      </c>
      <c r="B34">
        <v>22.15</v>
      </c>
      <c r="C34">
        <v>22.209999</v>
      </c>
      <c r="D34">
        <v>21.09</v>
      </c>
      <c r="E34">
        <v>21.42</v>
      </c>
      <c r="F34">
        <v>20.889894000000002</v>
      </c>
      <c r="G34">
        <v>89213300</v>
      </c>
      <c r="I34">
        <f t="shared" si="2"/>
        <v>-3.4700275225029394E-2</v>
      </c>
      <c r="J34">
        <v>0</v>
      </c>
      <c r="K34">
        <f t="shared" si="0"/>
        <v>-3.4700275225029394E-2</v>
      </c>
      <c r="L34">
        <f t="shared" si="1"/>
        <v>-3.4700275225029396</v>
      </c>
      <c r="M34">
        <v>0.62</v>
      </c>
    </row>
    <row r="35" spans="1:13" x14ac:dyDescent="0.2">
      <c r="A35" s="1">
        <v>43938</v>
      </c>
      <c r="B35">
        <v>22.34</v>
      </c>
      <c r="C35">
        <v>23.4</v>
      </c>
      <c r="D35">
        <v>22.309999000000001</v>
      </c>
      <c r="E35">
        <v>23.280000999999999</v>
      </c>
      <c r="F35">
        <v>22.703861</v>
      </c>
      <c r="G35">
        <v>92800300</v>
      </c>
      <c r="I35">
        <f t="shared" si="2"/>
        <v>8.6834667519136183E-2</v>
      </c>
      <c r="J35">
        <v>0</v>
      </c>
      <c r="K35">
        <f t="shared" si="0"/>
        <v>8.6834667519136183E-2</v>
      </c>
      <c r="L35">
        <f t="shared" si="1"/>
        <v>8.6834667519136186</v>
      </c>
      <c r="M35">
        <v>2.72</v>
      </c>
    </row>
    <row r="36" spans="1:13" x14ac:dyDescent="0.2">
      <c r="A36" s="1">
        <v>43941</v>
      </c>
      <c r="B36">
        <v>22.57</v>
      </c>
      <c r="C36">
        <v>23.129999000000002</v>
      </c>
      <c r="D36">
        <v>22.18</v>
      </c>
      <c r="E36">
        <v>22.5</v>
      </c>
      <c r="F36">
        <v>21.943165</v>
      </c>
      <c r="G36">
        <v>74446300</v>
      </c>
      <c r="I36">
        <f t="shared" si="2"/>
        <v>-3.3505138178920292E-2</v>
      </c>
      <c r="J36">
        <v>0</v>
      </c>
      <c r="K36">
        <f t="shared" si="0"/>
        <v>-3.3505138178920292E-2</v>
      </c>
      <c r="L36">
        <f t="shared" si="1"/>
        <v>-3.3505138178920291</v>
      </c>
      <c r="M36">
        <v>-1.56</v>
      </c>
    </row>
    <row r="37" spans="1:13" x14ac:dyDescent="0.2">
      <c r="A37" s="1">
        <v>43942</v>
      </c>
      <c r="B37">
        <v>21.9</v>
      </c>
      <c r="C37">
        <v>22.370000999999998</v>
      </c>
      <c r="D37">
        <v>21.5</v>
      </c>
      <c r="E37">
        <v>21.639999</v>
      </c>
      <c r="F37">
        <v>21.104445999999999</v>
      </c>
      <c r="G37">
        <v>78871300</v>
      </c>
      <c r="I37">
        <f t="shared" si="2"/>
        <v>-3.8222334836383043E-2</v>
      </c>
      <c r="J37">
        <v>0</v>
      </c>
      <c r="K37">
        <f t="shared" si="0"/>
        <v>-3.8222334836383043E-2</v>
      </c>
      <c r="L37">
        <f t="shared" si="1"/>
        <v>-3.8222334836383043</v>
      </c>
      <c r="M37">
        <v>-3.08</v>
      </c>
    </row>
    <row r="38" spans="1:13" x14ac:dyDescent="0.2">
      <c r="A38" s="1">
        <v>43943</v>
      </c>
      <c r="B38">
        <v>22.16</v>
      </c>
      <c r="C38">
        <v>22.23</v>
      </c>
      <c r="D38">
        <v>21.75</v>
      </c>
      <c r="E38">
        <v>21.799999</v>
      </c>
      <c r="F38">
        <v>21.260489</v>
      </c>
      <c r="G38">
        <v>49759100</v>
      </c>
      <c r="I38">
        <f t="shared" si="2"/>
        <v>7.3938448798893074E-3</v>
      </c>
      <c r="J38">
        <v>0</v>
      </c>
      <c r="K38">
        <f t="shared" si="0"/>
        <v>7.3938448798893074E-3</v>
      </c>
      <c r="L38">
        <f t="shared" si="1"/>
        <v>0.73938448798893075</v>
      </c>
      <c r="M38">
        <v>2.31</v>
      </c>
    </row>
    <row r="39" spans="1:13" x14ac:dyDescent="0.2">
      <c r="A39" s="1">
        <v>43944</v>
      </c>
      <c r="B39">
        <v>21.959999</v>
      </c>
      <c r="C39">
        <v>22.389999</v>
      </c>
      <c r="D39">
        <v>21.85</v>
      </c>
      <c r="E39">
        <v>21.870000999999998</v>
      </c>
      <c r="F39">
        <v>21.328758000000001</v>
      </c>
      <c r="G39">
        <v>50614800</v>
      </c>
      <c r="I39">
        <f t="shared" si="2"/>
        <v>3.2110738374832677E-3</v>
      </c>
      <c r="J39">
        <v>0</v>
      </c>
      <c r="K39">
        <f t="shared" si="0"/>
        <v>3.2110738374832677E-3</v>
      </c>
      <c r="L39">
        <f t="shared" si="1"/>
        <v>0.32110738374832676</v>
      </c>
      <c r="M39">
        <v>0.13</v>
      </c>
    </row>
    <row r="40" spans="1:13" x14ac:dyDescent="0.2">
      <c r="A40" s="1">
        <v>43945</v>
      </c>
      <c r="B40">
        <v>22.110001</v>
      </c>
      <c r="C40">
        <v>22.299999</v>
      </c>
      <c r="D40">
        <v>21.67</v>
      </c>
      <c r="E40">
        <v>22.18</v>
      </c>
      <c r="F40">
        <v>21.631084000000001</v>
      </c>
      <c r="G40">
        <v>47675700</v>
      </c>
      <c r="I40">
        <f t="shared" si="2"/>
        <v>1.4174571252578361E-2</v>
      </c>
      <c r="J40">
        <v>0</v>
      </c>
      <c r="K40">
        <f t="shared" si="0"/>
        <v>1.4174571252578361E-2</v>
      </c>
      <c r="L40">
        <f t="shared" si="1"/>
        <v>1.4174571252578361</v>
      </c>
      <c r="M40">
        <v>1.44</v>
      </c>
    </row>
    <row r="41" spans="1:13" x14ac:dyDescent="0.2">
      <c r="A41" s="1">
        <v>43948</v>
      </c>
      <c r="B41">
        <v>22.52</v>
      </c>
      <c r="C41">
        <v>23.65</v>
      </c>
      <c r="D41">
        <v>22.450001</v>
      </c>
      <c r="E41">
        <v>23.469999000000001</v>
      </c>
      <c r="F41">
        <v>22.889157999999998</v>
      </c>
      <c r="G41">
        <v>66916700</v>
      </c>
      <c r="I41">
        <f t="shared" si="2"/>
        <v>5.8160469442955193E-2</v>
      </c>
      <c r="J41">
        <v>0</v>
      </c>
      <c r="K41">
        <f t="shared" si="0"/>
        <v>5.8160469442955193E-2</v>
      </c>
      <c r="L41">
        <f t="shared" si="1"/>
        <v>5.8160469442955192</v>
      </c>
      <c r="M41">
        <v>1.73</v>
      </c>
    </row>
    <row r="42" spans="1:13" x14ac:dyDescent="0.2">
      <c r="A42" s="1">
        <v>43949</v>
      </c>
      <c r="B42">
        <v>24.450001</v>
      </c>
      <c r="C42">
        <v>24.809999000000001</v>
      </c>
      <c r="D42">
        <v>23.85</v>
      </c>
      <c r="E42">
        <v>23.889999</v>
      </c>
      <c r="F42">
        <v>23.298763000000001</v>
      </c>
      <c r="G42">
        <v>65504900</v>
      </c>
      <c r="I42">
        <f t="shared" si="2"/>
        <v>1.7895153679309772E-2</v>
      </c>
      <c r="J42">
        <v>0</v>
      </c>
      <c r="K42">
        <f t="shared" si="0"/>
        <v>1.7895153679309772E-2</v>
      </c>
      <c r="L42">
        <f t="shared" si="1"/>
        <v>1.7895153679309772</v>
      </c>
      <c r="M42">
        <v>-0.45</v>
      </c>
    </row>
    <row r="43" spans="1:13" x14ac:dyDescent="0.2">
      <c r="A43" s="1">
        <v>43950</v>
      </c>
      <c r="B43">
        <v>24.91</v>
      </c>
      <c r="C43">
        <v>25.110001</v>
      </c>
      <c r="D43">
        <v>24.51</v>
      </c>
      <c r="E43">
        <v>24.780000999999999</v>
      </c>
      <c r="F43">
        <v>24.166740000000001</v>
      </c>
      <c r="G43">
        <v>73493900</v>
      </c>
      <c r="I43">
        <f t="shared" si="2"/>
        <v>3.7254209590440478E-2</v>
      </c>
      <c r="J43">
        <v>0</v>
      </c>
      <c r="K43">
        <f t="shared" si="0"/>
        <v>3.7254209590440478E-2</v>
      </c>
      <c r="L43">
        <f t="shared" si="1"/>
        <v>3.7254209590440479</v>
      </c>
      <c r="M43">
        <v>2.92</v>
      </c>
    </row>
    <row r="44" spans="1:13" x14ac:dyDescent="0.2">
      <c r="A44" s="1">
        <v>43951</v>
      </c>
      <c r="B44">
        <v>24.209999</v>
      </c>
      <c r="C44">
        <v>24.379999000000002</v>
      </c>
      <c r="D44">
        <v>23.85</v>
      </c>
      <c r="E44">
        <v>24.049999</v>
      </c>
      <c r="F44">
        <v>23.454805</v>
      </c>
      <c r="G44">
        <v>55244100</v>
      </c>
      <c r="I44">
        <f t="shared" si="2"/>
        <v>-2.9459289916637512E-2</v>
      </c>
      <c r="J44">
        <v>0</v>
      </c>
      <c r="K44">
        <f t="shared" si="0"/>
        <v>-2.9459289916637512E-2</v>
      </c>
      <c r="L44">
        <f t="shared" si="1"/>
        <v>-2.945928991663751</v>
      </c>
      <c r="M44">
        <v>-1.18</v>
      </c>
    </row>
    <row r="45" spans="1:13" x14ac:dyDescent="0.2">
      <c r="A45" s="1">
        <v>43952</v>
      </c>
      <c r="B45">
        <v>23.379999000000002</v>
      </c>
      <c r="C45">
        <v>23.459999</v>
      </c>
      <c r="D45">
        <v>22.809999000000001</v>
      </c>
      <c r="E45">
        <v>23.08</v>
      </c>
      <c r="F45">
        <v>22.50881</v>
      </c>
      <c r="G45">
        <v>51772600</v>
      </c>
      <c r="I45">
        <f t="shared" si="2"/>
        <v>-4.0332673838047256E-2</v>
      </c>
      <c r="J45">
        <v>0</v>
      </c>
      <c r="K45">
        <f t="shared" si="0"/>
        <v>-4.0332673838047256E-2</v>
      </c>
      <c r="L45">
        <f t="shared" si="1"/>
        <v>-4.0332673838047253</v>
      </c>
      <c r="M45">
        <v>-2.91</v>
      </c>
    </row>
    <row r="46" spans="1:13" x14ac:dyDescent="0.2">
      <c r="A46" s="1">
        <v>43955</v>
      </c>
      <c r="B46">
        <v>22.700001</v>
      </c>
      <c r="C46">
        <v>22.99</v>
      </c>
      <c r="D46">
        <v>22.43</v>
      </c>
      <c r="E46">
        <v>22.93</v>
      </c>
      <c r="F46">
        <v>22.362524000000001</v>
      </c>
      <c r="G46">
        <v>45886100</v>
      </c>
      <c r="I46">
        <f t="shared" si="2"/>
        <v>-6.4990552588075476E-3</v>
      </c>
      <c r="J46">
        <v>0</v>
      </c>
      <c r="K46">
        <f t="shared" si="0"/>
        <v>-6.4990552588075476E-3</v>
      </c>
      <c r="L46">
        <f t="shared" si="1"/>
        <v>-0.64990552588075479</v>
      </c>
      <c r="M46">
        <v>0.53</v>
      </c>
    </row>
    <row r="47" spans="1:13" x14ac:dyDescent="0.2">
      <c r="A47" s="1">
        <v>43956</v>
      </c>
      <c r="B47">
        <v>23.48</v>
      </c>
      <c r="C47">
        <v>23.52</v>
      </c>
      <c r="D47">
        <v>22.620000999999998</v>
      </c>
      <c r="E47">
        <v>22.66</v>
      </c>
      <c r="F47">
        <v>22.099207</v>
      </c>
      <c r="G47">
        <v>45691900</v>
      </c>
      <c r="I47">
        <f t="shared" si="2"/>
        <v>-1.1774923081133449E-2</v>
      </c>
      <c r="J47">
        <v>0</v>
      </c>
      <c r="K47">
        <f t="shared" si="0"/>
        <v>-1.1774923081133449E-2</v>
      </c>
      <c r="L47">
        <f t="shared" si="1"/>
        <v>-1.1774923081133448</v>
      </c>
      <c r="M47">
        <v>0.95</v>
      </c>
    </row>
    <row r="48" spans="1:13" x14ac:dyDescent="0.2">
      <c r="A48" s="1">
        <v>43957</v>
      </c>
      <c r="B48">
        <v>23</v>
      </c>
      <c r="C48">
        <v>23.08</v>
      </c>
      <c r="D48">
        <v>22.23</v>
      </c>
      <c r="E48">
        <v>22.35</v>
      </c>
      <c r="F48">
        <v>21.796876999999999</v>
      </c>
      <c r="G48">
        <v>53874600</v>
      </c>
      <c r="I48">
        <f t="shared" si="2"/>
        <v>-1.3680581389187464E-2</v>
      </c>
      <c r="J48">
        <v>0</v>
      </c>
      <c r="K48">
        <f t="shared" si="0"/>
        <v>-1.3680581389187464E-2</v>
      </c>
      <c r="L48">
        <f t="shared" si="1"/>
        <v>-1.3680581389187465</v>
      </c>
      <c r="M48">
        <v>-0.52</v>
      </c>
    </row>
    <row r="49" spans="1:13" x14ac:dyDescent="0.2">
      <c r="A49" s="1">
        <v>43958</v>
      </c>
      <c r="B49">
        <v>22.66</v>
      </c>
      <c r="C49">
        <v>23.370000999999998</v>
      </c>
      <c r="D49">
        <v>22.610001</v>
      </c>
      <c r="E49">
        <v>22.84</v>
      </c>
      <c r="F49">
        <v>22.274751999999999</v>
      </c>
      <c r="G49">
        <v>51884300</v>
      </c>
      <c r="I49">
        <f t="shared" si="2"/>
        <v>2.192401232525196E-2</v>
      </c>
      <c r="J49">
        <v>0</v>
      </c>
      <c r="K49">
        <f t="shared" si="0"/>
        <v>2.192401232525196E-2</v>
      </c>
      <c r="L49">
        <f t="shared" si="1"/>
        <v>2.1924012325251963</v>
      </c>
      <c r="M49">
        <v>1.33</v>
      </c>
    </row>
    <row r="50" spans="1:13" x14ac:dyDescent="0.2">
      <c r="A50" s="1">
        <v>43959</v>
      </c>
      <c r="B50">
        <v>23.469999000000001</v>
      </c>
      <c r="C50">
        <v>23.620000999999998</v>
      </c>
      <c r="D50">
        <v>23.25</v>
      </c>
      <c r="E50">
        <v>23.57</v>
      </c>
      <c r="F50">
        <v>22.986685000000001</v>
      </c>
      <c r="G50">
        <v>45250000</v>
      </c>
      <c r="I50">
        <f t="shared" si="2"/>
        <v>3.1961433285542393E-2</v>
      </c>
      <c r="J50">
        <v>0</v>
      </c>
      <c r="K50">
        <f t="shared" si="0"/>
        <v>3.1961433285542393E-2</v>
      </c>
      <c r="L50">
        <f t="shared" si="1"/>
        <v>3.1961433285542391</v>
      </c>
      <c r="M50">
        <v>1.9</v>
      </c>
    </row>
    <row r="51" spans="1:13" x14ac:dyDescent="0.2">
      <c r="A51" s="1">
        <v>43962</v>
      </c>
      <c r="B51">
        <v>23.110001</v>
      </c>
      <c r="C51">
        <v>23.120000999999998</v>
      </c>
      <c r="D51">
        <v>22.559999000000001</v>
      </c>
      <c r="E51">
        <v>22.58</v>
      </c>
      <c r="F51">
        <v>22.021187000000001</v>
      </c>
      <c r="G51">
        <v>68951800</v>
      </c>
      <c r="I51">
        <f t="shared" si="2"/>
        <v>-4.2002489702190643E-2</v>
      </c>
      <c r="J51">
        <v>0</v>
      </c>
      <c r="K51">
        <f t="shared" si="0"/>
        <v>-4.2002489702190643E-2</v>
      </c>
      <c r="L51">
        <f t="shared" si="1"/>
        <v>-4.2002489702190644</v>
      </c>
      <c r="M51">
        <v>7.0000000000000007E-2</v>
      </c>
    </row>
    <row r="52" spans="1:13" x14ac:dyDescent="0.2">
      <c r="A52" s="1">
        <v>43963</v>
      </c>
      <c r="B52">
        <v>22.709999</v>
      </c>
      <c r="C52">
        <v>22.82</v>
      </c>
      <c r="D52">
        <v>21.85</v>
      </c>
      <c r="E52">
        <v>21.870000999999998</v>
      </c>
      <c r="F52">
        <v>21.328758000000001</v>
      </c>
      <c r="G52">
        <v>69588700</v>
      </c>
      <c r="I52">
        <f t="shared" si="2"/>
        <v>-3.1443763680858827E-2</v>
      </c>
      <c r="J52">
        <v>0</v>
      </c>
      <c r="K52">
        <f t="shared" si="0"/>
        <v>-3.1443763680858827E-2</v>
      </c>
      <c r="L52">
        <f t="shared" si="1"/>
        <v>-3.1443763680858829</v>
      </c>
      <c r="M52">
        <v>-2.06</v>
      </c>
    </row>
    <row r="53" spans="1:13" x14ac:dyDescent="0.2">
      <c r="A53" s="1">
        <v>43964</v>
      </c>
      <c r="B53">
        <v>21.66</v>
      </c>
      <c r="C53">
        <v>21.75</v>
      </c>
      <c r="D53">
        <v>20.719999000000001</v>
      </c>
      <c r="E53">
        <v>20.870000999999998</v>
      </c>
      <c r="F53">
        <v>20.353505999999999</v>
      </c>
      <c r="G53">
        <v>112113400</v>
      </c>
      <c r="I53">
        <f t="shared" si="2"/>
        <v>-4.5724744028695953E-2</v>
      </c>
      <c r="J53">
        <v>0</v>
      </c>
      <c r="K53">
        <f t="shared" si="0"/>
        <v>-4.5724744028695953E-2</v>
      </c>
      <c r="L53">
        <f t="shared" si="1"/>
        <v>-4.5724744028695952</v>
      </c>
      <c r="M53">
        <v>-1.89</v>
      </c>
    </row>
    <row r="54" spans="1:13" x14ac:dyDescent="0.2">
      <c r="A54" s="1">
        <v>43965</v>
      </c>
      <c r="B54">
        <v>20.290001</v>
      </c>
      <c r="C54">
        <v>21.790001</v>
      </c>
      <c r="D54">
        <v>20.100000000000001</v>
      </c>
      <c r="E54">
        <v>21.709999</v>
      </c>
      <c r="F54">
        <v>21.172713999999999</v>
      </c>
      <c r="G54">
        <v>88359100</v>
      </c>
      <c r="I54">
        <f t="shared" si="2"/>
        <v>4.0248987078688049E-2</v>
      </c>
      <c r="J54">
        <v>0</v>
      </c>
      <c r="K54">
        <f t="shared" si="0"/>
        <v>4.0248987078688049E-2</v>
      </c>
      <c r="L54">
        <f t="shared" si="1"/>
        <v>4.0248987078688048</v>
      </c>
      <c r="M54">
        <v>1.1399999999999999</v>
      </c>
    </row>
    <row r="55" spans="1:13" x14ac:dyDescent="0.2">
      <c r="A55" s="1">
        <v>43966</v>
      </c>
      <c r="B55">
        <v>21.4</v>
      </c>
      <c r="C55">
        <v>21.700001</v>
      </c>
      <c r="D55">
        <v>21.23</v>
      </c>
      <c r="E55">
        <v>21.440000999999999</v>
      </c>
      <c r="F55">
        <v>20.909399000000001</v>
      </c>
      <c r="G55">
        <v>64484000</v>
      </c>
      <c r="I55">
        <f t="shared" si="2"/>
        <v>-1.2436525614996672E-2</v>
      </c>
      <c r="J55">
        <v>0</v>
      </c>
      <c r="K55">
        <f t="shared" si="0"/>
        <v>-1.2436525614996672E-2</v>
      </c>
      <c r="L55">
        <f t="shared" si="1"/>
        <v>-1.2436525614996672</v>
      </c>
      <c r="M55">
        <v>0.56999999999999995</v>
      </c>
    </row>
    <row r="56" spans="1:13" x14ac:dyDescent="0.2">
      <c r="A56" s="1">
        <v>43969</v>
      </c>
      <c r="B56">
        <v>22.42</v>
      </c>
      <c r="C56">
        <v>23.059999000000001</v>
      </c>
      <c r="D56">
        <v>22.07</v>
      </c>
      <c r="E56">
        <v>22.93</v>
      </c>
      <c r="F56">
        <v>22.362524000000001</v>
      </c>
      <c r="G56">
        <v>86699200</v>
      </c>
      <c r="I56">
        <f t="shared" si="2"/>
        <v>6.9496258596433116E-2</v>
      </c>
      <c r="J56">
        <v>0</v>
      </c>
      <c r="K56">
        <f t="shared" si="0"/>
        <v>6.9496258596433116E-2</v>
      </c>
      <c r="L56">
        <f t="shared" si="1"/>
        <v>6.9496258596433114</v>
      </c>
      <c r="M56">
        <v>3.24</v>
      </c>
    </row>
    <row r="57" spans="1:13" x14ac:dyDescent="0.2">
      <c r="A57" s="1">
        <v>43970</v>
      </c>
      <c r="B57">
        <v>22.66</v>
      </c>
      <c r="C57">
        <v>23</v>
      </c>
      <c r="D57">
        <v>22.190000999999999</v>
      </c>
      <c r="E57">
        <v>22.209999</v>
      </c>
      <c r="F57">
        <v>21.660340999999999</v>
      </c>
      <c r="G57">
        <v>62179000</v>
      </c>
      <c r="I57">
        <f t="shared" si="2"/>
        <v>-3.1399988659598602E-2</v>
      </c>
      <c r="J57">
        <v>0</v>
      </c>
      <c r="K57">
        <f t="shared" si="0"/>
        <v>-3.1399988659598602E-2</v>
      </c>
      <c r="L57">
        <f t="shared" si="1"/>
        <v>-3.1399988659598601</v>
      </c>
      <c r="M57">
        <v>-1.01</v>
      </c>
    </row>
    <row r="58" spans="1:13" x14ac:dyDescent="0.2">
      <c r="A58" s="1">
        <v>43971</v>
      </c>
      <c r="B58">
        <v>22.68</v>
      </c>
      <c r="C58">
        <v>23</v>
      </c>
      <c r="D58">
        <v>22.639999</v>
      </c>
      <c r="E58">
        <v>22.91</v>
      </c>
      <c r="F58">
        <v>22.343019000000002</v>
      </c>
      <c r="G58">
        <v>59789500</v>
      </c>
      <c r="I58">
        <f t="shared" si="2"/>
        <v>3.1517417015734094E-2</v>
      </c>
      <c r="J58">
        <v>0</v>
      </c>
      <c r="K58">
        <f t="shared" si="0"/>
        <v>3.1517417015734094E-2</v>
      </c>
      <c r="L58">
        <f t="shared" si="1"/>
        <v>3.1517417015734095</v>
      </c>
      <c r="M58">
        <v>1.8</v>
      </c>
    </row>
    <row r="59" spans="1:13" x14ac:dyDescent="0.2">
      <c r="A59" s="1">
        <v>43972</v>
      </c>
      <c r="B59">
        <v>22.809999000000001</v>
      </c>
      <c r="C59">
        <v>23.27</v>
      </c>
      <c r="D59">
        <v>22.780000999999999</v>
      </c>
      <c r="E59">
        <v>22.9</v>
      </c>
      <c r="F59">
        <v>22.333265000000001</v>
      </c>
      <c r="G59">
        <v>57726000</v>
      </c>
      <c r="I59">
        <f t="shared" si="2"/>
        <v>-4.3655693977617474E-4</v>
      </c>
      <c r="J59">
        <v>0</v>
      </c>
      <c r="K59">
        <f t="shared" si="0"/>
        <v>-4.3655693977617474E-4</v>
      </c>
      <c r="L59">
        <f t="shared" si="1"/>
        <v>-4.3655693977617475E-2</v>
      </c>
      <c r="M59">
        <v>-0.7</v>
      </c>
    </row>
    <row r="60" spans="1:13" x14ac:dyDescent="0.2">
      <c r="A60" s="1">
        <v>43973</v>
      </c>
      <c r="B60">
        <v>22.93</v>
      </c>
      <c r="C60">
        <v>22.950001</v>
      </c>
      <c r="D60">
        <v>22.459999</v>
      </c>
      <c r="E60">
        <v>22.66</v>
      </c>
      <c r="F60">
        <v>22.099207</v>
      </c>
      <c r="G60">
        <v>48107000</v>
      </c>
      <c r="I60">
        <f t="shared" si="2"/>
        <v>-1.0480241021633021E-2</v>
      </c>
      <c r="J60">
        <v>0</v>
      </c>
      <c r="K60">
        <f t="shared" si="0"/>
        <v>-1.0480241021633021E-2</v>
      </c>
      <c r="L60">
        <f t="shared" si="1"/>
        <v>-1.0480241021633021</v>
      </c>
      <c r="M60">
        <v>0.27</v>
      </c>
    </row>
    <row r="61" spans="1:13" x14ac:dyDescent="0.2">
      <c r="A61" s="1">
        <v>43977</v>
      </c>
      <c r="B61">
        <v>23.75</v>
      </c>
      <c r="C61">
        <v>24.6</v>
      </c>
      <c r="D61">
        <v>23.700001</v>
      </c>
      <c r="E61">
        <v>24.280000999999999</v>
      </c>
      <c r="F61">
        <v>23.679113000000001</v>
      </c>
      <c r="G61">
        <v>119485500</v>
      </c>
      <c r="I61">
        <f t="shared" si="2"/>
        <v>7.1491524560134717E-2</v>
      </c>
      <c r="J61">
        <v>0</v>
      </c>
      <c r="K61">
        <f t="shared" si="0"/>
        <v>7.1491524560134717E-2</v>
      </c>
      <c r="L61">
        <f t="shared" si="1"/>
        <v>7.1491524560134714</v>
      </c>
      <c r="M61">
        <v>1.23</v>
      </c>
    </row>
    <row r="62" spans="1:13" x14ac:dyDescent="0.2">
      <c r="A62" s="1">
        <v>43978</v>
      </c>
      <c r="B62">
        <v>26.07</v>
      </c>
      <c r="C62">
        <v>26.17</v>
      </c>
      <c r="D62">
        <v>24.969999000000001</v>
      </c>
      <c r="E62">
        <v>25.98</v>
      </c>
      <c r="F62">
        <v>25.337042</v>
      </c>
      <c r="G62">
        <v>117672700</v>
      </c>
      <c r="I62">
        <f t="shared" si="2"/>
        <v>7.0016516243661633E-2</v>
      </c>
      <c r="J62">
        <v>0</v>
      </c>
      <c r="K62">
        <f t="shared" si="0"/>
        <v>7.0016516243661633E-2</v>
      </c>
      <c r="L62">
        <f t="shared" si="1"/>
        <v>7.0016516243661631</v>
      </c>
      <c r="M62">
        <v>1.54</v>
      </c>
    </row>
    <row r="63" spans="1:13" x14ac:dyDescent="0.2">
      <c r="A63" s="1">
        <v>43979</v>
      </c>
      <c r="B63">
        <v>26.08</v>
      </c>
      <c r="C63">
        <v>26.139999</v>
      </c>
      <c r="D63">
        <v>24.790001</v>
      </c>
      <c r="E63">
        <v>24.860001</v>
      </c>
      <c r="F63">
        <v>24.244761</v>
      </c>
      <c r="G63">
        <v>84340800</v>
      </c>
      <c r="I63">
        <f t="shared" si="2"/>
        <v>-4.3110044179584965E-2</v>
      </c>
      <c r="J63">
        <v>0</v>
      </c>
      <c r="K63">
        <f t="shared" si="0"/>
        <v>-4.3110044179584965E-2</v>
      </c>
      <c r="L63">
        <f t="shared" si="1"/>
        <v>-4.3110044179584968</v>
      </c>
      <c r="M63">
        <v>-0.41</v>
      </c>
    </row>
    <row r="64" spans="1:13" x14ac:dyDescent="0.2">
      <c r="A64" s="1">
        <v>43980</v>
      </c>
      <c r="B64">
        <v>24.42</v>
      </c>
      <c r="C64">
        <v>24.91</v>
      </c>
      <c r="D64">
        <v>24.059999000000001</v>
      </c>
      <c r="E64">
        <v>24.120000999999998</v>
      </c>
      <c r="F64">
        <v>23.523074999999999</v>
      </c>
      <c r="G64">
        <v>113923800</v>
      </c>
      <c r="I64">
        <f t="shared" si="2"/>
        <v>-2.9766678252674952E-2</v>
      </c>
      <c r="J64">
        <v>0</v>
      </c>
      <c r="K64">
        <f t="shared" si="0"/>
        <v>-2.9766678252674952E-2</v>
      </c>
      <c r="L64">
        <f t="shared" si="1"/>
        <v>-2.9766678252674952</v>
      </c>
      <c r="M64">
        <v>0.6</v>
      </c>
    </row>
    <row r="65" spans="1:13" x14ac:dyDescent="0.2">
      <c r="A65" s="1">
        <v>43983</v>
      </c>
      <c r="B65">
        <v>24.280000999999999</v>
      </c>
      <c r="C65">
        <v>24.870000999999998</v>
      </c>
      <c r="D65">
        <v>24.049999</v>
      </c>
      <c r="E65">
        <v>24.610001</v>
      </c>
      <c r="F65">
        <v>24.000945999999999</v>
      </c>
      <c r="G65">
        <v>58375500</v>
      </c>
      <c r="I65">
        <f t="shared" si="2"/>
        <v>2.0314988580362067E-2</v>
      </c>
      <c r="J65">
        <v>0</v>
      </c>
      <c r="K65">
        <f t="shared" si="0"/>
        <v>2.0314988580362067E-2</v>
      </c>
      <c r="L65">
        <f t="shared" si="1"/>
        <v>2.0314988580362066</v>
      </c>
      <c r="M65">
        <v>0.52</v>
      </c>
    </row>
    <row r="66" spans="1:13" x14ac:dyDescent="0.2">
      <c r="A66" s="1">
        <v>43984</v>
      </c>
      <c r="B66">
        <v>24.959999</v>
      </c>
      <c r="C66">
        <v>25.389999</v>
      </c>
      <c r="D66">
        <v>24.559999000000001</v>
      </c>
      <c r="E66">
        <v>24.84</v>
      </c>
      <c r="F66">
        <v>24.225256000000002</v>
      </c>
      <c r="G66">
        <v>71118100</v>
      </c>
      <c r="I66">
        <f t="shared" si="2"/>
        <v>9.3458816164997283E-3</v>
      </c>
      <c r="J66">
        <v>0</v>
      </c>
      <c r="K66">
        <f t="shared" si="0"/>
        <v>9.3458816164997283E-3</v>
      </c>
      <c r="L66">
        <f t="shared" si="1"/>
        <v>0.93458816164997283</v>
      </c>
      <c r="M66">
        <v>0.81</v>
      </c>
    </row>
    <row r="67" spans="1:13" x14ac:dyDescent="0.2">
      <c r="A67" s="1">
        <v>43985</v>
      </c>
      <c r="B67">
        <v>25.5</v>
      </c>
      <c r="C67">
        <v>26.139999</v>
      </c>
      <c r="D67">
        <v>25.389999</v>
      </c>
      <c r="E67">
        <v>25.99</v>
      </c>
      <c r="F67">
        <v>25.346796000000001</v>
      </c>
      <c r="G67">
        <v>86744600</v>
      </c>
      <c r="I67">
        <f t="shared" si="2"/>
        <v>4.6296311584901287E-2</v>
      </c>
      <c r="J67">
        <v>0</v>
      </c>
      <c r="K67">
        <f t="shared" si="0"/>
        <v>4.6296311584901287E-2</v>
      </c>
      <c r="L67">
        <f t="shared" si="1"/>
        <v>4.6296311584901284</v>
      </c>
      <c r="M67">
        <v>1.42</v>
      </c>
    </row>
    <row r="68" spans="1:13" x14ac:dyDescent="0.2">
      <c r="A68" s="1">
        <v>43986</v>
      </c>
      <c r="B68">
        <v>25.709999</v>
      </c>
      <c r="C68">
        <v>26.83</v>
      </c>
      <c r="D68">
        <v>25.57</v>
      </c>
      <c r="E68">
        <v>26.780000999999999</v>
      </c>
      <c r="F68">
        <v>26.299385000000001</v>
      </c>
      <c r="G68">
        <v>94545300</v>
      </c>
      <c r="I68">
        <f t="shared" si="2"/>
        <v>3.7582225382647952E-2</v>
      </c>
      <c r="J68">
        <v>0</v>
      </c>
      <c r="K68">
        <f t="shared" ref="K68:K131" si="3">I68-J68</f>
        <v>3.7582225382647952E-2</v>
      </c>
      <c r="L68">
        <f t="shared" ref="L68:L131" si="4">100*K68</f>
        <v>3.7582225382647954</v>
      </c>
      <c r="M68">
        <v>-0.34</v>
      </c>
    </row>
    <row r="69" spans="1:13" x14ac:dyDescent="0.2">
      <c r="A69" s="1">
        <v>43987</v>
      </c>
      <c r="B69">
        <v>28.950001</v>
      </c>
      <c r="C69">
        <v>29.01</v>
      </c>
      <c r="D69">
        <v>27.879999000000002</v>
      </c>
      <c r="E69">
        <v>28.110001</v>
      </c>
      <c r="F69">
        <v>27.605518</v>
      </c>
      <c r="G69">
        <v>118767900</v>
      </c>
      <c r="I69">
        <f t="shared" ref="I69:I132" si="5">(F69-F68)/F68</f>
        <v>4.9664013055818572E-2</v>
      </c>
      <c r="J69">
        <v>0</v>
      </c>
      <c r="K69">
        <f t="shared" si="3"/>
        <v>4.9664013055818572E-2</v>
      </c>
      <c r="L69">
        <f t="shared" si="4"/>
        <v>4.966401305581857</v>
      </c>
      <c r="M69">
        <v>2.5</v>
      </c>
    </row>
    <row r="70" spans="1:13" x14ac:dyDescent="0.2">
      <c r="A70" s="1">
        <v>43990</v>
      </c>
      <c r="B70">
        <v>28.59</v>
      </c>
      <c r="C70">
        <v>28.9</v>
      </c>
      <c r="D70">
        <v>28.139999</v>
      </c>
      <c r="E70">
        <v>28.540001</v>
      </c>
      <c r="F70">
        <v>28.027799999999999</v>
      </c>
      <c r="G70">
        <v>79598500</v>
      </c>
      <c r="I70">
        <f t="shared" si="5"/>
        <v>1.529701416941349E-2</v>
      </c>
      <c r="J70">
        <v>0</v>
      </c>
      <c r="K70">
        <f t="shared" si="3"/>
        <v>1.529701416941349E-2</v>
      </c>
      <c r="L70">
        <f t="shared" si="4"/>
        <v>1.529701416941349</v>
      </c>
      <c r="M70">
        <v>1.39</v>
      </c>
    </row>
    <row r="71" spans="1:13" x14ac:dyDescent="0.2">
      <c r="A71" s="1">
        <v>43991</v>
      </c>
      <c r="B71">
        <v>27.719999000000001</v>
      </c>
      <c r="C71">
        <v>28.540001</v>
      </c>
      <c r="D71">
        <v>27.549999</v>
      </c>
      <c r="E71">
        <v>28.219999000000001</v>
      </c>
      <c r="F71">
        <v>27.713540999999999</v>
      </c>
      <c r="G71">
        <v>77773400</v>
      </c>
      <c r="I71">
        <f t="shared" si="5"/>
        <v>-1.1212403399481938E-2</v>
      </c>
      <c r="J71">
        <v>0</v>
      </c>
      <c r="K71">
        <f t="shared" si="3"/>
        <v>-1.1212403399481938E-2</v>
      </c>
      <c r="L71">
        <f t="shared" si="4"/>
        <v>-1.1212403399481938</v>
      </c>
      <c r="M71">
        <v>-0.85</v>
      </c>
    </row>
    <row r="72" spans="1:13" x14ac:dyDescent="0.2">
      <c r="A72" s="1">
        <v>43992</v>
      </c>
      <c r="B72">
        <v>27.969999000000001</v>
      </c>
      <c r="C72">
        <v>28.1</v>
      </c>
      <c r="D72">
        <v>26.51</v>
      </c>
      <c r="E72">
        <v>26.6</v>
      </c>
      <c r="F72">
        <v>26.122616000000001</v>
      </c>
      <c r="G72">
        <v>90415300</v>
      </c>
      <c r="I72">
        <f t="shared" si="5"/>
        <v>-5.7406052875018702E-2</v>
      </c>
      <c r="J72">
        <v>0</v>
      </c>
      <c r="K72">
        <f t="shared" si="3"/>
        <v>-5.7406052875018702E-2</v>
      </c>
      <c r="L72">
        <f t="shared" si="4"/>
        <v>-5.7406052875018698</v>
      </c>
      <c r="M72">
        <v>-0.56000000000000005</v>
      </c>
    </row>
    <row r="73" spans="1:13" x14ac:dyDescent="0.2">
      <c r="A73" s="1">
        <v>43993</v>
      </c>
      <c r="B73">
        <v>24.98</v>
      </c>
      <c r="C73">
        <v>25.690000999999999</v>
      </c>
      <c r="D73">
        <v>23.68</v>
      </c>
      <c r="E73">
        <v>23.93</v>
      </c>
      <c r="F73">
        <v>23.500536</v>
      </c>
      <c r="G73">
        <v>149875500</v>
      </c>
      <c r="I73">
        <f t="shared" si="5"/>
        <v>-0.1003758582218565</v>
      </c>
      <c r="J73">
        <v>0</v>
      </c>
      <c r="K73">
        <f t="shared" si="3"/>
        <v>-0.1003758582218565</v>
      </c>
      <c r="L73">
        <f t="shared" si="4"/>
        <v>-10.037585822185651</v>
      </c>
      <c r="M73">
        <v>-5.91</v>
      </c>
    </row>
    <row r="74" spans="1:13" x14ac:dyDescent="0.2">
      <c r="A74" s="1">
        <v>43994</v>
      </c>
      <c r="B74">
        <v>25.030000999999999</v>
      </c>
      <c r="C74">
        <v>25.049999</v>
      </c>
      <c r="D74">
        <v>24.040001</v>
      </c>
      <c r="E74">
        <v>24.780000999999999</v>
      </c>
      <c r="F74">
        <v>24.335279</v>
      </c>
      <c r="G74">
        <v>73729700</v>
      </c>
      <c r="I74">
        <f t="shared" si="5"/>
        <v>3.5520168561261736E-2</v>
      </c>
      <c r="J74">
        <v>0</v>
      </c>
      <c r="K74">
        <f t="shared" si="3"/>
        <v>3.5520168561261736E-2</v>
      </c>
      <c r="L74">
        <f t="shared" si="4"/>
        <v>3.5520168561261736</v>
      </c>
      <c r="M74">
        <v>1.29</v>
      </c>
    </row>
    <row r="75" spans="1:13" x14ac:dyDescent="0.2">
      <c r="A75" s="1">
        <v>43997</v>
      </c>
      <c r="B75">
        <v>23.76</v>
      </c>
      <c r="C75">
        <v>25.17</v>
      </c>
      <c r="D75">
        <v>23.690000999999999</v>
      </c>
      <c r="E75">
        <v>25.15</v>
      </c>
      <c r="F75">
        <v>24.698639</v>
      </c>
      <c r="G75">
        <v>76538900</v>
      </c>
      <c r="I75">
        <f t="shared" si="5"/>
        <v>1.4931408840638323E-2</v>
      </c>
      <c r="J75">
        <v>0</v>
      </c>
      <c r="K75">
        <f t="shared" si="3"/>
        <v>1.4931408840638323E-2</v>
      </c>
      <c r="L75">
        <f t="shared" si="4"/>
        <v>1.4931408840638323</v>
      </c>
      <c r="M75">
        <v>1.0900000000000001</v>
      </c>
    </row>
    <row r="76" spans="1:13" x14ac:dyDescent="0.2">
      <c r="A76" s="1">
        <v>43998</v>
      </c>
      <c r="B76">
        <v>26.18</v>
      </c>
      <c r="C76">
        <v>26.24</v>
      </c>
      <c r="D76">
        <v>24.860001</v>
      </c>
      <c r="E76">
        <v>25.799999</v>
      </c>
      <c r="F76">
        <v>25.336973</v>
      </c>
      <c r="G76">
        <v>96796500</v>
      </c>
      <c r="I76">
        <f t="shared" si="5"/>
        <v>2.5844905867080385E-2</v>
      </c>
      <c r="J76">
        <v>0</v>
      </c>
      <c r="K76">
        <f t="shared" si="3"/>
        <v>2.5844905867080385E-2</v>
      </c>
      <c r="L76">
        <f t="shared" si="4"/>
        <v>2.5844905867080383</v>
      </c>
      <c r="M76">
        <v>1.86</v>
      </c>
    </row>
    <row r="77" spans="1:13" x14ac:dyDescent="0.2">
      <c r="A77" s="1">
        <v>43999</v>
      </c>
      <c r="B77">
        <v>25.9</v>
      </c>
      <c r="C77">
        <v>25.9</v>
      </c>
      <c r="D77">
        <v>24.92</v>
      </c>
      <c r="E77">
        <v>25</v>
      </c>
      <c r="F77">
        <v>24.551331000000001</v>
      </c>
      <c r="G77">
        <v>58349500</v>
      </c>
      <c r="I77">
        <f t="shared" si="5"/>
        <v>-3.1007729297418411E-2</v>
      </c>
      <c r="J77">
        <v>0</v>
      </c>
      <c r="K77">
        <f t="shared" si="3"/>
        <v>-3.1007729297418411E-2</v>
      </c>
      <c r="L77">
        <f t="shared" si="4"/>
        <v>-3.1007729297418409</v>
      </c>
      <c r="M77">
        <v>-0.4</v>
      </c>
    </row>
    <row r="78" spans="1:13" x14ac:dyDescent="0.2">
      <c r="A78" s="1">
        <v>44000</v>
      </c>
      <c r="B78">
        <v>24.700001</v>
      </c>
      <c r="C78">
        <v>25.49</v>
      </c>
      <c r="D78">
        <v>24.58</v>
      </c>
      <c r="E78">
        <v>25.040001</v>
      </c>
      <c r="F78">
        <v>24.590613999999999</v>
      </c>
      <c r="G78">
        <v>53419000</v>
      </c>
      <c r="I78">
        <f t="shared" si="5"/>
        <v>1.600035452252976E-3</v>
      </c>
      <c r="J78">
        <v>0</v>
      </c>
      <c r="K78">
        <f t="shared" si="3"/>
        <v>1.600035452252976E-3</v>
      </c>
      <c r="L78">
        <f t="shared" si="4"/>
        <v>0.16000354522529761</v>
      </c>
      <c r="M78">
        <v>0.19</v>
      </c>
    </row>
    <row r="79" spans="1:13" x14ac:dyDescent="0.2">
      <c r="A79" s="1">
        <v>44001</v>
      </c>
      <c r="B79">
        <v>25.440000999999999</v>
      </c>
      <c r="C79">
        <v>25.49</v>
      </c>
      <c r="D79">
        <v>24.49</v>
      </c>
      <c r="E79">
        <v>25.25</v>
      </c>
      <c r="F79">
        <v>24.796845999999999</v>
      </c>
      <c r="G79">
        <v>127563600</v>
      </c>
      <c r="I79">
        <f t="shared" si="5"/>
        <v>8.3866145025902963E-3</v>
      </c>
      <c r="J79">
        <v>0</v>
      </c>
      <c r="K79">
        <f t="shared" si="3"/>
        <v>8.3866145025902963E-3</v>
      </c>
      <c r="L79">
        <f t="shared" si="4"/>
        <v>0.83866145025902961</v>
      </c>
      <c r="M79">
        <v>-0.45</v>
      </c>
    </row>
    <row r="80" spans="1:13" x14ac:dyDescent="0.2">
      <c r="A80" s="1">
        <v>44004</v>
      </c>
      <c r="B80">
        <v>24.889999</v>
      </c>
      <c r="C80">
        <v>25.030000999999999</v>
      </c>
      <c r="D80">
        <v>24.610001</v>
      </c>
      <c r="E80">
        <v>24.620000999999998</v>
      </c>
      <c r="F80">
        <v>24.178152000000001</v>
      </c>
      <c r="G80">
        <v>55484300</v>
      </c>
      <c r="I80">
        <f t="shared" si="5"/>
        <v>-2.4950511851386175E-2</v>
      </c>
      <c r="J80">
        <v>0</v>
      </c>
      <c r="K80">
        <f t="shared" si="3"/>
        <v>-2.4950511851386175E-2</v>
      </c>
      <c r="L80">
        <f t="shared" si="4"/>
        <v>-2.4950511851386175</v>
      </c>
      <c r="M80">
        <v>0.71</v>
      </c>
    </row>
    <row r="81" spans="1:13" x14ac:dyDescent="0.2">
      <c r="A81" s="1">
        <v>44005</v>
      </c>
      <c r="B81">
        <v>25.01</v>
      </c>
      <c r="C81">
        <v>25.41</v>
      </c>
      <c r="D81">
        <v>24.76</v>
      </c>
      <c r="E81">
        <v>24.790001</v>
      </c>
      <c r="F81">
        <v>24.345099999999999</v>
      </c>
      <c r="G81">
        <v>46108300</v>
      </c>
      <c r="I81">
        <f t="shared" si="5"/>
        <v>6.9049115085386952E-3</v>
      </c>
      <c r="J81">
        <v>0</v>
      </c>
      <c r="K81">
        <f t="shared" si="3"/>
        <v>6.9049115085386952E-3</v>
      </c>
      <c r="L81">
        <f t="shared" si="4"/>
        <v>0.69049115085386947</v>
      </c>
      <c r="M81">
        <v>0.42</v>
      </c>
    </row>
    <row r="82" spans="1:13" x14ac:dyDescent="0.2">
      <c r="A82" s="1">
        <v>44006</v>
      </c>
      <c r="B82">
        <v>24.540001</v>
      </c>
      <c r="C82">
        <v>24.540001</v>
      </c>
      <c r="D82">
        <v>23.68</v>
      </c>
      <c r="E82">
        <v>23.809999000000001</v>
      </c>
      <c r="F82">
        <v>23.382687000000001</v>
      </c>
      <c r="G82">
        <v>75437100</v>
      </c>
      <c r="I82">
        <f t="shared" si="5"/>
        <v>-3.9532102969385953E-2</v>
      </c>
      <c r="J82">
        <v>0</v>
      </c>
      <c r="K82">
        <f t="shared" si="3"/>
        <v>-3.9532102969385953E-2</v>
      </c>
      <c r="L82">
        <f t="shared" si="4"/>
        <v>-3.9532102969385954</v>
      </c>
      <c r="M82">
        <v>-2.61</v>
      </c>
    </row>
    <row r="83" spans="1:13" x14ac:dyDescent="0.2">
      <c r="A83" s="1">
        <v>44007</v>
      </c>
      <c r="B83">
        <v>23.700001</v>
      </c>
      <c r="C83">
        <v>24.77</v>
      </c>
      <c r="D83">
        <v>23.549999</v>
      </c>
      <c r="E83">
        <v>24.719999000000001</v>
      </c>
      <c r="F83">
        <v>24.276356</v>
      </c>
      <c r="G83">
        <v>65031900</v>
      </c>
      <c r="I83">
        <f t="shared" si="5"/>
        <v>3.8219260258669126E-2</v>
      </c>
      <c r="J83">
        <v>0</v>
      </c>
      <c r="K83">
        <f t="shared" si="3"/>
        <v>3.8219260258669126E-2</v>
      </c>
      <c r="L83">
        <f t="shared" si="4"/>
        <v>3.8219260258669125</v>
      </c>
      <c r="M83">
        <v>1.1200000000000001</v>
      </c>
    </row>
    <row r="84" spans="1:13" x14ac:dyDescent="0.2">
      <c r="A84" s="1">
        <v>44008</v>
      </c>
      <c r="B84">
        <v>24.09</v>
      </c>
      <c r="C84">
        <v>24.110001</v>
      </c>
      <c r="D84">
        <v>23.02</v>
      </c>
      <c r="E84">
        <v>23.15</v>
      </c>
      <c r="F84">
        <v>22.734531</v>
      </c>
      <c r="G84">
        <v>118139200</v>
      </c>
      <c r="I84">
        <f t="shared" si="5"/>
        <v>-6.3511385316643049E-2</v>
      </c>
      <c r="J84">
        <v>0</v>
      </c>
      <c r="K84">
        <f t="shared" si="3"/>
        <v>-6.3511385316643049E-2</v>
      </c>
      <c r="L84">
        <f t="shared" si="4"/>
        <v>-6.3511385316643052</v>
      </c>
      <c r="M84">
        <v>-2.44</v>
      </c>
    </row>
    <row r="85" spans="1:13" x14ac:dyDescent="0.2">
      <c r="A85" s="1">
        <v>44011</v>
      </c>
      <c r="B85">
        <v>23.41</v>
      </c>
      <c r="C85">
        <v>23.84</v>
      </c>
      <c r="D85">
        <v>23.1</v>
      </c>
      <c r="E85">
        <v>23.389999</v>
      </c>
      <c r="F85">
        <v>22.970224000000002</v>
      </c>
      <c r="G85">
        <v>66269200</v>
      </c>
      <c r="I85">
        <f t="shared" si="5"/>
        <v>1.0367181095576647E-2</v>
      </c>
      <c r="J85">
        <v>0</v>
      </c>
      <c r="K85">
        <f t="shared" si="3"/>
        <v>1.0367181095576647E-2</v>
      </c>
      <c r="L85">
        <f t="shared" si="4"/>
        <v>1.0367181095576647</v>
      </c>
      <c r="M85">
        <v>1.51</v>
      </c>
    </row>
    <row r="86" spans="1:13" x14ac:dyDescent="0.2">
      <c r="A86" s="1">
        <v>44012</v>
      </c>
      <c r="B86">
        <v>23.200001</v>
      </c>
      <c r="C86">
        <v>23.91</v>
      </c>
      <c r="D86">
        <v>23.1</v>
      </c>
      <c r="E86">
        <v>23.75</v>
      </c>
      <c r="F86">
        <v>23.323765000000002</v>
      </c>
      <c r="G86">
        <v>61716200</v>
      </c>
      <c r="I86">
        <f t="shared" si="5"/>
        <v>1.5391273502600578E-2</v>
      </c>
      <c r="J86">
        <v>0</v>
      </c>
      <c r="K86">
        <f t="shared" si="3"/>
        <v>1.5391273502600578E-2</v>
      </c>
      <c r="L86">
        <f t="shared" si="4"/>
        <v>1.5391273502600578</v>
      </c>
      <c r="M86">
        <v>1.58</v>
      </c>
    </row>
    <row r="87" spans="1:13" x14ac:dyDescent="0.2">
      <c r="A87" s="1">
        <v>44013</v>
      </c>
      <c r="B87">
        <v>24.030000999999999</v>
      </c>
      <c r="C87">
        <v>24.07</v>
      </c>
      <c r="D87">
        <v>23.23</v>
      </c>
      <c r="E87">
        <v>23.26</v>
      </c>
      <c r="F87">
        <v>22.842558</v>
      </c>
      <c r="G87">
        <v>57379900</v>
      </c>
      <c r="I87">
        <f t="shared" si="5"/>
        <v>-2.0631617579751863E-2</v>
      </c>
      <c r="J87">
        <v>0</v>
      </c>
      <c r="K87">
        <f t="shared" si="3"/>
        <v>-2.0631617579751863E-2</v>
      </c>
      <c r="L87">
        <f t="shared" si="4"/>
        <v>-2.0631617579751862</v>
      </c>
      <c r="M87">
        <v>0.41</v>
      </c>
    </row>
    <row r="88" spans="1:13" x14ac:dyDescent="0.2">
      <c r="A88" s="1">
        <v>44014</v>
      </c>
      <c r="B88">
        <v>23.84</v>
      </c>
      <c r="C88">
        <v>23.99</v>
      </c>
      <c r="D88">
        <v>23.219999000000001</v>
      </c>
      <c r="E88">
        <v>23.290001</v>
      </c>
      <c r="F88">
        <v>22.872021</v>
      </c>
      <c r="G88">
        <v>56000200</v>
      </c>
      <c r="I88">
        <f t="shared" si="5"/>
        <v>1.2898292739368241E-3</v>
      </c>
      <c r="J88">
        <v>0</v>
      </c>
      <c r="K88">
        <f t="shared" si="3"/>
        <v>1.2898292739368241E-3</v>
      </c>
      <c r="L88">
        <f t="shared" si="4"/>
        <v>0.12898292739368242</v>
      </c>
      <c r="M88">
        <v>0.5</v>
      </c>
    </row>
    <row r="89" spans="1:13" x14ac:dyDescent="0.2">
      <c r="A89" s="1">
        <v>44018</v>
      </c>
      <c r="B89">
        <v>23.82</v>
      </c>
      <c r="C89">
        <v>24.08</v>
      </c>
      <c r="D89">
        <v>23.459999</v>
      </c>
      <c r="E89">
        <v>23.66</v>
      </c>
      <c r="F89">
        <v>23.235378000000001</v>
      </c>
      <c r="G89">
        <v>59589000</v>
      </c>
      <c r="I89">
        <f t="shared" si="5"/>
        <v>1.5886527911110285E-2</v>
      </c>
      <c r="J89">
        <v>0</v>
      </c>
      <c r="K89">
        <f t="shared" si="3"/>
        <v>1.5886527911110285E-2</v>
      </c>
      <c r="L89">
        <f t="shared" si="4"/>
        <v>1.5886527911110286</v>
      </c>
      <c r="M89">
        <v>1.65</v>
      </c>
    </row>
    <row r="90" spans="1:13" x14ac:dyDescent="0.2">
      <c r="A90" s="1">
        <v>44019</v>
      </c>
      <c r="B90">
        <v>23.379999000000002</v>
      </c>
      <c r="C90">
        <v>23.389999</v>
      </c>
      <c r="D90">
        <v>22.9</v>
      </c>
      <c r="E90">
        <v>23.01</v>
      </c>
      <c r="F90">
        <v>22.597045999999999</v>
      </c>
      <c r="G90">
        <v>60645800</v>
      </c>
      <c r="I90">
        <f t="shared" si="5"/>
        <v>-2.7472417276792394E-2</v>
      </c>
      <c r="J90">
        <v>0</v>
      </c>
      <c r="K90">
        <f t="shared" si="3"/>
        <v>-2.7472417276792394E-2</v>
      </c>
      <c r="L90">
        <f t="shared" si="4"/>
        <v>-2.7472417276792394</v>
      </c>
      <c r="M90">
        <v>-1.03</v>
      </c>
    </row>
    <row r="91" spans="1:13" x14ac:dyDescent="0.2">
      <c r="A91" s="1">
        <v>44020</v>
      </c>
      <c r="B91">
        <v>23.030000999999999</v>
      </c>
      <c r="C91">
        <v>23.190000999999999</v>
      </c>
      <c r="D91">
        <v>22.700001</v>
      </c>
      <c r="E91">
        <v>23.1</v>
      </c>
      <c r="F91">
        <v>22.685428999999999</v>
      </c>
      <c r="G91">
        <v>52922600</v>
      </c>
      <c r="I91">
        <f t="shared" si="5"/>
        <v>3.9112634456734E-3</v>
      </c>
      <c r="J91">
        <v>0</v>
      </c>
      <c r="K91">
        <f t="shared" si="3"/>
        <v>3.9112634456734E-3</v>
      </c>
      <c r="L91">
        <f t="shared" si="4"/>
        <v>0.39112634456734002</v>
      </c>
      <c r="M91">
        <v>0.91</v>
      </c>
    </row>
    <row r="92" spans="1:13" x14ac:dyDescent="0.2">
      <c r="A92" s="1">
        <v>44021</v>
      </c>
      <c r="B92">
        <v>22.940000999999999</v>
      </c>
      <c r="C92">
        <v>23.16</v>
      </c>
      <c r="D92">
        <v>22.389999</v>
      </c>
      <c r="E92">
        <v>22.77</v>
      </c>
      <c r="F92">
        <v>22.361353000000001</v>
      </c>
      <c r="G92">
        <v>79385900</v>
      </c>
      <c r="I92">
        <f t="shared" si="5"/>
        <v>-1.4285645645052516E-2</v>
      </c>
      <c r="J92">
        <v>0</v>
      </c>
      <c r="K92">
        <f t="shared" si="3"/>
        <v>-1.4285645645052516E-2</v>
      </c>
      <c r="L92">
        <f t="shared" si="4"/>
        <v>-1.4285645645052516</v>
      </c>
      <c r="M92">
        <v>-0.53</v>
      </c>
    </row>
    <row r="93" spans="1:13" x14ac:dyDescent="0.2">
      <c r="A93" s="1">
        <v>44022</v>
      </c>
      <c r="B93">
        <v>22.709999</v>
      </c>
      <c r="C93">
        <v>24.049999</v>
      </c>
      <c r="D93">
        <v>22.68</v>
      </c>
      <c r="E93">
        <v>24.02</v>
      </c>
      <c r="F93">
        <v>23.588919000000001</v>
      </c>
      <c r="G93">
        <v>81142900</v>
      </c>
      <c r="I93">
        <f t="shared" si="5"/>
        <v>5.4896767650866179E-2</v>
      </c>
      <c r="J93">
        <v>0</v>
      </c>
      <c r="K93">
        <f t="shared" si="3"/>
        <v>5.4896767650866179E-2</v>
      </c>
      <c r="L93">
        <f t="shared" si="4"/>
        <v>5.4896767650866183</v>
      </c>
      <c r="M93">
        <v>1.1100000000000001</v>
      </c>
    </row>
    <row r="94" spans="1:13" x14ac:dyDescent="0.2">
      <c r="A94" s="1">
        <v>44025</v>
      </c>
      <c r="B94">
        <v>24.370000999999998</v>
      </c>
      <c r="C94">
        <v>24.51</v>
      </c>
      <c r="D94">
        <v>23.860001</v>
      </c>
      <c r="E94">
        <v>24.190000999999999</v>
      </c>
      <c r="F94">
        <v>23.755869000000001</v>
      </c>
      <c r="G94">
        <v>73598100</v>
      </c>
      <c r="I94">
        <f t="shared" si="5"/>
        <v>7.0774756571083198E-3</v>
      </c>
      <c r="J94">
        <v>0</v>
      </c>
      <c r="K94">
        <f t="shared" si="3"/>
        <v>7.0774756571083198E-3</v>
      </c>
      <c r="L94">
        <f t="shared" si="4"/>
        <v>0.70774756571083197</v>
      </c>
      <c r="M94">
        <v>-1.2</v>
      </c>
    </row>
    <row r="95" spans="1:13" x14ac:dyDescent="0.2">
      <c r="A95" s="1">
        <v>44026</v>
      </c>
      <c r="B95">
        <v>23.889999</v>
      </c>
      <c r="C95">
        <v>24.15</v>
      </c>
      <c r="D95">
        <v>23.450001</v>
      </c>
      <c r="E95">
        <v>24.139999</v>
      </c>
      <c r="F95">
        <v>23.706762000000001</v>
      </c>
      <c r="G95">
        <v>67423100</v>
      </c>
      <c r="I95">
        <f t="shared" si="5"/>
        <v>-2.0671523319142457E-3</v>
      </c>
      <c r="J95">
        <v>0</v>
      </c>
      <c r="K95">
        <f t="shared" si="3"/>
        <v>-2.0671523319142457E-3</v>
      </c>
      <c r="L95">
        <f t="shared" si="4"/>
        <v>-0.20671523319142457</v>
      </c>
      <c r="M95">
        <v>1.35</v>
      </c>
    </row>
    <row r="96" spans="1:13" x14ac:dyDescent="0.2">
      <c r="A96" s="1">
        <v>44027</v>
      </c>
      <c r="B96">
        <v>24.76</v>
      </c>
      <c r="C96">
        <v>24.870000999999998</v>
      </c>
      <c r="D96">
        <v>24.280000999999999</v>
      </c>
      <c r="E96">
        <v>24.6</v>
      </c>
      <c r="F96">
        <v>24.15851</v>
      </c>
      <c r="G96">
        <v>57384400</v>
      </c>
      <c r="I96">
        <f t="shared" si="5"/>
        <v>1.9055660152997634E-2</v>
      </c>
      <c r="J96">
        <v>0</v>
      </c>
      <c r="K96">
        <f t="shared" si="3"/>
        <v>1.9055660152997634E-2</v>
      </c>
      <c r="L96">
        <f t="shared" si="4"/>
        <v>1.9055660152997633</v>
      </c>
      <c r="M96">
        <v>1.1399999999999999</v>
      </c>
    </row>
    <row r="97" spans="1:13" x14ac:dyDescent="0.2">
      <c r="A97" s="1">
        <v>44028</v>
      </c>
      <c r="B97">
        <v>23.75</v>
      </c>
      <c r="C97">
        <v>24.219999000000001</v>
      </c>
      <c r="D97">
        <v>23.540001</v>
      </c>
      <c r="E97">
        <v>23.93</v>
      </c>
      <c r="F97">
        <v>23.500536</v>
      </c>
      <c r="G97">
        <v>78067100</v>
      </c>
      <c r="I97">
        <f t="shared" si="5"/>
        <v>-2.7235702864125289E-2</v>
      </c>
      <c r="J97">
        <v>0</v>
      </c>
      <c r="K97">
        <f t="shared" si="3"/>
        <v>-2.7235702864125289E-2</v>
      </c>
      <c r="L97">
        <f t="shared" si="4"/>
        <v>-2.7235702864125289</v>
      </c>
      <c r="M97">
        <v>-0.37</v>
      </c>
    </row>
    <row r="98" spans="1:13" x14ac:dyDescent="0.2">
      <c r="A98" s="1">
        <v>44029</v>
      </c>
      <c r="B98">
        <v>23.879999000000002</v>
      </c>
      <c r="C98">
        <v>23.98</v>
      </c>
      <c r="D98">
        <v>23.200001</v>
      </c>
      <c r="E98">
        <v>23.219999000000001</v>
      </c>
      <c r="F98">
        <v>22.803273999999998</v>
      </c>
      <c r="G98">
        <v>66659100</v>
      </c>
      <c r="I98">
        <f t="shared" si="5"/>
        <v>-2.9670046674680189E-2</v>
      </c>
      <c r="J98">
        <v>0</v>
      </c>
      <c r="K98">
        <f t="shared" si="3"/>
        <v>-2.9670046674680189E-2</v>
      </c>
      <c r="L98">
        <f t="shared" si="4"/>
        <v>-2.9670046674680188</v>
      </c>
      <c r="M98">
        <v>0.3</v>
      </c>
    </row>
    <row r="99" spans="1:13" x14ac:dyDescent="0.2">
      <c r="A99" s="1">
        <v>44032</v>
      </c>
      <c r="B99">
        <v>23.190000999999999</v>
      </c>
      <c r="C99">
        <v>23.700001</v>
      </c>
      <c r="D99">
        <v>23.110001</v>
      </c>
      <c r="E99">
        <v>23.58</v>
      </c>
      <c r="F99">
        <v>23.156815999999999</v>
      </c>
      <c r="G99">
        <v>61114000</v>
      </c>
      <c r="I99">
        <f t="shared" si="5"/>
        <v>1.5504001749924197E-2</v>
      </c>
      <c r="J99">
        <v>0</v>
      </c>
      <c r="K99">
        <f t="shared" si="3"/>
        <v>1.5504001749924197E-2</v>
      </c>
      <c r="L99">
        <f t="shared" si="4"/>
        <v>1.5504001749924197</v>
      </c>
      <c r="M99">
        <v>1.01</v>
      </c>
    </row>
    <row r="100" spans="1:13" x14ac:dyDescent="0.2">
      <c r="A100" s="1">
        <v>44033</v>
      </c>
      <c r="B100">
        <v>23.709999</v>
      </c>
      <c r="C100">
        <v>24.48</v>
      </c>
      <c r="D100">
        <v>23.690000999999999</v>
      </c>
      <c r="E100">
        <v>24.42</v>
      </c>
      <c r="F100">
        <v>23.981739000000001</v>
      </c>
      <c r="G100">
        <v>75546100</v>
      </c>
      <c r="I100">
        <f t="shared" si="5"/>
        <v>3.5623334399686117E-2</v>
      </c>
      <c r="J100">
        <v>0</v>
      </c>
      <c r="K100">
        <f t="shared" si="3"/>
        <v>3.5623334399686117E-2</v>
      </c>
      <c r="L100">
        <f t="shared" si="4"/>
        <v>3.5623334399686115</v>
      </c>
      <c r="M100">
        <v>0.16</v>
      </c>
    </row>
    <row r="101" spans="1:13" x14ac:dyDescent="0.2">
      <c r="A101" s="1">
        <v>44034</v>
      </c>
      <c r="B101">
        <v>24.24</v>
      </c>
      <c r="C101">
        <v>24.33</v>
      </c>
      <c r="D101">
        <v>23.969999000000001</v>
      </c>
      <c r="E101">
        <v>24.309999000000001</v>
      </c>
      <c r="F101">
        <v>23.873714</v>
      </c>
      <c r="G101">
        <v>52193700</v>
      </c>
      <c r="I101">
        <f t="shared" si="5"/>
        <v>-4.5044690045205381E-3</v>
      </c>
      <c r="J101">
        <v>0</v>
      </c>
      <c r="K101">
        <f t="shared" si="3"/>
        <v>-4.5044690045205381E-3</v>
      </c>
      <c r="L101">
        <f t="shared" si="4"/>
        <v>-0.45044690045205382</v>
      </c>
      <c r="M101">
        <v>0.49</v>
      </c>
    </row>
    <row r="102" spans="1:13" x14ac:dyDescent="0.2">
      <c r="A102" s="1">
        <v>44035</v>
      </c>
      <c r="B102">
        <v>24.52</v>
      </c>
      <c r="C102">
        <v>24.639999</v>
      </c>
      <c r="D102">
        <v>24.110001</v>
      </c>
      <c r="E102">
        <v>24.540001</v>
      </c>
      <c r="F102">
        <v>24.099588000000001</v>
      </c>
      <c r="G102">
        <v>61047600</v>
      </c>
      <c r="I102">
        <f t="shared" si="5"/>
        <v>9.4612007164030284E-3</v>
      </c>
      <c r="J102">
        <v>0</v>
      </c>
      <c r="K102">
        <f t="shared" si="3"/>
        <v>9.4612007164030284E-3</v>
      </c>
      <c r="L102">
        <f t="shared" si="4"/>
        <v>0.94612007164030287</v>
      </c>
      <c r="M102">
        <v>-1.2</v>
      </c>
    </row>
    <row r="103" spans="1:13" x14ac:dyDescent="0.2">
      <c r="A103" s="1">
        <v>44036</v>
      </c>
      <c r="B103">
        <v>24.559999000000001</v>
      </c>
      <c r="C103">
        <v>24.83</v>
      </c>
      <c r="D103">
        <v>24.27</v>
      </c>
      <c r="E103">
        <v>24.35</v>
      </c>
      <c r="F103">
        <v>23.912996</v>
      </c>
      <c r="G103">
        <v>50217600</v>
      </c>
      <c r="I103">
        <f t="shared" si="5"/>
        <v>-7.7425390010817186E-3</v>
      </c>
      <c r="J103">
        <v>0</v>
      </c>
      <c r="K103">
        <f t="shared" si="3"/>
        <v>-7.7425390010817186E-3</v>
      </c>
      <c r="L103">
        <f t="shared" si="4"/>
        <v>-0.77425390010817186</v>
      </c>
      <c r="M103">
        <v>-0.75</v>
      </c>
    </row>
    <row r="104" spans="1:13" x14ac:dyDescent="0.2">
      <c r="A104" s="1">
        <v>44039</v>
      </c>
      <c r="B104">
        <v>24.219999000000001</v>
      </c>
      <c r="C104">
        <v>24.27</v>
      </c>
      <c r="D104">
        <v>23.879999000000002</v>
      </c>
      <c r="E104">
        <v>24.139999</v>
      </c>
      <c r="F104">
        <v>23.706762000000001</v>
      </c>
      <c r="G104">
        <v>54721300</v>
      </c>
      <c r="I104">
        <f t="shared" si="5"/>
        <v>-8.6243480323418484E-3</v>
      </c>
      <c r="J104">
        <v>0</v>
      </c>
      <c r="K104">
        <f t="shared" si="3"/>
        <v>-8.6243480323418484E-3</v>
      </c>
      <c r="L104">
        <f t="shared" si="4"/>
        <v>-0.86243480323418487</v>
      </c>
      <c r="M104">
        <v>0.88</v>
      </c>
    </row>
    <row r="105" spans="1:13" x14ac:dyDescent="0.2">
      <c r="A105" s="1">
        <v>44040</v>
      </c>
      <c r="B105">
        <v>24.129999000000002</v>
      </c>
      <c r="C105">
        <v>24.559999000000001</v>
      </c>
      <c r="D105">
        <v>24.08</v>
      </c>
      <c r="E105">
        <v>24.360001</v>
      </c>
      <c r="F105">
        <v>23.922819</v>
      </c>
      <c r="G105">
        <v>48406500</v>
      </c>
      <c r="I105">
        <f t="shared" si="5"/>
        <v>9.1137288171197432E-3</v>
      </c>
      <c r="J105">
        <v>0</v>
      </c>
      <c r="K105">
        <f t="shared" si="3"/>
        <v>9.1137288171197432E-3</v>
      </c>
      <c r="L105">
        <f t="shared" si="4"/>
        <v>0.91137288171197428</v>
      </c>
      <c r="M105">
        <v>-0.81</v>
      </c>
    </row>
    <row r="106" spans="1:13" x14ac:dyDescent="0.2">
      <c r="A106" s="1">
        <v>44041</v>
      </c>
      <c r="B106">
        <v>24.360001</v>
      </c>
      <c r="C106">
        <v>25.290001</v>
      </c>
      <c r="D106">
        <v>24.190000999999999</v>
      </c>
      <c r="E106">
        <v>25.27</v>
      </c>
      <c r="F106">
        <v>24.816486000000001</v>
      </c>
      <c r="G106">
        <v>71393500</v>
      </c>
      <c r="I106">
        <f t="shared" si="5"/>
        <v>3.735625805637708E-2</v>
      </c>
      <c r="J106">
        <v>0</v>
      </c>
      <c r="K106">
        <f t="shared" si="3"/>
        <v>3.735625805637708E-2</v>
      </c>
      <c r="L106">
        <f t="shared" si="4"/>
        <v>3.7356258056377079</v>
      </c>
      <c r="M106">
        <v>1.35</v>
      </c>
    </row>
    <row r="107" spans="1:13" x14ac:dyDescent="0.2">
      <c r="A107" s="1">
        <v>44042</v>
      </c>
      <c r="B107">
        <v>24.719999000000001</v>
      </c>
      <c r="C107">
        <v>24.950001</v>
      </c>
      <c r="D107">
        <v>24.35</v>
      </c>
      <c r="E107">
        <v>24.84</v>
      </c>
      <c r="F107">
        <v>24.394203000000001</v>
      </c>
      <c r="G107">
        <v>61755900</v>
      </c>
      <c r="I107">
        <f t="shared" si="5"/>
        <v>-1.7016228647359671E-2</v>
      </c>
      <c r="J107">
        <v>0</v>
      </c>
      <c r="K107">
        <f t="shared" si="3"/>
        <v>-1.7016228647359671E-2</v>
      </c>
      <c r="L107">
        <f t="shared" si="4"/>
        <v>-1.701622864735967</v>
      </c>
      <c r="M107">
        <v>-0.28999999999999998</v>
      </c>
    </row>
    <row r="108" spans="1:13" x14ac:dyDescent="0.2">
      <c r="A108" s="1">
        <v>44043</v>
      </c>
      <c r="B108">
        <v>24.93</v>
      </c>
      <c r="C108">
        <v>24.950001</v>
      </c>
      <c r="D108">
        <v>24.459999</v>
      </c>
      <c r="E108">
        <v>24.879999000000002</v>
      </c>
      <c r="F108">
        <v>24.433485000000001</v>
      </c>
      <c r="G108">
        <v>62039200</v>
      </c>
      <c r="I108">
        <f t="shared" si="5"/>
        <v>1.6103006111738939E-3</v>
      </c>
      <c r="J108">
        <v>0</v>
      </c>
      <c r="K108">
        <f t="shared" si="3"/>
        <v>1.6103006111738939E-3</v>
      </c>
      <c r="L108">
        <f t="shared" si="4"/>
        <v>0.16103006111738938</v>
      </c>
      <c r="M108">
        <v>0.61</v>
      </c>
    </row>
    <row r="109" spans="1:13" x14ac:dyDescent="0.2">
      <c r="A109" s="1">
        <v>44046</v>
      </c>
      <c r="B109">
        <v>25.030000999999999</v>
      </c>
      <c r="C109">
        <v>25.309999000000001</v>
      </c>
      <c r="D109">
        <v>24.690000999999999</v>
      </c>
      <c r="E109">
        <v>24.99</v>
      </c>
      <c r="F109">
        <v>24.541512000000001</v>
      </c>
      <c r="G109">
        <v>58284000</v>
      </c>
      <c r="I109">
        <f t="shared" si="5"/>
        <v>4.4212685992194673E-3</v>
      </c>
      <c r="J109">
        <v>0</v>
      </c>
      <c r="K109">
        <f t="shared" si="3"/>
        <v>4.4212685992194673E-3</v>
      </c>
      <c r="L109">
        <f t="shared" si="4"/>
        <v>0.44212685992194672</v>
      </c>
      <c r="M109">
        <v>0.98</v>
      </c>
    </row>
    <row r="110" spans="1:13" x14ac:dyDescent="0.2">
      <c r="A110" s="1">
        <v>44047</v>
      </c>
      <c r="B110">
        <v>24.959999</v>
      </c>
      <c r="C110">
        <v>25.059999000000001</v>
      </c>
      <c r="D110">
        <v>24.860001</v>
      </c>
      <c r="E110">
        <v>25.01</v>
      </c>
      <c r="F110">
        <v>24.561153000000001</v>
      </c>
      <c r="G110">
        <v>37985300</v>
      </c>
      <c r="I110">
        <f t="shared" si="5"/>
        <v>8.0031743765420892E-4</v>
      </c>
      <c r="J110">
        <v>0</v>
      </c>
      <c r="K110">
        <f t="shared" si="3"/>
        <v>8.0031743765420892E-4</v>
      </c>
      <c r="L110">
        <f t="shared" si="4"/>
        <v>8.0031743765420896E-2</v>
      </c>
      <c r="M110">
        <v>0.37</v>
      </c>
    </row>
    <row r="111" spans="1:13" x14ac:dyDescent="0.2">
      <c r="A111" s="1">
        <v>44048</v>
      </c>
      <c r="B111">
        <v>25.32</v>
      </c>
      <c r="C111">
        <v>25.59</v>
      </c>
      <c r="D111">
        <v>25.25</v>
      </c>
      <c r="E111">
        <v>25.389999</v>
      </c>
      <c r="F111">
        <v>24.934332000000001</v>
      </c>
      <c r="G111">
        <v>51695600</v>
      </c>
      <c r="I111">
        <f t="shared" si="5"/>
        <v>1.5193871395206908E-2</v>
      </c>
      <c r="J111">
        <v>0</v>
      </c>
      <c r="K111">
        <f t="shared" si="3"/>
        <v>1.5193871395206908E-2</v>
      </c>
      <c r="L111">
        <f t="shared" si="4"/>
        <v>1.5193871395206908</v>
      </c>
      <c r="M111">
        <v>0.78</v>
      </c>
    </row>
    <row r="112" spans="1:13" x14ac:dyDescent="0.2">
      <c r="A112" s="1">
        <v>44049</v>
      </c>
      <c r="B112">
        <v>25.450001</v>
      </c>
      <c r="C112">
        <v>25.67</v>
      </c>
      <c r="D112">
        <v>25.280000999999999</v>
      </c>
      <c r="E112">
        <v>25.469999000000001</v>
      </c>
      <c r="F112">
        <v>25.012896000000001</v>
      </c>
      <c r="G112">
        <v>51999700</v>
      </c>
      <c r="I112">
        <f t="shared" si="5"/>
        <v>3.1508363648964036E-3</v>
      </c>
      <c r="J112">
        <v>0</v>
      </c>
      <c r="K112">
        <f t="shared" si="3"/>
        <v>3.1508363648964036E-3</v>
      </c>
      <c r="L112">
        <f t="shared" si="4"/>
        <v>0.31508363648964038</v>
      </c>
      <c r="M112">
        <v>0.53</v>
      </c>
    </row>
    <row r="113" spans="1:13" x14ac:dyDescent="0.2">
      <c r="A113" s="1">
        <v>44050</v>
      </c>
      <c r="B113">
        <v>25.34</v>
      </c>
      <c r="C113">
        <v>26.190000999999999</v>
      </c>
      <c r="D113">
        <v>25.26</v>
      </c>
      <c r="E113">
        <v>26.110001</v>
      </c>
      <c r="F113">
        <v>25.641408999999999</v>
      </c>
      <c r="G113">
        <v>63354500</v>
      </c>
      <c r="I113">
        <f t="shared" si="5"/>
        <v>2.5127558200377841E-2</v>
      </c>
      <c r="J113">
        <v>0</v>
      </c>
      <c r="K113">
        <f t="shared" si="3"/>
        <v>2.5127558200377841E-2</v>
      </c>
      <c r="L113">
        <f t="shared" si="4"/>
        <v>2.5127558200377842</v>
      </c>
      <c r="M113">
        <v>0.02</v>
      </c>
    </row>
    <row r="114" spans="1:13" x14ac:dyDescent="0.2">
      <c r="A114" s="1">
        <v>44053</v>
      </c>
      <c r="B114">
        <v>26.309999000000001</v>
      </c>
      <c r="C114">
        <v>26.809999000000001</v>
      </c>
      <c r="D114">
        <v>26.209999</v>
      </c>
      <c r="E114">
        <v>26.559999000000001</v>
      </c>
      <c r="F114">
        <v>26.083334000000001</v>
      </c>
      <c r="G114">
        <v>64051100</v>
      </c>
      <c r="I114">
        <f t="shared" si="5"/>
        <v>1.7234817322246264E-2</v>
      </c>
      <c r="J114">
        <v>0</v>
      </c>
      <c r="K114">
        <f t="shared" si="3"/>
        <v>1.7234817322246264E-2</v>
      </c>
      <c r="L114">
        <f t="shared" si="4"/>
        <v>1.7234817322246263</v>
      </c>
      <c r="M114">
        <v>0.24</v>
      </c>
    </row>
    <row r="115" spans="1:13" x14ac:dyDescent="0.2">
      <c r="A115" s="1">
        <v>44054</v>
      </c>
      <c r="B115">
        <v>27.280000999999999</v>
      </c>
      <c r="C115">
        <v>27.75</v>
      </c>
      <c r="D115">
        <v>26.780000999999999</v>
      </c>
      <c r="E115">
        <v>26.92</v>
      </c>
      <c r="F115">
        <v>26.436874</v>
      </c>
      <c r="G115">
        <v>81441000</v>
      </c>
      <c r="I115">
        <f t="shared" si="5"/>
        <v>1.3554248854843435E-2</v>
      </c>
      <c r="J115">
        <v>0</v>
      </c>
      <c r="K115">
        <f t="shared" si="3"/>
        <v>1.3554248854843435E-2</v>
      </c>
      <c r="L115">
        <f t="shared" si="4"/>
        <v>1.3554248854843436</v>
      </c>
      <c r="M115">
        <v>-0.83</v>
      </c>
    </row>
    <row r="116" spans="1:13" x14ac:dyDescent="0.2">
      <c r="A116" s="1">
        <v>44055</v>
      </c>
      <c r="B116">
        <v>27.48</v>
      </c>
      <c r="C116">
        <v>27.57</v>
      </c>
      <c r="D116">
        <v>26.41</v>
      </c>
      <c r="E116">
        <v>26.73</v>
      </c>
      <c r="F116">
        <v>26.250284000000001</v>
      </c>
      <c r="G116">
        <v>62024000</v>
      </c>
      <c r="I116">
        <f t="shared" si="5"/>
        <v>-7.0579448992342635E-3</v>
      </c>
      <c r="J116">
        <v>0</v>
      </c>
      <c r="K116">
        <f t="shared" si="3"/>
        <v>-7.0579448992342635E-3</v>
      </c>
      <c r="L116">
        <f t="shared" si="4"/>
        <v>-0.7057944899234263</v>
      </c>
      <c r="M116">
        <v>1.4</v>
      </c>
    </row>
    <row r="117" spans="1:13" x14ac:dyDescent="0.2">
      <c r="A117" s="1">
        <v>44056</v>
      </c>
      <c r="B117">
        <v>26.49</v>
      </c>
      <c r="C117">
        <v>26.67</v>
      </c>
      <c r="D117">
        <v>26.139999</v>
      </c>
      <c r="E117">
        <v>26.35</v>
      </c>
      <c r="F117">
        <v>25.877103999999999</v>
      </c>
      <c r="G117">
        <v>55955500</v>
      </c>
      <c r="I117">
        <f t="shared" si="5"/>
        <v>-1.4216227146342545E-2</v>
      </c>
      <c r="J117">
        <v>0</v>
      </c>
      <c r="K117">
        <f t="shared" si="3"/>
        <v>-1.4216227146342545E-2</v>
      </c>
      <c r="L117">
        <f t="shared" si="4"/>
        <v>-1.4216227146342546</v>
      </c>
      <c r="M117">
        <v>-0.01</v>
      </c>
    </row>
    <row r="118" spans="1:13" x14ac:dyDescent="0.2">
      <c r="A118" s="1">
        <v>44057</v>
      </c>
      <c r="B118">
        <v>26.059999000000001</v>
      </c>
      <c r="C118">
        <v>26.66</v>
      </c>
      <c r="D118">
        <v>25.92</v>
      </c>
      <c r="E118">
        <v>26.469999000000001</v>
      </c>
      <c r="F118">
        <v>25.994948999999998</v>
      </c>
      <c r="G118">
        <v>50931900</v>
      </c>
      <c r="I118">
        <f t="shared" si="5"/>
        <v>4.5540258291653923E-3</v>
      </c>
      <c r="J118">
        <v>0</v>
      </c>
      <c r="K118">
        <f t="shared" si="3"/>
        <v>4.5540258291653923E-3</v>
      </c>
      <c r="L118">
        <f t="shared" si="4"/>
        <v>0.45540258291653923</v>
      </c>
      <c r="M118">
        <v>-0.04</v>
      </c>
    </row>
    <row r="119" spans="1:13" x14ac:dyDescent="0.2">
      <c r="A119" s="1">
        <v>44060</v>
      </c>
      <c r="B119">
        <v>26.309999000000001</v>
      </c>
      <c r="C119">
        <v>26.41</v>
      </c>
      <c r="D119">
        <v>25.84</v>
      </c>
      <c r="E119">
        <v>25.9</v>
      </c>
      <c r="F119">
        <v>25.435179000000002</v>
      </c>
      <c r="G119">
        <v>57518700</v>
      </c>
      <c r="I119">
        <f t="shared" si="5"/>
        <v>-2.1533798739131853E-2</v>
      </c>
      <c r="J119">
        <v>0</v>
      </c>
      <c r="K119">
        <f t="shared" si="3"/>
        <v>-2.1533798739131853E-2</v>
      </c>
      <c r="L119">
        <f t="shared" si="4"/>
        <v>-2.1533798739131851</v>
      </c>
      <c r="M119">
        <v>0.45</v>
      </c>
    </row>
    <row r="120" spans="1:13" x14ac:dyDescent="0.2">
      <c r="A120" s="1">
        <v>44061</v>
      </c>
      <c r="B120">
        <v>25.870000999999998</v>
      </c>
      <c r="C120">
        <v>25.99</v>
      </c>
      <c r="D120">
        <v>25.459999</v>
      </c>
      <c r="E120">
        <v>25.530000999999999</v>
      </c>
      <c r="F120">
        <v>25.071821</v>
      </c>
      <c r="G120">
        <v>45850100</v>
      </c>
      <c r="I120">
        <f t="shared" si="5"/>
        <v>-1.4285647449149133E-2</v>
      </c>
      <c r="J120">
        <v>0</v>
      </c>
      <c r="K120">
        <f t="shared" si="3"/>
        <v>-1.4285647449149133E-2</v>
      </c>
      <c r="L120">
        <f t="shared" si="4"/>
        <v>-1.4285647449149133</v>
      </c>
      <c r="M120">
        <v>0.22</v>
      </c>
    </row>
    <row r="121" spans="1:13" x14ac:dyDescent="0.2">
      <c r="A121" s="1">
        <v>44062</v>
      </c>
      <c r="B121">
        <v>25.66</v>
      </c>
      <c r="C121">
        <v>26.08</v>
      </c>
      <c r="D121">
        <v>25.389999</v>
      </c>
      <c r="E121">
        <v>25.5</v>
      </c>
      <c r="F121">
        <v>25.042356000000002</v>
      </c>
      <c r="G121">
        <v>59856000</v>
      </c>
      <c r="I121">
        <f t="shared" si="5"/>
        <v>-1.1752237701441112E-3</v>
      </c>
      <c r="J121">
        <v>0</v>
      </c>
      <c r="K121">
        <f t="shared" si="3"/>
        <v>-1.1752237701441112E-3</v>
      </c>
      <c r="L121">
        <f t="shared" si="4"/>
        <v>-0.11752237701441112</v>
      </c>
      <c r="M121">
        <v>-0.38</v>
      </c>
    </row>
    <row r="122" spans="1:13" x14ac:dyDescent="0.2">
      <c r="A122" s="1">
        <v>44063</v>
      </c>
      <c r="B122">
        <v>25.16</v>
      </c>
      <c r="C122">
        <v>25.33</v>
      </c>
      <c r="D122">
        <v>25.02</v>
      </c>
      <c r="E122">
        <v>25.1</v>
      </c>
      <c r="F122">
        <v>24.649536000000001</v>
      </c>
      <c r="G122">
        <v>49403700</v>
      </c>
      <c r="I122">
        <f t="shared" si="5"/>
        <v>-1.5686223772236142E-2</v>
      </c>
      <c r="J122">
        <v>0</v>
      </c>
      <c r="K122">
        <f t="shared" si="3"/>
        <v>-1.5686223772236142E-2</v>
      </c>
      <c r="L122">
        <f t="shared" si="4"/>
        <v>-1.5686223772236143</v>
      </c>
      <c r="M122">
        <v>0.31</v>
      </c>
    </row>
    <row r="123" spans="1:13" x14ac:dyDescent="0.2">
      <c r="A123" s="1">
        <v>44064</v>
      </c>
      <c r="B123">
        <v>24.98</v>
      </c>
      <c r="C123">
        <v>25.43</v>
      </c>
      <c r="D123">
        <v>24.9</v>
      </c>
      <c r="E123">
        <v>24.98</v>
      </c>
      <c r="F123">
        <v>24.531689</v>
      </c>
      <c r="G123">
        <v>55010700</v>
      </c>
      <c r="I123">
        <f t="shared" si="5"/>
        <v>-4.7809013524636379E-3</v>
      </c>
      <c r="J123">
        <v>0</v>
      </c>
      <c r="K123">
        <f t="shared" si="3"/>
        <v>-4.7809013524636379E-3</v>
      </c>
      <c r="L123">
        <f t="shared" si="4"/>
        <v>-0.47809013524636379</v>
      </c>
      <c r="M123">
        <v>0.25</v>
      </c>
    </row>
    <row r="124" spans="1:13" x14ac:dyDescent="0.2">
      <c r="A124" s="1">
        <v>44067</v>
      </c>
      <c r="B124">
        <v>25.219999000000001</v>
      </c>
      <c r="C124">
        <v>25.700001</v>
      </c>
      <c r="D124">
        <v>25.040001</v>
      </c>
      <c r="E124">
        <v>25.690000999999999</v>
      </c>
      <c r="F124">
        <v>25.228950999999999</v>
      </c>
      <c r="G124">
        <v>54579500</v>
      </c>
      <c r="I124">
        <f t="shared" si="5"/>
        <v>2.8422910464909225E-2</v>
      </c>
      <c r="J124">
        <v>0</v>
      </c>
      <c r="K124">
        <f t="shared" si="3"/>
        <v>2.8422910464909225E-2</v>
      </c>
      <c r="L124">
        <f t="shared" si="4"/>
        <v>2.8422910464909226</v>
      </c>
      <c r="M124">
        <v>0.92</v>
      </c>
    </row>
    <row r="125" spans="1:13" x14ac:dyDescent="0.2">
      <c r="A125" s="1">
        <v>44068</v>
      </c>
      <c r="B125">
        <v>26.040001</v>
      </c>
      <c r="C125">
        <v>26.190000999999999</v>
      </c>
      <c r="D125">
        <v>25.73</v>
      </c>
      <c r="E125">
        <v>26</v>
      </c>
      <c r="F125">
        <v>25.533384000000002</v>
      </c>
      <c r="G125">
        <v>57304700</v>
      </c>
      <c r="I125">
        <f t="shared" si="5"/>
        <v>1.2066811656180357E-2</v>
      </c>
      <c r="J125">
        <v>0</v>
      </c>
      <c r="K125">
        <f t="shared" si="3"/>
        <v>1.2066811656180357E-2</v>
      </c>
      <c r="L125">
        <f t="shared" si="4"/>
        <v>1.2066811656180356</v>
      </c>
      <c r="M125">
        <v>0.36</v>
      </c>
    </row>
    <row r="126" spans="1:13" x14ac:dyDescent="0.2">
      <c r="A126" s="1">
        <v>44069</v>
      </c>
      <c r="B126">
        <v>25.940000999999999</v>
      </c>
      <c r="C126">
        <v>25.940000999999999</v>
      </c>
      <c r="D126">
        <v>25.540001</v>
      </c>
      <c r="E126">
        <v>25.559999000000001</v>
      </c>
      <c r="F126">
        <v>25.101279999999999</v>
      </c>
      <c r="G126">
        <v>39478000</v>
      </c>
      <c r="I126">
        <f t="shared" si="5"/>
        <v>-1.6923099578183699E-2</v>
      </c>
      <c r="J126">
        <v>0</v>
      </c>
      <c r="K126">
        <f t="shared" si="3"/>
        <v>-1.6923099578183699E-2</v>
      </c>
      <c r="L126">
        <f t="shared" si="4"/>
        <v>-1.69230995781837</v>
      </c>
      <c r="M126">
        <v>1</v>
      </c>
    </row>
    <row r="127" spans="1:13" x14ac:dyDescent="0.2">
      <c r="A127" s="1">
        <v>44070</v>
      </c>
      <c r="B127">
        <v>25.49</v>
      </c>
      <c r="C127">
        <v>26.219999000000001</v>
      </c>
      <c r="D127">
        <v>25.440000999999999</v>
      </c>
      <c r="E127">
        <v>26.049999</v>
      </c>
      <c r="F127">
        <v>25.582487</v>
      </c>
      <c r="G127">
        <v>52934800</v>
      </c>
      <c r="I127">
        <f t="shared" si="5"/>
        <v>1.9170616000458992E-2</v>
      </c>
      <c r="J127">
        <v>0</v>
      </c>
      <c r="K127">
        <f t="shared" si="3"/>
        <v>1.9170616000458992E-2</v>
      </c>
      <c r="L127">
        <f t="shared" si="4"/>
        <v>1.9170616000458991</v>
      </c>
      <c r="M127">
        <v>0.18</v>
      </c>
    </row>
    <row r="128" spans="1:13" x14ac:dyDescent="0.2">
      <c r="A128" s="1">
        <v>44071</v>
      </c>
      <c r="B128">
        <v>26.4</v>
      </c>
      <c r="C128">
        <v>26.469999000000001</v>
      </c>
      <c r="D128">
        <v>25.99</v>
      </c>
      <c r="E128">
        <v>26.299999</v>
      </c>
      <c r="F128">
        <v>25.827998999999998</v>
      </c>
      <c r="G128">
        <v>46466400</v>
      </c>
      <c r="I128">
        <f t="shared" si="5"/>
        <v>9.5968777390563302E-3</v>
      </c>
      <c r="J128">
        <v>0</v>
      </c>
      <c r="K128">
        <f t="shared" si="3"/>
        <v>9.5968777390563302E-3</v>
      </c>
      <c r="L128">
        <f t="shared" si="4"/>
        <v>0.95968777390563298</v>
      </c>
      <c r="M128">
        <v>0.7</v>
      </c>
    </row>
    <row r="129" spans="1:13" x14ac:dyDescent="0.2">
      <c r="A129" s="1">
        <v>44074</v>
      </c>
      <c r="B129">
        <v>26.09</v>
      </c>
      <c r="C129">
        <v>26.139999</v>
      </c>
      <c r="D129">
        <v>25.690000999999999</v>
      </c>
      <c r="E129">
        <v>25.74</v>
      </c>
      <c r="F129">
        <v>25.278048999999999</v>
      </c>
      <c r="G129">
        <v>49416200</v>
      </c>
      <c r="I129">
        <f t="shared" si="5"/>
        <v>-2.1292783850580106E-2</v>
      </c>
      <c r="J129">
        <v>0</v>
      </c>
      <c r="K129">
        <f t="shared" si="3"/>
        <v>-2.1292783850580106E-2</v>
      </c>
      <c r="L129">
        <f t="shared" si="4"/>
        <v>-2.1292783850580106</v>
      </c>
      <c r="M129">
        <v>-0.04</v>
      </c>
    </row>
    <row r="130" spans="1:13" x14ac:dyDescent="0.2">
      <c r="A130" s="1">
        <v>44075</v>
      </c>
      <c r="B130">
        <v>25.58</v>
      </c>
      <c r="C130">
        <v>25.9</v>
      </c>
      <c r="D130">
        <v>25.4</v>
      </c>
      <c r="E130">
        <v>25.709999</v>
      </c>
      <c r="F130">
        <v>25.248587000000001</v>
      </c>
      <c r="G130">
        <v>46152100</v>
      </c>
      <c r="I130">
        <f t="shared" si="5"/>
        <v>-1.1655171647146807E-3</v>
      </c>
      <c r="J130">
        <v>0</v>
      </c>
      <c r="K130">
        <f t="shared" si="3"/>
        <v>-1.1655171647146807E-3</v>
      </c>
      <c r="L130">
        <f t="shared" si="4"/>
        <v>-0.11655171647146807</v>
      </c>
      <c r="M130">
        <v>0.92</v>
      </c>
    </row>
    <row r="131" spans="1:13" x14ac:dyDescent="0.2">
      <c r="A131" s="1">
        <v>44076</v>
      </c>
      <c r="B131">
        <v>25.530000999999999</v>
      </c>
      <c r="C131">
        <v>26.16</v>
      </c>
      <c r="D131">
        <v>25.49</v>
      </c>
      <c r="E131">
        <v>26.02</v>
      </c>
      <c r="F131">
        <v>25.553025999999999</v>
      </c>
      <c r="G131">
        <v>57300900</v>
      </c>
      <c r="I131">
        <f t="shared" si="5"/>
        <v>1.2057664850710203E-2</v>
      </c>
      <c r="J131">
        <v>0</v>
      </c>
      <c r="K131">
        <f t="shared" si="3"/>
        <v>1.2057664850710203E-2</v>
      </c>
      <c r="L131">
        <f t="shared" si="4"/>
        <v>1.2057664850710204</v>
      </c>
      <c r="M131">
        <v>1.27</v>
      </c>
    </row>
    <row r="132" spans="1:13" x14ac:dyDescent="0.2">
      <c r="A132" s="1">
        <v>44077</v>
      </c>
      <c r="B132">
        <v>26.200001</v>
      </c>
      <c r="C132">
        <v>26.620000999999998</v>
      </c>
      <c r="D132">
        <v>25.459999</v>
      </c>
      <c r="E132">
        <v>25.66</v>
      </c>
      <c r="F132">
        <v>25.375025000000001</v>
      </c>
      <c r="G132">
        <v>86192500</v>
      </c>
      <c r="I132">
        <f t="shared" si="5"/>
        <v>-6.9659460292490726E-3</v>
      </c>
      <c r="J132">
        <v>0</v>
      </c>
      <c r="K132">
        <f t="shared" ref="K132:K195" si="6">I132-J132</f>
        <v>-6.9659460292490726E-3</v>
      </c>
      <c r="L132">
        <f t="shared" ref="L132:L195" si="7">100*K132</f>
        <v>-0.69659460292490727</v>
      </c>
      <c r="M132">
        <v>-3.7</v>
      </c>
    </row>
    <row r="133" spans="1:13" x14ac:dyDescent="0.2">
      <c r="A133" s="1">
        <v>44078</v>
      </c>
      <c r="B133">
        <v>26.26</v>
      </c>
      <c r="C133">
        <v>26.76</v>
      </c>
      <c r="D133">
        <v>25.799999</v>
      </c>
      <c r="E133">
        <v>26.540001</v>
      </c>
      <c r="F133">
        <v>26.245253000000002</v>
      </c>
      <c r="G133">
        <v>99621400</v>
      </c>
      <c r="I133">
        <f t="shared" ref="I133:I196" si="8">(F133-F132)/F132</f>
        <v>3.4294665719541199E-2</v>
      </c>
      <c r="J133">
        <v>0</v>
      </c>
      <c r="K133">
        <f t="shared" si="6"/>
        <v>3.4294665719541199E-2</v>
      </c>
      <c r="L133">
        <f t="shared" si="7"/>
        <v>3.4294665719541197</v>
      </c>
      <c r="M133">
        <v>-0.87</v>
      </c>
    </row>
    <row r="134" spans="1:13" x14ac:dyDescent="0.2">
      <c r="A134" s="1">
        <v>44082</v>
      </c>
      <c r="B134">
        <v>26.139999</v>
      </c>
      <c r="C134">
        <v>26.32</v>
      </c>
      <c r="D134">
        <v>25.389999</v>
      </c>
      <c r="E134">
        <v>25.48</v>
      </c>
      <c r="F134">
        <v>25.197023000000002</v>
      </c>
      <c r="G134">
        <v>74978600</v>
      </c>
      <c r="I134">
        <f t="shared" si="8"/>
        <v>-3.9939794064854324E-2</v>
      </c>
      <c r="J134">
        <v>0</v>
      </c>
      <c r="K134">
        <f t="shared" si="6"/>
        <v>-3.9939794064854324E-2</v>
      </c>
      <c r="L134">
        <f t="shared" si="7"/>
        <v>-3.9939794064854324</v>
      </c>
      <c r="M134">
        <v>-2.91</v>
      </c>
    </row>
    <row r="135" spans="1:13" x14ac:dyDescent="0.2">
      <c r="A135" s="1">
        <v>44083</v>
      </c>
      <c r="B135">
        <v>25.639999</v>
      </c>
      <c r="C135">
        <v>25.719999000000001</v>
      </c>
      <c r="D135">
        <v>25.23</v>
      </c>
      <c r="E135">
        <v>25.51</v>
      </c>
      <c r="F135">
        <v>25.226690000000001</v>
      </c>
      <c r="G135">
        <v>53822700</v>
      </c>
      <c r="I135">
        <f t="shared" si="8"/>
        <v>1.1774009969352287E-3</v>
      </c>
      <c r="J135">
        <v>0</v>
      </c>
      <c r="K135">
        <f t="shared" si="6"/>
        <v>1.1774009969352287E-3</v>
      </c>
      <c r="L135">
        <f t="shared" si="7"/>
        <v>0.11774009969352286</v>
      </c>
      <c r="M135">
        <v>2.0699999999999998</v>
      </c>
    </row>
    <row r="136" spans="1:13" x14ac:dyDescent="0.2">
      <c r="A136" s="1">
        <v>44084</v>
      </c>
      <c r="B136">
        <v>25.700001</v>
      </c>
      <c r="C136">
        <v>25.889999</v>
      </c>
      <c r="D136">
        <v>25.08</v>
      </c>
      <c r="E136">
        <v>25.139999</v>
      </c>
      <c r="F136">
        <v>24.860800000000001</v>
      </c>
      <c r="G136">
        <v>56609600</v>
      </c>
      <c r="I136">
        <f t="shared" si="8"/>
        <v>-1.4504082778993212E-2</v>
      </c>
      <c r="J136">
        <v>0</v>
      </c>
      <c r="K136">
        <f t="shared" si="6"/>
        <v>-1.4504082778993212E-2</v>
      </c>
      <c r="L136">
        <f t="shared" si="7"/>
        <v>-1.4504082778993213</v>
      </c>
      <c r="M136">
        <v>-1.64</v>
      </c>
    </row>
    <row r="137" spans="1:13" x14ac:dyDescent="0.2">
      <c r="A137" s="1">
        <v>44085</v>
      </c>
      <c r="B137">
        <v>25.219999000000001</v>
      </c>
      <c r="C137">
        <v>25.58</v>
      </c>
      <c r="D137">
        <v>25.09</v>
      </c>
      <c r="E137">
        <v>25.5</v>
      </c>
      <c r="F137">
        <v>25.216802999999999</v>
      </c>
      <c r="G137">
        <v>47708300</v>
      </c>
      <c r="I137">
        <f t="shared" si="8"/>
        <v>1.4319852941176374E-2</v>
      </c>
      <c r="J137">
        <v>0</v>
      </c>
      <c r="K137">
        <f t="shared" si="6"/>
        <v>1.4319852941176374E-2</v>
      </c>
      <c r="L137">
        <f t="shared" si="7"/>
        <v>1.4319852941176374</v>
      </c>
      <c r="M137">
        <v>-0.06</v>
      </c>
    </row>
    <row r="138" spans="1:13" x14ac:dyDescent="0.2">
      <c r="A138" s="1">
        <v>44088</v>
      </c>
      <c r="B138">
        <v>25.67</v>
      </c>
      <c r="C138">
        <v>25.99</v>
      </c>
      <c r="D138">
        <v>25.540001</v>
      </c>
      <c r="E138">
        <v>25.75</v>
      </c>
      <c r="F138">
        <v>25.464024999999999</v>
      </c>
      <c r="G138">
        <v>47802400</v>
      </c>
      <c r="I138">
        <f t="shared" si="8"/>
        <v>9.8038597517695145E-3</v>
      </c>
      <c r="J138">
        <v>0</v>
      </c>
      <c r="K138">
        <f t="shared" si="6"/>
        <v>9.8038597517695145E-3</v>
      </c>
      <c r="L138">
        <f t="shared" si="7"/>
        <v>0.98038597517695147</v>
      </c>
      <c r="M138">
        <v>1.59</v>
      </c>
    </row>
    <row r="139" spans="1:13" x14ac:dyDescent="0.2">
      <c r="A139" s="1">
        <v>44089</v>
      </c>
      <c r="B139">
        <v>25.77</v>
      </c>
      <c r="C139">
        <v>25.83</v>
      </c>
      <c r="D139">
        <v>25.190000999999999</v>
      </c>
      <c r="E139">
        <v>25.280000999999999</v>
      </c>
      <c r="F139">
        <v>24.999247</v>
      </c>
      <c r="G139">
        <v>63820200</v>
      </c>
      <c r="I139">
        <f t="shared" si="8"/>
        <v>-1.8252338347924141E-2</v>
      </c>
      <c r="J139">
        <v>0</v>
      </c>
      <c r="K139">
        <f t="shared" si="6"/>
        <v>-1.8252338347924141E-2</v>
      </c>
      <c r="L139">
        <f t="shared" si="7"/>
        <v>-1.8252338347924142</v>
      </c>
      <c r="M139">
        <v>0.56999999999999995</v>
      </c>
    </row>
    <row r="140" spans="1:13" x14ac:dyDescent="0.2">
      <c r="A140" s="1">
        <v>44090</v>
      </c>
      <c r="B140">
        <v>25.280000999999999</v>
      </c>
      <c r="C140">
        <v>25.91</v>
      </c>
      <c r="D140">
        <v>25.049999</v>
      </c>
      <c r="E140">
        <v>25.6</v>
      </c>
      <c r="F140">
        <v>25.315693</v>
      </c>
      <c r="G140">
        <v>64598600</v>
      </c>
      <c r="I140">
        <f t="shared" si="8"/>
        <v>1.2658221265624485E-2</v>
      </c>
      <c r="J140">
        <v>0</v>
      </c>
      <c r="K140">
        <f t="shared" si="6"/>
        <v>1.2658221265624485E-2</v>
      </c>
      <c r="L140">
        <f t="shared" si="7"/>
        <v>1.2658221265624485</v>
      </c>
      <c r="M140">
        <v>-0.39</v>
      </c>
    </row>
    <row r="141" spans="1:13" x14ac:dyDescent="0.2">
      <c r="A141" s="1">
        <v>44091</v>
      </c>
      <c r="B141">
        <v>25.129999000000002</v>
      </c>
      <c r="C141">
        <v>25.48</v>
      </c>
      <c r="D141">
        <v>25.1</v>
      </c>
      <c r="E141">
        <v>25.35</v>
      </c>
      <c r="F141">
        <v>25.068467999999999</v>
      </c>
      <c r="G141">
        <v>48862000</v>
      </c>
      <c r="I141">
        <f t="shared" si="8"/>
        <v>-9.7656817058099209E-3</v>
      </c>
      <c r="J141">
        <v>0</v>
      </c>
      <c r="K141">
        <f t="shared" si="6"/>
        <v>-9.7656817058099209E-3</v>
      </c>
      <c r="L141">
        <f t="shared" si="7"/>
        <v>-0.9765681705809921</v>
      </c>
      <c r="M141">
        <v>-0.85</v>
      </c>
    </row>
    <row r="142" spans="1:13" x14ac:dyDescent="0.2">
      <c r="A142" s="1">
        <v>44092</v>
      </c>
      <c r="B142">
        <v>25.15</v>
      </c>
      <c r="C142">
        <v>25.58</v>
      </c>
      <c r="D142">
        <v>25.1</v>
      </c>
      <c r="E142">
        <v>25.209999</v>
      </c>
      <c r="F142">
        <v>24.930021</v>
      </c>
      <c r="G142">
        <v>94055800</v>
      </c>
      <c r="I142">
        <f t="shared" si="8"/>
        <v>-5.5227547211899554E-3</v>
      </c>
      <c r="J142">
        <v>0</v>
      </c>
      <c r="K142">
        <f t="shared" si="6"/>
        <v>-5.5227547211899554E-3</v>
      </c>
      <c r="L142">
        <f t="shared" si="7"/>
        <v>-0.55227547211899553</v>
      </c>
      <c r="M142">
        <v>-0.88</v>
      </c>
    </row>
    <row r="143" spans="1:13" x14ac:dyDescent="0.2">
      <c r="A143" s="1">
        <v>44095</v>
      </c>
      <c r="B143">
        <v>24.57</v>
      </c>
      <c r="C143">
        <v>24.780000999999999</v>
      </c>
      <c r="D143">
        <v>24.030000999999999</v>
      </c>
      <c r="E143">
        <v>24.469999000000001</v>
      </c>
      <c r="F143">
        <v>24.198239999999998</v>
      </c>
      <c r="G143">
        <v>75218600</v>
      </c>
      <c r="I143">
        <f t="shared" si="8"/>
        <v>-2.9353404876794994E-2</v>
      </c>
      <c r="J143">
        <v>0</v>
      </c>
      <c r="K143">
        <f t="shared" si="6"/>
        <v>-2.9353404876794994E-2</v>
      </c>
      <c r="L143">
        <f t="shared" si="7"/>
        <v>-2.9353404876794995</v>
      </c>
      <c r="M143">
        <v>-1.08</v>
      </c>
    </row>
    <row r="144" spans="1:13" x14ac:dyDescent="0.2">
      <c r="A144" s="1">
        <v>44096</v>
      </c>
      <c r="B144">
        <v>24.27</v>
      </c>
      <c r="C144">
        <v>24.6</v>
      </c>
      <c r="D144">
        <v>23.809999000000001</v>
      </c>
      <c r="E144">
        <v>23.940000999999999</v>
      </c>
      <c r="F144">
        <v>23.674128</v>
      </c>
      <c r="G144">
        <v>68665300</v>
      </c>
      <c r="I144">
        <f t="shared" si="8"/>
        <v>-2.1659095868129204E-2</v>
      </c>
      <c r="J144">
        <v>0</v>
      </c>
      <c r="K144">
        <f t="shared" si="6"/>
        <v>-2.1659095868129204E-2</v>
      </c>
      <c r="L144">
        <f t="shared" si="7"/>
        <v>-2.1659095868129206</v>
      </c>
      <c r="M144">
        <v>1.02</v>
      </c>
    </row>
    <row r="145" spans="1:13" x14ac:dyDescent="0.2">
      <c r="A145" s="1">
        <v>44097</v>
      </c>
      <c r="B145">
        <v>24.1</v>
      </c>
      <c r="C145">
        <v>24.26</v>
      </c>
      <c r="D145">
        <v>23.26</v>
      </c>
      <c r="E145">
        <v>23.26</v>
      </c>
      <c r="F145">
        <v>23.00168</v>
      </c>
      <c r="G145">
        <v>59950300</v>
      </c>
      <c r="I145">
        <f t="shared" si="8"/>
        <v>-2.84043408061323E-2</v>
      </c>
      <c r="J145">
        <v>0</v>
      </c>
      <c r="K145">
        <f t="shared" si="6"/>
        <v>-2.84043408061323E-2</v>
      </c>
      <c r="L145">
        <f t="shared" si="7"/>
        <v>-2.84043408061323</v>
      </c>
      <c r="M145">
        <v>-2.48</v>
      </c>
    </row>
    <row r="146" spans="1:13" x14ac:dyDescent="0.2">
      <c r="A146" s="1">
        <v>44098</v>
      </c>
      <c r="B146">
        <v>23.379999000000002</v>
      </c>
      <c r="C146">
        <v>23.82</v>
      </c>
      <c r="D146">
        <v>22.950001</v>
      </c>
      <c r="E146">
        <v>23.34</v>
      </c>
      <c r="F146">
        <v>23.080791000000001</v>
      </c>
      <c r="G146">
        <v>53570700</v>
      </c>
      <c r="I146">
        <f t="shared" si="8"/>
        <v>3.4393574730194072E-3</v>
      </c>
      <c r="J146">
        <v>0</v>
      </c>
      <c r="K146">
        <f t="shared" si="6"/>
        <v>3.4393574730194072E-3</v>
      </c>
      <c r="L146">
        <f t="shared" si="7"/>
        <v>0.34393574730194071</v>
      </c>
      <c r="M146">
        <v>0.25</v>
      </c>
    </row>
    <row r="147" spans="1:13" x14ac:dyDescent="0.2">
      <c r="A147" s="1">
        <v>44099</v>
      </c>
      <c r="B147">
        <v>23.280000999999999</v>
      </c>
      <c r="C147">
        <v>23.549999</v>
      </c>
      <c r="D147">
        <v>23.129999000000002</v>
      </c>
      <c r="E147">
        <v>23.49</v>
      </c>
      <c r="F147">
        <v>23.229123999999999</v>
      </c>
      <c r="G147">
        <v>42111300</v>
      </c>
      <c r="I147">
        <f t="shared" si="8"/>
        <v>6.4266861564665342E-3</v>
      </c>
      <c r="J147">
        <v>0</v>
      </c>
      <c r="K147">
        <f t="shared" si="6"/>
        <v>6.4266861564665342E-3</v>
      </c>
      <c r="L147">
        <f t="shared" si="7"/>
        <v>0.64266861564665345</v>
      </c>
      <c r="M147">
        <v>1.72</v>
      </c>
    </row>
    <row r="148" spans="1:13" x14ac:dyDescent="0.2">
      <c r="A148" s="1">
        <v>44102</v>
      </c>
      <c r="B148">
        <v>23.879999000000002</v>
      </c>
      <c r="C148">
        <v>24.309999000000001</v>
      </c>
      <c r="D148">
        <v>23.790001</v>
      </c>
      <c r="E148">
        <v>24.09</v>
      </c>
      <c r="F148">
        <v>23.82246</v>
      </c>
      <c r="G148">
        <v>47996900</v>
      </c>
      <c r="I148">
        <f t="shared" si="8"/>
        <v>2.5542762611280596E-2</v>
      </c>
      <c r="J148">
        <v>0</v>
      </c>
      <c r="K148">
        <f t="shared" si="6"/>
        <v>2.5542762611280596E-2</v>
      </c>
      <c r="L148">
        <f t="shared" si="7"/>
        <v>2.5542762611280594</v>
      </c>
      <c r="M148">
        <v>1.66</v>
      </c>
    </row>
    <row r="149" spans="1:13" x14ac:dyDescent="0.2">
      <c r="A149" s="1">
        <v>44103</v>
      </c>
      <c r="B149">
        <v>23.98</v>
      </c>
      <c r="C149">
        <v>23.99</v>
      </c>
      <c r="D149">
        <v>23.530000999999999</v>
      </c>
      <c r="E149">
        <v>23.77</v>
      </c>
      <c r="F149">
        <v>23.506015999999999</v>
      </c>
      <c r="G149">
        <v>45695200</v>
      </c>
      <c r="I149">
        <f t="shared" si="8"/>
        <v>-1.3283430846352586E-2</v>
      </c>
      <c r="J149">
        <v>0</v>
      </c>
      <c r="K149">
        <f t="shared" si="6"/>
        <v>-1.3283430846352586E-2</v>
      </c>
      <c r="L149">
        <f t="shared" si="7"/>
        <v>-1.3283430846352586</v>
      </c>
      <c r="M149">
        <v>-0.42</v>
      </c>
    </row>
    <row r="150" spans="1:13" x14ac:dyDescent="0.2">
      <c r="A150" s="1">
        <v>44104</v>
      </c>
      <c r="B150">
        <v>23.780000999999999</v>
      </c>
      <c r="C150">
        <v>24.32</v>
      </c>
      <c r="D150">
        <v>23.77</v>
      </c>
      <c r="E150">
        <v>24.09</v>
      </c>
      <c r="F150">
        <v>23.82246</v>
      </c>
      <c r="G150">
        <v>56226100</v>
      </c>
      <c r="I150">
        <f t="shared" si="8"/>
        <v>1.3462255790177315E-2</v>
      </c>
      <c r="J150">
        <v>0</v>
      </c>
      <c r="K150">
        <f t="shared" si="6"/>
        <v>1.3462255790177315E-2</v>
      </c>
      <c r="L150">
        <f t="shared" si="7"/>
        <v>1.3462255790177315</v>
      </c>
      <c r="M150">
        <v>0.79</v>
      </c>
    </row>
    <row r="151" spans="1:13" x14ac:dyDescent="0.2">
      <c r="A151" s="1">
        <v>44105</v>
      </c>
      <c r="B151">
        <v>24.27</v>
      </c>
      <c r="C151">
        <v>24.41</v>
      </c>
      <c r="D151">
        <v>23.860001</v>
      </c>
      <c r="E151">
        <v>24.1</v>
      </c>
      <c r="F151">
        <v>23.832350000000002</v>
      </c>
      <c r="G151">
        <v>44782200</v>
      </c>
      <c r="I151">
        <f t="shared" si="8"/>
        <v>4.1515443829067924E-4</v>
      </c>
      <c r="J151">
        <v>0</v>
      </c>
      <c r="K151">
        <f t="shared" si="6"/>
        <v>4.1515443829067924E-4</v>
      </c>
      <c r="L151">
        <f t="shared" si="7"/>
        <v>4.1515443829067925E-2</v>
      </c>
      <c r="M151">
        <v>0.79</v>
      </c>
    </row>
    <row r="152" spans="1:13" x14ac:dyDescent="0.2">
      <c r="A152" s="1">
        <v>44106</v>
      </c>
      <c r="B152">
        <v>23.639999</v>
      </c>
      <c r="C152">
        <v>24.43</v>
      </c>
      <c r="D152">
        <v>23.57</v>
      </c>
      <c r="E152">
        <v>24.209999</v>
      </c>
      <c r="F152">
        <v>23.941127999999999</v>
      </c>
      <c r="G152">
        <v>51682100</v>
      </c>
      <c r="I152">
        <f t="shared" si="8"/>
        <v>4.564300205392979E-3</v>
      </c>
      <c r="J152">
        <v>0</v>
      </c>
      <c r="K152">
        <f t="shared" si="6"/>
        <v>4.564300205392979E-3</v>
      </c>
      <c r="L152">
        <f t="shared" si="7"/>
        <v>0.45643002053929788</v>
      </c>
      <c r="M152">
        <v>-0.96</v>
      </c>
    </row>
    <row r="153" spans="1:13" x14ac:dyDescent="0.2">
      <c r="A153" s="1">
        <v>44109</v>
      </c>
      <c r="B153">
        <v>24.52</v>
      </c>
      <c r="C153">
        <v>24.709999</v>
      </c>
      <c r="D153">
        <v>24.379999000000002</v>
      </c>
      <c r="E153">
        <v>24.620000999999998</v>
      </c>
      <c r="F153">
        <v>24.346575000000001</v>
      </c>
      <c r="G153">
        <v>44396800</v>
      </c>
      <c r="I153">
        <f t="shared" si="8"/>
        <v>1.6935166964564173E-2</v>
      </c>
      <c r="J153">
        <v>0</v>
      </c>
      <c r="K153">
        <f t="shared" si="6"/>
        <v>1.6935166964564173E-2</v>
      </c>
      <c r="L153">
        <f t="shared" si="7"/>
        <v>1.6935166964564172</v>
      </c>
      <c r="M153">
        <v>1.93</v>
      </c>
    </row>
    <row r="154" spans="1:13" x14ac:dyDescent="0.2">
      <c r="A154" s="1">
        <v>44110</v>
      </c>
      <c r="B154">
        <v>24.92</v>
      </c>
      <c r="C154">
        <v>25.190000999999999</v>
      </c>
      <c r="D154">
        <v>24.280000999999999</v>
      </c>
      <c r="E154">
        <v>24.370000999999998</v>
      </c>
      <c r="F154">
        <v>24.099352</v>
      </c>
      <c r="G154">
        <v>67541100</v>
      </c>
      <c r="I154">
        <f t="shared" si="8"/>
        <v>-1.0154323554750586E-2</v>
      </c>
      <c r="J154">
        <v>0</v>
      </c>
      <c r="K154">
        <f t="shared" si="6"/>
        <v>-1.0154323554750586E-2</v>
      </c>
      <c r="L154">
        <f t="shared" si="7"/>
        <v>-1.0154323554750586</v>
      </c>
      <c r="M154">
        <v>-1.28</v>
      </c>
    </row>
    <row r="155" spans="1:13" x14ac:dyDescent="0.2">
      <c r="A155" s="1">
        <v>44111</v>
      </c>
      <c r="B155">
        <v>24.629999000000002</v>
      </c>
      <c r="C155">
        <v>25.110001</v>
      </c>
      <c r="D155">
        <v>24.6</v>
      </c>
      <c r="E155">
        <v>24.879999000000002</v>
      </c>
      <c r="F155">
        <v>24.603687000000001</v>
      </c>
      <c r="G155">
        <v>47648000</v>
      </c>
      <c r="I155">
        <f t="shared" si="8"/>
        <v>2.0927326178728833E-2</v>
      </c>
      <c r="J155">
        <v>0</v>
      </c>
      <c r="K155">
        <f t="shared" si="6"/>
        <v>2.0927326178728833E-2</v>
      </c>
      <c r="L155">
        <f t="shared" si="7"/>
        <v>2.0927326178728833</v>
      </c>
      <c r="M155">
        <v>1.84</v>
      </c>
    </row>
    <row r="156" spans="1:13" x14ac:dyDescent="0.2">
      <c r="A156" s="1">
        <v>44112</v>
      </c>
      <c r="B156">
        <v>24.950001</v>
      </c>
      <c r="C156">
        <v>25.299999</v>
      </c>
      <c r="D156">
        <v>24.809999000000001</v>
      </c>
      <c r="E156">
        <v>25.24</v>
      </c>
      <c r="F156">
        <v>24.959689999999998</v>
      </c>
      <c r="G156">
        <v>52080600</v>
      </c>
      <c r="I156">
        <f t="shared" si="8"/>
        <v>1.4469498006538517E-2</v>
      </c>
      <c r="J156">
        <v>0</v>
      </c>
      <c r="K156">
        <f t="shared" si="6"/>
        <v>1.4469498006538517E-2</v>
      </c>
      <c r="L156">
        <f t="shared" si="7"/>
        <v>1.4469498006538517</v>
      </c>
      <c r="M156">
        <v>0.8</v>
      </c>
    </row>
    <row r="157" spans="1:13" x14ac:dyDescent="0.2">
      <c r="A157" s="1">
        <v>44113</v>
      </c>
      <c r="B157">
        <v>25.34</v>
      </c>
      <c r="C157">
        <v>25.49</v>
      </c>
      <c r="D157">
        <v>25.040001</v>
      </c>
      <c r="E157">
        <v>25.360001</v>
      </c>
      <c r="F157">
        <v>25.078358000000001</v>
      </c>
      <c r="G157">
        <v>44511500</v>
      </c>
      <c r="I157">
        <f t="shared" si="8"/>
        <v>4.7543859719412825E-3</v>
      </c>
      <c r="J157">
        <v>0</v>
      </c>
      <c r="K157">
        <f t="shared" si="6"/>
        <v>4.7543859719412825E-3</v>
      </c>
      <c r="L157">
        <f t="shared" si="7"/>
        <v>0.47543859719412823</v>
      </c>
      <c r="M157">
        <v>0.93</v>
      </c>
    </row>
    <row r="158" spans="1:13" x14ac:dyDescent="0.2">
      <c r="A158" s="1">
        <v>44116</v>
      </c>
      <c r="B158">
        <v>25.299999</v>
      </c>
      <c r="C158">
        <v>25.83</v>
      </c>
      <c r="D158">
        <v>25.24</v>
      </c>
      <c r="E158">
        <v>25.68</v>
      </c>
      <c r="F158">
        <v>25.394804000000001</v>
      </c>
      <c r="G158">
        <v>48362900</v>
      </c>
      <c r="I158">
        <f t="shared" si="8"/>
        <v>1.2618290240533256E-2</v>
      </c>
      <c r="J158">
        <v>0</v>
      </c>
      <c r="K158">
        <f t="shared" si="6"/>
        <v>1.2618290240533256E-2</v>
      </c>
      <c r="L158">
        <f t="shared" si="7"/>
        <v>1.2618290240533256</v>
      </c>
      <c r="M158">
        <v>1.53</v>
      </c>
    </row>
    <row r="159" spans="1:13" x14ac:dyDescent="0.2">
      <c r="A159" s="1">
        <v>44117</v>
      </c>
      <c r="B159">
        <v>25.639999</v>
      </c>
      <c r="C159">
        <v>25.68</v>
      </c>
      <c r="D159">
        <v>24.84</v>
      </c>
      <c r="E159">
        <v>24.950001</v>
      </c>
      <c r="F159">
        <v>24.672913000000001</v>
      </c>
      <c r="G159">
        <v>61186900</v>
      </c>
      <c r="I159">
        <f t="shared" si="8"/>
        <v>-2.8426720678765602E-2</v>
      </c>
      <c r="J159">
        <v>0</v>
      </c>
      <c r="K159">
        <f t="shared" si="6"/>
        <v>-2.8426720678765602E-2</v>
      </c>
      <c r="L159">
        <f t="shared" si="7"/>
        <v>-2.8426720678765602</v>
      </c>
      <c r="M159">
        <v>-0.41</v>
      </c>
    </row>
    <row r="160" spans="1:13" x14ac:dyDescent="0.2">
      <c r="A160" s="1">
        <v>44118</v>
      </c>
      <c r="B160">
        <v>24.35</v>
      </c>
      <c r="C160">
        <v>24.59</v>
      </c>
      <c r="D160">
        <v>23.59</v>
      </c>
      <c r="E160">
        <v>23.620000999999998</v>
      </c>
      <c r="F160">
        <v>23.357683000000002</v>
      </c>
      <c r="G160">
        <v>127563400</v>
      </c>
      <c r="I160">
        <f t="shared" si="8"/>
        <v>-5.3306636310029527E-2</v>
      </c>
      <c r="J160">
        <v>0</v>
      </c>
      <c r="K160">
        <f t="shared" si="6"/>
        <v>-5.3306636310029527E-2</v>
      </c>
      <c r="L160">
        <f t="shared" si="7"/>
        <v>-5.3306636310029525</v>
      </c>
      <c r="M160">
        <v>-0.65</v>
      </c>
    </row>
    <row r="161" spans="1:13" x14ac:dyDescent="0.2">
      <c r="A161" s="1">
        <v>44119</v>
      </c>
      <c r="B161">
        <v>23.59</v>
      </c>
      <c r="C161">
        <v>24.200001</v>
      </c>
      <c r="D161">
        <v>23.48</v>
      </c>
      <c r="E161">
        <v>24.15</v>
      </c>
      <c r="F161">
        <v>23.881796000000001</v>
      </c>
      <c r="G161">
        <v>66832400</v>
      </c>
      <c r="I161">
        <f t="shared" si="8"/>
        <v>2.2438569784511579E-2</v>
      </c>
      <c r="J161">
        <v>0</v>
      </c>
      <c r="K161">
        <f t="shared" si="6"/>
        <v>2.2438569784511579E-2</v>
      </c>
      <c r="L161">
        <f t="shared" si="7"/>
        <v>2.2438569784511579</v>
      </c>
      <c r="M161">
        <v>-0.08</v>
      </c>
    </row>
    <row r="162" spans="1:13" x14ac:dyDescent="0.2">
      <c r="A162" s="1">
        <v>44120</v>
      </c>
      <c r="B162">
        <v>24.200001</v>
      </c>
      <c r="C162">
        <v>24.35</v>
      </c>
      <c r="D162">
        <v>23.940000999999999</v>
      </c>
      <c r="E162">
        <v>24.24</v>
      </c>
      <c r="F162">
        <v>23.970794999999999</v>
      </c>
      <c r="G162">
        <v>58357700</v>
      </c>
      <c r="I162">
        <f t="shared" si="8"/>
        <v>3.7266460194198795E-3</v>
      </c>
      <c r="J162">
        <v>0</v>
      </c>
      <c r="K162">
        <f t="shared" si="6"/>
        <v>3.7266460194198795E-3</v>
      </c>
      <c r="L162">
        <f t="shared" si="7"/>
        <v>0.37266460194198797</v>
      </c>
      <c r="M162">
        <v>-0.06</v>
      </c>
    </row>
    <row r="163" spans="1:13" x14ac:dyDescent="0.2">
      <c r="A163" s="1">
        <v>44123</v>
      </c>
      <c r="B163">
        <v>24.299999</v>
      </c>
      <c r="C163">
        <v>24.32</v>
      </c>
      <c r="D163">
        <v>23.690000999999999</v>
      </c>
      <c r="E163">
        <v>23.719999000000001</v>
      </c>
      <c r="F163">
        <v>23.456569999999999</v>
      </c>
      <c r="G163">
        <v>51377900</v>
      </c>
      <c r="I163">
        <f t="shared" si="8"/>
        <v>-2.1452146247131133E-2</v>
      </c>
      <c r="J163">
        <v>0</v>
      </c>
      <c r="K163">
        <f t="shared" si="6"/>
        <v>-2.1452146247131133E-2</v>
      </c>
      <c r="L163">
        <f t="shared" si="7"/>
        <v>-2.1452146247131134</v>
      </c>
      <c r="M163">
        <v>-1.53</v>
      </c>
    </row>
    <row r="164" spans="1:13" x14ac:dyDescent="0.2">
      <c r="A164" s="1">
        <v>44124</v>
      </c>
      <c r="B164">
        <v>23.889999</v>
      </c>
      <c r="C164">
        <v>24.48</v>
      </c>
      <c r="D164">
        <v>23.879999000000002</v>
      </c>
      <c r="E164">
        <v>24.139999</v>
      </c>
      <c r="F164">
        <v>23.871904000000001</v>
      </c>
      <c r="G164">
        <v>62476400</v>
      </c>
      <c r="I164">
        <f t="shared" si="8"/>
        <v>1.7706510372147394E-2</v>
      </c>
      <c r="J164">
        <v>0</v>
      </c>
      <c r="K164">
        <f t="shared" si="6"/>
        <v>1.7706510372147394E-2</v>
      </c>
      <c r="L164">
        <f t="shared" si="7"/>
        <v>1.7706510372147395</v>
      </c>
      <c r="M164">
        <v>0.34</v>
      </c>
    </row>
    <row r="165" spans="1:13" x14ac:dyDescent="0.2">
      <c r="A165" s="1">
        <v>44125</v>
      </c>
      <c r="B165">
        <v>24.219999000000001</v>
      </c>
      <c r="C165">
        <v>24.34</v>
      </c>
      <c r="D165">
        <v>24.01</v>
      </c>
      <c r="E165">
        <v>24.049999</v>
      </c>
      <c r="F165">
        <v>23.782903999999998</v>
      </c>
      <c r="G165">
        <v>41564900</v>
      </c>
      <c r="I165">
        <f t="shared" si="8"/>
        <v>-3.7282321510677232E-3</v>
      </c>
      <c r="J165">
        <v>0</v>
      </c>
      <c r="K165">
        <f t="shared" si="6"/>
        <v>-3.7282321510677232E-3</v>
      </c>
      <c r="L165">
        <f t="shared" si="7"/>
        <v>-0.3728232151067723</v>
      </c>
      <c r="M165">
        <v>-0.36</v>
      </c>
    </row>
    <row r="166" spans="1:13" x14ac:dyDescent="0.2">
      <c r="A166" s="1">
        <v>44126</v>
      </c>
      <c r="B166">
        <v>24.049999</v>
      </c>
      <c r="C166">
        <v>24.91</v>
      </c>
      <c r="D166">
        <v>24</v>
      </c>
      <c r="E166">
        <v>24.870000999999998</v>
      </c>
      <c r="F166">
        <v>24.593800000000002</v>
      </c>
      <c r="G166">
        <v>55402000</v>
      </c>
      <c r="I166">
        <f t="shared" si="8"/>
        <v>3.4095752141958917E-2</v>
      </c>
      <c r="J166">
        <v>0</v>
      </c>
      <c r="K166">
        <f t="shared" si="6"/>
        <v>3.4095752141958917E-2</v>
      </c>
      <c r="L166">
        <f t="shared" si="7"/>
        <v>3.4095752141958915</v>
      </c>
      <c r="M166">
        <v>0.67</v>
      </c>
    </row>
    <row r="167" spans="1:13" x14ac:dyDescent="0.2">
      <c r="A167" s="1">
        <v>44127</v>
      </c>
      <c r="B167">
        <v>25.24</v>
      </c>
      <c r="C167">
        <v>25.26</v>
      </c>
      <c r="D167">
        <v>24.709999</v>
      </c>
      <c r="E167">
        <v>24.9</v>
      </c>
      <c r="F167">
        <v>24.623464999999999</v>
      </c>
      <c r="G167">
        <v>51007400</v>
      </c>
      <c r="I167">
        <f t="shared" si="8"/>
        <v>1.2061983101431186E-3</v>
      </c>
      <c r="J167">
        <v>0</v>
      </c>
      <c r="K167">
        <f t="shared" si="6"/>
        <v>1.2061983101431186E-3</v>
      </c>
      <c r="L167">
        <f t="shared" si="7"/>
        <v>0.12061983101431185</v>
      </c>
      <c r="M167">
        <v>0.38</v>
      </c>
    </row>
    <row r="168" spans="1:13" x14ac:dyDescent="0.2">
      <c r="A168" s="1">
        <v>44130</v>
      </c>
      <c r="B168">
        <v>24.469999000000001</v>
      </c>
      <c r="C168">
        <v>24.58</v>
      </c>
      <c r="D168">
        <v>24.15</v>
      </c>
      <c r="E168">
        <v>24.540001</v>
      </c>
      <c r="F168">
        <v>24.267464</v>
      </c>
      <c r="G168">
        <v>59450200</v>
      </c>
      <c r="I168">
        <f t="shared" si="8"/>
        <v>-1.4457794628010279E-2</v>
      </c>
      <c r="J168">
        <v>0</v>
      </c>
      <c r="K168">
        <f t="shared" si="6"/>
        <v>-1.4457794628010279E-2</v>
      </c>
      <c r="L168">
        <f t="shared" si="7"/>
        <v>-1.4457794628010279</v>
      </c>
      <c r="M168">
        <v>-1.85</v>
      </c>
    </row>
    <row r="169" spans="1:13" x14ac:dyDescent="0.2">
      <c r="A169" s="1">
        <v>44131</v>
      </c>
      <c r="B169">
        <v>24.290001</v>
      </c>
      <c r="C169">
        <v>24.389999</v>
      </c>
      <c r="D169">
        <v>23.809999000000001</v>
      </c>
      <c r="E169">
        <v>23.85</v>
      </c>
      <c r="F169">
        <v>23.585127</v>
      </c>
      <c r="G169">
        <v>55009300</v>
      </c>
      <c r="I169">
        <f t="shared" si="8"/>
        <v>-2.8117359110947909E-2</v>
      </c>
      <c r="J169">
        <v>0</v>
      </c>
      <c r="K169">
        <f t="shared" si="6"/>
        <v>-2.8117359110947909E-2</v>
      </c>
      <c r="L169">
        <f t="shared" si="7"/>
        <v>-2.8117359110947908</v>
      </c>
      <c r="M169">
        <v>-0.23</v>
      </c>
    </row>
    <row r="170" spans="1:13" x14ac:dyDescent="0.2">
      <c r="A170" s="1">
        <v>44132</v>
      </c>
      <c r="B170">
        <v>23.41</v>
      </c>
      <c r="C170">
        <v>23.66</v>
      </c>
      <c r="D170">
        <v>23.120000999999998</v>
      </c>
      <c r="E170">
        <v>23.469999000000001</v>
      </c>
      <c r="F170">
        <v>23.209347000000001</v>
      </c>
      <c r="G170">
        <v>81942500</v>
      </c>
      <c r="I170">
        <f t="shared" si="8"/>
        <v>-1.5932922472709131E-2</v>
      </c>
      <c r="J170">
        <v>0</v>
      </c>
      <c r="K170">
        <f t="shared" si="6"/>
        <v>-1.5932922472709131E-2</v>
      </c>
      <c r="L170">
        <f t="shared" si="7"/>
        <v>-1.593292247270913</v>
      </c>
      <c r="M170">
        <v>-3.41</v>
      </c>
    </row>
    <row r="171" spans="1:13" x14ac:dyDescent="0.2">
      <c r="A171" s="1">
        <v>44133</v>
      </c>
      <c r="B171">
        <v>23.360001</v>
      </c>
      <c r="C171">
        <v>23.75</v>
      </c>
      <c r="D171">
        <v>23.120000999999998</v>
      </c>
      <c r="E171">
        <v>23.540001</v>
      </c>
      <c r="F171">
        <v>23.278572</v>
      </c>
      <c r="G171">
        <v>57490400</v>
      </c>
      <c r="I171">
        <f t="shared" si="8"/>
        <v>2.9826345394379007E-3</v>
      </c>
      <c r="J171">
        <v>0</v>
      </c>
      <c r="K171">
        <f t="shared" si="6"/>
        <v>2.9826345394379007E-3</v>
      </c>
      <c r="L171">
        <f t="shared" si="7"/>
        <v>0.29826345394379006</v>
      </c>
      <c r="M171">
        <v>1.1299999999999999</v>
      </c>
    </row>
    <row r="172" spans="1:13" x14ac:dyDescent="0.2">
      <c r="A172" s="1">
        <v>44134</v>
      </c>
      <c r="B172">
        <v>23.49</v>
      </c>
      <c r="C172">
        <v>23.84</v>
      </c>
      <c r="D172">
        <v>23.24</v>
      </c>
      <c r="E172">
        <v>23.700001</v>
      </c>
      <c r="F172">
        <v>23.436793999999999</v>
      </c>
      <c r="G172">
        <v>66453400</v>
      </c>
      <c r="I172">
        <f t="shared" si="8"/>
        <v>6.7968945861455127E-3</v>
      </c>
      <c r="J172">
        <v>0</v>
      </c>
      <c r="K172">
        <f t="shared" si="6"/>
        <v>6.7968945861455127E-3</v>
      </c>
      <c r="L172">
        <f t="shared" si="7"/>
        <v>0.67968945861455132</v>
      </c>
      <c r="M172">
        <v>-1.45</v>
      </c>
    </row>
    <row r="173" spans="1:13" x14ac:dyDescent="0.2">
      <c r="A173" s="1">
        <v>44137</v>
      </c>
      <c r="B173">
        <v>23.889999</v>
      </c>
      <c r="C173">
        <v>24.26</v>
      </c>
      <c r="D173">
        <v>23.469999000000001</v>
      </c>
      <c r="E173">
        <v>24.08</v>
      </c>
      <c r="F173">
        <v>23.812571999999999</v>
      </c>
      <c r="G173">
        <v>59756400</v>
      </c>
      <c r="I173">
        <f t="shared" si="8"/>
        <v>1.6033677643793789E-2</v>
      </c>
      <c r="J173">
        <v>0</v>
      </c>
      <c r="K173">
        <f t="shared" si="6"/>
        <v>1.6033677643793789E-2</v>
      </c>
      <c r="L173">
        <f t="shared" si="7"/>
        <v>1.6033677643793789</v>
      </c>
      <c r="M173">
        <v>1.17</v>
      </c>
    </row>
    <row r="174" spans="1:13" x14ac:dyDescent="0.2">
      <c r="A174" s="1">
        <v>44138</v>
      </c>
      <c r="B174">
        <v>24.58</v>
      </c>
      <c r="C174">
        <v>24.940000999999999</v>
      </c>
      <c r="D174">
        <v>24.51</v>
      </c>
      <c r="E174">
        <v>24.690000999999999</v>
      </c>
      <c r="F174">
        <v>24.415797999999999</v>
      </c>
      <c r="G174">
        <v>65106200</v>
      </c>
      <c r="I174">
        <f t="shared" si="8"/>
        <v>2.5332248864171389E-2</v>
      </c>
      <c r="J174">
        <v>0</v>
      </c>
      <c r="K174">
        <f t="shared" si="6"/>
        <v>2.5332248864171389E-2</v>
      </c>
      <c r="L174">
        <f t="shared" si="7"/>
        <v>2.5332248864171389</v>
      </c>
      <c r="M174">
        <v>1.93</v>
      </c>
    </row>
    <row r="175" spans="1:13" x14ac:dyDescent="0.2">
      <c r="A175" s="1">
        <v>44139</v>
      </c>
      <c r="B175">
        <v>23.889999</v>
      </c>
      <c r="C175">
        <v>24.139999</v>
      </c>
      <c r="D175">
        <v>23.27</v>
      </c>
      <c r="E175">
        <v>23.68</v>
      </c>
      <c r="F175">
        <v>23.417014999999999</v>
      </c>
      <c r="G175">
        <v>88845500</v>
      </c>
      <c r="I175">
        <f t="shared" si="8"/>
        <v>-4.0907243744398587E-2</v>
      </c>
      <c r="J175">
        <v>0</v>
      </c>
      <c r="K175">
        <f t="shared" si="6"/>
        <v>-4.0907243744398587E-2</v>
      </c>
      <c r="L175">
        <f t="shared" si="7"/>
        <v>-4.0907243744398585</v>
      </c>
      <c r="M175">
        <v>2.25</v>
      </c>
    </row>
    <row r="176" spans="1:13" x14ac:dyDescent="0.2">
      <c r="A176" s="1">
        <v>44140</v>
      </c>
      <c r="B176">
        <v>23.9</v>
      </c>
      <c r="C176">
        <v>24.790001</v>
      </c>
      <c r="D176">
        <v>23.860001</v>
      </c>
      <c r="E176">
        <v>24.610001</v>
      </c>
      <c r="F176">
        <v>24.336687000000001</v>
      </c>
      <c r="G176">
        <v>74722600</v>
      </c>
      <c r="I176">
        <f t="shared" si="8"/>
        <v>3.9273664897084538E-2</v>
      </c>
      <c r="J176">
        <v>0</v>
      </c>
      <c r="K176">
        <f t="shared" si="6"/>
        <v>3.9273664897084538E-2</v>
      </c>
      <c r="L176">
        <f t="shared" si="7"/>
        <v>3.9273664897084539</v>
      </c>
      <c r="M176">
        <v>2.13</v>
      </c>
    </row>
    <row r="177" spans="1:13" x14ac:dyDescent="0.2">
      <c r="A177" s="1">
        <v>44141</v>
      </c>
      <c r="B177">
        <v>24.93</v>
      </c>
      <c r="C177">
        <v>24.959999</v>
      </c>
      <c r="D177">
        <v>24.23</v>
      </c>
      <c r="E177">
        <v>24.309999000000001</v>
      </c>
      <c r="F177">
        <v>24.040018</v>
      </c>
      <c r="G177">
        <v>55454500</v>
      </c>
      <c r="I177">
        <f t="shared" si="8"/>
        <v>-1.2190196636049984E-2</v>
      </c>
      <c r="J177">
        <v>0</v>
      </c>
      <c r="K177">
        <f t="shared" si="6"/>
        <v>-1.2190196636049984E-2</v>
      </c>
      <c r="L177">
        <f t="shared" si="7"/>
        <v>-1.2190196636049984</v>
      </c>
      <c r="M177">
        <v>0.01</v>
      </c>
    </row>
    <row r="178" spans="1:13" x14ac:dyDescent="0.2">
      <c r="A178" s="1">
        <v>44144</v>
      </c>
      <c r="B178">
        <v>26.6</v>
      </c>
      <c r="C178">
        <v>28.27</v>
      </c>
      <c r="D178">
        <v>26.299999</v>
      </c>
      <c r="E178">
        <v>27.76</v>
      </c>
      <c r="F178">
        <v>27.451702000000001</v>
      </c>
      <c r="G178">
        <v>178378800</v>
      </c>
      <c r="I178">
        <f t="shared" si="8"/>
        <v>0.14191686545326218</v>
      </c>
      <c r="J178">
        <v>0</v>
      </c>
      <c r="K178">
        <f t="shared" si="6"/>
        <v>0.14191686545326218</v>
      </c>
      <c r="L178">
        <f t="shared" si="7"/>
        <v>14.191686545326219</v>
      </c>
      <c r="M178">
        <v>0.82</v>
      </c>
    </row>
    <row r="179" spans="1:13" x14ac:dyDescent="0.2">
      <c r="A179" s="1">
        <v>44145</v>
      </c>
      <c r="B179">
        <v>27.49</v>
      </c>
      <c r="C179">
        <v>27.76</v>
      </c>
      <c r="D179">
        <v>27.18</v>
      </c>
      <c r="E179">
        <v>27.66</v>
      </c>
      <c r="F179">
        <v>27.352813999999999</v>
      </c>
      <c r="G179">
        <v>77694600</v>
      </c>
      <c r="I179">
        <f t="shared" si="8"/>
        <v>-3.6022538784663445E-3</v>
      </c>
      <c r="J179">
        <v>0</v>
      </c>
      <c r="K179">
        <f t="shared" si="6"/>
        <v>-3.6022538784663445E-3</v>
      </c>
      <c r="L179">
        <f t="shared" si="7"/>
        <v>-0.36022538784663444</v>
      </c>
      <c r="M179">
        <v>-0.17</v>
      </c>
    </row>
    <row r="180" spans="1:13" x14ac:dyDescent="0.2">
      <c r="A180" s="1">
        <v>44146</v>
      </c>
      <c r="B180">
        <v>27.75</v>
      </c>
      <c r="C180">
        <v>27.77</v>
      </c>
      <c r="D180">
        <v>27.120000999999998</v>
      </c>
      <c r="E180">
        <v>27.34</v>
      </c>
      <c r="F180">
        <v>27.036366999999998</v>
      </c>
      <c r="G180">
        <v>48360900</v>
      </c>
      <c r="I180">
        <f t="shared" si="8"/>
        <v>-1.1569083897547074E-2</v>
      </c>
      <c r="J180">
        <v>0</v>
      </c>
      <c r="K180">
        <f t="shared" si="6"/>
        <v>-1.1569083897547074E-2</v>
      </c>
      <c r="L180">
        <f t="shared" si="7"/>
        <v>-1.1569083897547074</v>
      </c>
      <c r="M180">
        <v>0.88</v>
      </c>
    </row>
    <row r="181" spans="1:13" x14ac:dyDescent="0.2">
      <c r="A181" s="1">
        <v>44147</v>
      </c>
      <c r="B181">
        <v>26.84</v>
      </c>
      <c r="C181">
        <v>26.9</v>
      </c>
      <c r="D181">
        <v>26.309999000000001</v>
      </c>
      <c r="E181">
        <v>26.690000999999999</v>
      </c>
      <c r="F181">
        <v>26.393587</v>
      </c>
      <c r="G181">
        <v>67912600</v>
      </c>
      <c r="I181">
        <f t="shared" si="8"/>
        <v>-2.3774643982307178E-2</v>
      </c>
      <c r="J181">
        <v>0</v>
      </c>
      <c r="K181">
        <f t="shared" si="6"/>
        <v>-2.3774643982307178E-2</v>
      </c>
      <c r="L181">
        <f t="shared" si="7"/>
        <v>-2.377464398230718</v>
      </c>
      <c r="M181">
        <v>-0.94</v>
      </c>
    </row>
    <row r="182" spans="1:13" x14ac:dyDescent="0.2">
      <c r="A182" s="1">
        <v>44148</v>
      </c>
      <c r="B182">
        <v>26.879999000000002</v>
      </c>
      <c r="C182">
        <v>27.209999</v>
      </c>
      <c r="D182">
        <v>26.76</v>
      </c>
      <c r="E182">
        <v>27</v>
      </c>
      <c r="F182">
        <v>26.700142</v>
      </c>
      <c r="G182">
        <v>52421000</v>
      </c>
      <c r="I182">
        <f t="shared" si="8"/>
        <v>1.1614753235321879E-2</v>
      </c>
      <c r="J182">
        <v>0</v>
      </c>
      <c r="K182">
        <f t="shared" si="6"/>
        <v>1.1614753235321879E-2</v>
      </c>
      <c r="L182">
        <f t="shared" si="7"/>
        <v>1.161475323532188</v>
      </c>
      <c r="M182">
        <v>1.31</v>
      </c>
    </row>
    <row r="183" spans="1:13" x14ac:dyDescent="0.2">
      <c r="A183" s="1">
        <v>44151</v>
      </c>
      <c r="B183">
        <v>27.860001</v>
      </c>
      <c r="C183">
        <v>28</v>
      </c>
      <c r="D183">
        <v>27.18</v>
      </c>
      <c r="E183">
        <v>27.58</v>
      </c>
      <c r="F183">
        <v>27.273703000000001</v>
      </c>
      <c r="G183">
        <v>57396700</v>
      </c>
      <c r="I183">
        <f t="shared" si="8"/>
        <v>2.1481571146700327E-2</v>
      </c>
      <c r="J183">
        <v>0</v>
      </c>
      <c r="K183">
        <f t="shared" si="6"/>
        <v>2.1481571146700327E-2</v>
      </c>
      <c r="L183">
        <f t="shared" si="7"/>
        <v>2.1481571146700329</v>
      </c>
      <c r="M183">
        <v>1.22</v>
      </c>
    </row>
    <row r="184" spans="1:13" x14ac:dyDescent="0.2">
      <c r="A184" s="1">
        <v>44152</v>
      </c>
      <c r="B184">
        <v>27.25</v>
      </c>
      <c r="C184">
        <v>27.6</v>
      </c>
      <c r="D184">
        <v>27.01</v>
      </c>
      <c r="E184">
        <v>27.549999</v>
      </c>
      <c r="F184">
        <v>27.244033999999999</v>
      </c>
      <c r="G184">
        <v>46402300</v>
      </c>
      <c r="I184">
        <f t="shared" si="8"/>
        <v>-1.0878244146019314E-3</v>
      </c>
      <c r="J184">
        <v>0</v>
      </c>
      <c r="K184">
        <f t="shared" si="6"/>
        <v>-1.0878244146019314E-3</v>
      </c>
      <c r="L184">
        <f t="shared" si="7"/>
        <v>-0.10878244146019314</v>
      </c>
      <c r="M184">
        <v>-0.19</v>
      </c>
    </row>
    <row r="185" spans="1:13" x14ac:dyDescent="0.2">
      <c r="A185" s="1">
        <v>44153</v>
      </c>
      <c r="B185">
        <v>27.629999000000002</v>
      </c>
      <c r="C185">
        <v>27.93</v>
      </c>
      <c r="D185">
        <v>26.959999</v>
      </c>
      <c r="E185">
        <v>26.98</v>
      </c>
      <c r="F185">
        <v>26.680364999999998</v>
      </c>
      <c r="G185">
        <v>54416700</v>
      </c>
      <c r="I185">
        <f t="shared" si="8"/>
        <v>-2.0689630617844658E-2</v>
      </c>
      <c r="J185">
        <v>0</v>
      </c>
      <c r="K185">
        <f t="shared" si="6"/>
        <v>-2.0689630617844658E-2</v>
      </c>
      <c r="L185">
        <f t="shared" si="7"/>
        <v>-2.0689630617844657</v>
      </c>
      <c r="M185">
        <v>-0.93</v>
      </c>
    </row>
    <row r="186" spans="1:13" x14ac:dyDescent="0.2">
      <c r="A186" s="1">
        <v>44154</v>
      </c>
      <c r="B186">
        <v>26.93</v>
      </c>
      <c r="C186">
        <v>27.01</v>
      </c>
      <c r="D186">
        <v>26.65</v>
      </c>
      <c r="E186">
        <v>26.98</v>
      </c>
      <c r="F186">
        <v>26.680364999999998</v>
      </c>
      <c r="G186">
        <v>46423000</v>
      </c>
      <c r="I186">
        <f t="shared" si="8"/>
        <v>0</v>
      </c>
      <c r="J186">
        <v>0</v>
      </c>
      <c r="K186">
        <f t="shared" si="6"/>
        <v>0</v>
      </c>
      <c r="L186">
        <f t="shared" si="7"/>
        <v>0</v>
      </c>
      <c r="M186">
        <v>0.59</v>
      </c>
    </row>
    <row r="187" spans="1:13" x14ac:dyDescent="0.2">
      <c r="A187" s="1">
        <v>44155</v>
      </c>
      <c r="B187">
        <v>26.74</v>
      </c>
      <c r="C187">
        <v>26.950001</v>
      </c>
      <c r="D187">
        <v>26.629999000000002</v>
      </c>
      <c r="E187">
        <v>26.809999000000001</v>
      </c>
      <c r="F187">
        <v>26.512253000000001</v>
      </c>
      <c r="G187">
        <v>40538000</v>
      </c>
      <c r="I187">
        <f t="shared" si="8"/>
        <v>-6.3009632739281177E-3</v>
      </c>
      <c r="J187">
        <v>0</v>
      </c>
      <c r="K187">
        <f t="shared" si="6"/>
        <v>-6.3009632739281177E-3</v>
      </c>
      <c r="L187">
        <f t="shared" si="7"/>
        <v>-0.63009632739281174</v>
      </c>
      <c r="M187">
        <v>-0.51</v>
      </c>
    </row>
    <row r="188" spans="1:13" x14ac:dyDescent="0.2">
      <c r="A188" s="1">
        <v>44158</v>
      </c>
      <c r="B188">
        <v>27.110001</v>
      </c>
      <c r="C188">
        <v>27.52</v>
      </c>
      <c r="D188">
        <v>27.059999000000001</v>
      </c>
      <c r="E188">
        <v>27.389999</v>
      </c>
      <c r="F188">
        <v>27.085812000000001</v>
      </c>
      <c r="G188">
        <v>45421200</v>
      </c>
      <c r="I188">
        <f t="shared" si="8"/>
        <v>2.1633732900783628E-2</v>
      </c>
      <c r="J188">
        <v>0</v>
      </c>
      <c r="K188">
        <f t="shared" si="6"/>
        <v>2.1633732900783628E-2</v>
      </c>
      <c r="L188">
        <f t="shared" si="7"/>
        <v>2.1633732900783627</v>
      </c>
      <c r="M188">
        <v>0.83</v>
      </c>
    </row>
    <row r="189" spans="1:13" x14ac:dyDescent="0.2">
      <c r="A189" s="1">
        <v>44159</v>
      </c>
      <c r="B189">
        <v>27.93</v>
      </c>
      <c r="C189">
        <v>28.99</v>
      </c>
      <c r="D189">
        <v>27.92</v>
      </c>
      <c r="E189">
        <v>28.98</v>
      </c>
      <c r="F189">
        <v>28.658154</v>
      </c>
      <c r="G189">
        <v>80387800</v>
      </c>
      <c r="I189">
        <f t="shared" si="8"/>
        <v>5.8050391843523057E-2</v>
      </c>
      <c r="J189">
        <v>0</v>
      </c>
      <c r="K189">
        <f t="shared" si="6"/>
        <v>5.8050391843523057E-2</v>
      </c>
      <c r="L189">
        <f t="shared" si="7"/>
        <v>5.8050391843523057</v>
      </c>
      <c r="M189">
        <v>1.56</v>
      </c>
    </row>
    <row r="190" spans="1:13" x14ac:dyDescent="0.2">
      <c r="A190" s="1">
        <v>44160</v>
      </c>
      <c r="B190">
        <v>28.709999</v>
      </c>
      <c r="C190">
        <v>29.040001</v>
      </c>
      <c r="D190">
        <v>28.48</v>
      </c>
      <c r="E190">
        <v>29.030000999999999</v>
      </c>
      <c r="F190">
        <v>28.707599999999999</v>
      </c>
      <c r="G190">
        <v>57249900</v>
      </c>
      <c r="I190">
        <f t="shared" si="8"/>
        <v>1.7253728205940848E-3</v>
      </c>
      <c r="J190">
        <v>0</v>
      </c>
      <c r="K190">
        <f t="shared" si="6"/>
        <v>1.7253728205940848E-3</v>
      </c>
      <c r="L190">
        <f t="shared" si="7"/>
        <v>0.17253728205940849</v>
      </c>
      <c r="M190">
        <v>0.03</v>
      </c>
    </row>
    <row r="191" spans="1:13" x14ac:dyDescent="0.2">
      <c r="A191" s="1">
        <v>44162</v>
      </c>
      <c r="B191">
        <v>28.969999000000001</v>
      </c>
      <c r="C191">
        <v>29.1</v>
      </c>
      <c r="D191">
        <v>28.809999000000001</v>
      </c>
      <c r="E191">
        <v>28.99</v>
      </c>
      <c r="F191">
        <v>28.668043000000001</v>
      </c>
      <c r="G191">
        <v>25971600</v>
      </c>
      <c r="I191">
        <f t="shared" si="8"/>
        <v>-1.3779277961236227E-3</v>
      </c>
      <c r="J191">
        <v>0</v>
      </c>
      <c r="K191">
        <f t="shared" si="6"/>
        <v>-1.3779277961236227E-3</v>
      </c>
      <c r="L191">
        <f t="shared" si="7"/>
        <v>-0.13779277961236228</v>
      </c>
      <c r="M191">
        <v>0.43</v>
      </c>
    </row>
    <row r="192" spans="1:13" x14ac:dyDescent="0.2">
      <c r="A192" s="1">
        <v>44165</v>
      </c>
      <c r="B192">
        <v>28.719999000000001</v>
      </c>
      <c r="C192">
        <v>28.860001</v>
      </c>
      <c r="D192">
        <v>28.1</v>
      </c>
      <c r="E192">
        <v>28.16</v>
      </c>
      <c r="F192">
        <v>27.847259999999999</v>
      </c>
      <c r="G192">
        <v>63567900</v>
      </c>
      <c r="I192">
        <f t="shared" si="8"/>
        <v>-2.8630590515020583E-2</v>
      </c>
      <c r="J192">
        <v>0</v>
      </c>
      <c r="K192">
        <f t="shared" si="6"/>
        <v>-2.8630590515020583E-2</v>
      </c>
      <c r="L192">
        <f t="shared" si="7"/>
        <v>-2.8630590515020584</v>
      </c>
      <c r="M192">
        <v>-0.53</v>
      </c>
    </row>
    <row r="193" spans="1:13" x14ac:dyDescent="0.2">
      <c r="A193" s="1">
        <v>44166</v>
      </c>
      <c r="B193">
        <v>28.74</v>
      </c>
      <c r="C193">
        <v>29.040001</v>
      </c>
      <c r="D193">
        <v>28.67</v>
      </c>
      <c r="E193">
        <v>28.690000999999999</v>
      </c>
      <c r="F193">
        <v>28.371373999999999</v>
      </c>
      <c r="G193">
        <v>50307300</v>
      </c>
      <c r="I193">
        <f t="shared" si="8"/>
        <v>1.8821025838807872E-2</v>
      </c>
      <c r="J193">
        <v>0</v>
      </c>
      <c r="K193">
        <f t="shared" si="6"/>
        <v>1.8821025838807872E-2</v>
      </c>
      <c r="L193">
        <f t="shared" si="7"/>
        <v>1.8821025838807872</v>
      </c>
      <c r="M193">
        <v>0.98</v>
      </c>
    </row>
    <row r="194" spans="1:13" x14ac:dyDescent="0.2">
      <c r="A194" s="1">
        <v>44167</v>
      </c>
      <c r="B194">
        <v>28.690000999999999</v>
      </c>
      <c r="C194">
        <v>29.18</v>
      </c>
      <c r="D194">
        <v>28.530000999999999</v>
      </c>
      <c r="E194">
        <v>29.059999000000001</v>
      </c>
      <c r="F194">
        <v>28.737266999999999</v>
      </c>
      <c r="G194">
        <v>45257500</v>
      </c>
      <c r="I194">
        <f t="shared" si="8"/>
        <v>1.2896555521068519E-2</v>
      </c>
      <c r="J194">
        <v>0</v>
      </c>
      <c r="K194">
        <f t="shared" si="6"/>
        <v>1.2896555521068519E-2</v>
      </c>
      <c r="L194">
        <f t="shared" si="7"/>
        <v>1.2896555521068518</v>
      </c>
      <c r="M194">
        <v>0.11</v>
      </c>
    </row>
    <row r="195" spans="1:13" x14ac:dyDescent="0.2">
      <c r="A195" s="1">
        <v>44168</v>
      </c>
      <c r="B195">
        <v>28.940000999999999</v>
      </c>
      <c r="C195">
        <v>29.1</v>
      </c>
      <c r="D195">
        <v>28.629999000000002</v>
      </c>
      <c r="E195">
        <v>28.91</v>
      </c>
      <c r="F195">
        <v>28.767116999999999</v>
      </c>
      <c r="G195">
        <v>54013700</v>
      </c>
      <c r="I195">
        <f t="shared" si="8"/>
        <v>1.0387209055057222E-3</v>
      </c>
      <c r="J195">
        <v>0</v>
      </c>
      <c r="K195">
        <f t="shared" si="6"/>
        <v>1.0387209055057222E-3</v>
      </c>
      <c r="L195">
        <f t="shared" si="7"/>
        <v>0.10387209055057221</v>
      </c>
      <c r="M195">
        <v>0.18</v>
      </c>
    </row>
    <row r="196" spans="1:13" x14ac:dyDescent="0.2">
      <c r="A196" s="1">
        <v>44169</v>
      </c>
      <c r="B196">
        <v>29.200001</v>
      </c>
      <c r="C196">
        <v>29.43</v>
      </c>
      <c r="D196">
        <v>29</v>
      </c>
      <c r="E196">
        <v>29.290001</v>
      </c>
      <c r="F196">
        <v>29.145239</v>
      </c>
      <c r="G196">
        <v>66188200</v>
      </c>
      <c r="I196">
        <f t="shared" si="8"/>
        <v>1.3144243825337144E-2</v>
      </c>
      <c r="J196">
        <v>0</v>
      </c>
      <c r="K196">
        <f t="shared" ref="K196:K252" si="9">I196-J196</f>
        <v>1.3144243825337144E-2</v>
      </c>
      <c r="L196">
        <f t="shared" ref="L196:L252" si="10">100*K196</f>
        <v>1.3144243825337143</v>
      </c>
      <c r="M196">
        <v>1.02</v>
      </c>
    </row>
    <row r="197" spans="1:13" x14ac:dyDescent="0.2">
      <c r="A197" s="1">
        <v>44172</v>
      </c>
      <c r="B197">
        <v>28.9</v>
      </c>
      <c r="C197">
        <v>29.15</v>
      </c>
      <c r="D197">
        <v>28.690000999999999</v>
      </c>
      <c r="E197">
        <v>29.09</v>
      </c>
      <c r="F197">
        <v>28.946225999999999</v>
      </c>
      <c r="G197">
        <v>42197800</v>
      </c>
      <c r="I197">
        <f t="shared" ref="I197:I252" si="11">(F197-F196)/F196</f>
        <v>-6.8283193697605557E-3</v>
      </c>
      <c r="J197">
        <v>0</v>
      </c>
      <c r="K197">
        <f t="shared" si="9"/>
        <v>-6.8283193697605557E-3</v>
      </c>
      <c r="L197">
        <f t="shared" si="10"/>
        <v>-0.6828319369760556</v>
      </c>
      <c r="M197">
        <v>0.03</v>
      </c>
    </row>
    <row r="198" spans="1:13" x14ac:dyDescent="0.2">
      <c r="A198" s="1">
        <v>44173</v>
      </c>
      <c r="B198">
        <v>28.860001</v>
      </c>
      <c r="C198">
        <v>29.15</v>
      </c>
      <c r="D198">
        <v>28.77</v>
      </c>
      <c r="E198">
        <v>28.93</v>
      </c>
      <c r="F198">
        <v>28.787018</v>
      </c>
      <c r="G198">
        <v>33869100</v>
      </c>
      <c r="I198">
        <f t="shared" si="11"/>
        <v>-5.5001297923950284E-3</v>
      </c>
      <c r="J198">
        <v>0</v>
      </c>
      <c r="K198">
        <f t="shared" si="9"/>
        <v>-5.5001297923950284E-3</v>
      </c>
      <c r="L198">
        <f t="shared" si="10"/>
        <v>-0.55001297923950287</v>
      </c>
      <c r="M198">
        <v>0.47</v>
      </c>
    </row>
    <row r="199" spans="1:13" x14ac:dyDescent="0.2">
      <c r="A199" s="1">
        <v>44174</v>
      </c>
      <c r="B199">
        <v>29.25</v>
      </c>
      <c r="C199">
        <v>29.25</v>
      </c>
      <c r="D199">
        <v>28.75</v>
      </c>
      <c r="E199">
        <v>28.799999</v>
      </c>
      <c r="F199">
        <v>28.65766</v>
      </c>
      <c r="G199">
        <v>54886300</v>
      </c>
      <c r="I199">
        <f t="shared" si="11"/>
        <v>-4.4936227851040305E-3</v>
      </c>
      <c r="J199">
        <v>0</v>
      </c>
      <c r="K199">
        <f t="shared" si="9"/>
        <v>-4.4936227851040305E-3</v>
      </c>
      <c r="L199">
        <f t="shared" si="10"/>
        <v>-0.44936227851040306</v>
      </c>
      <c r="M199">
        <v>-1.03</v>
      </c>
    </row>
    <row r="200" spans="1:13" x14ac:dyDescent="0.2">
      <c r="A200" s="1">
        <v>44175</v>
      </c>
      <c r="B200">
        <v>28.629999000000002</v>
      </c>
      <c r="C200">
        <v>29.129999000000002</v>
      </c>
      <c r="D200">
        <v>28.469999000000001</v>
      </c>
      <c r="E200">
        <v>29.110001</v>
      </c>
      <c r="F200">
        <v>28.966128999999999</v>
      </c>
      <c r="G200">
        <v>58859600</v>
      </c>
      <c r="I200">
        <f t="shared" si="11"/>
        <v>1.076392838773294E-2</v>
      </c>
      <c r="J200">
        <v>0</v>
      </c>
      <c r="K200">
        <f t="shared" si="9"/>
        <v>1.076392838773294E-2</v>
      </c>
      <c r="L200">
        <f t="shared" si="10"/>
        <v>1.0763928387732939</v>
      </c>
      <c r="M200">
        <v>0.24</v>
      </c>
    </row>
    <row r="201" spans="1:13" x14ac:dyDescent="0.2">
      <c r="A201" s="1">
        <v>44176</v>
      </c>
      <c r="B201">
        <v>28.68</v>
      </c>
      <c r="C201">
        <v>28.75</v>
      </c>
      <c r="D201">
        <v>28.299999</v>
      </c>
      <c r="E201">
        <v>28.57</v>
      </c>
      <c r="F201">
        <v>28.428796999999999</v>
      </c>
      <c r="G201">
        <v>40538400</v>
      </c>
      <c r="I201">
        <f t="shared" si="11"/>
        <v>-1.8550355831115691E-2</v>
      </c>
      <c r="J201">
        <v>0</v>
      </c>
      <c r="K201">
        <f t="shared" si="9"/>
        <v>-1.8550355831115691E-2</v>
      </c>
      <c r="L201">
        <f t="shared" si="10"/>
        <v>-1.855035583111569</v>
      </c>
      <c r="M201">
        <v>-0.2</v>
      </c>
    </row>
    <row r="202" spans="1:13" x14ac:dyDescent="0.2">
      <c r="A202" s="1">
        <v>44179</v>
      </c>
      <c r="B202">
        <v>28.92</v>
      </c>
      <c r="C202">
        <v>28.959999</v>
      </c>
      <c r="D202">
        <v>28.139999</v>
      </c>
      <c r="E202">
        <v>28.219999000000001</v>
      </c>
      <c r="F202">
        <v>28.080525999999999</v>
      </c>
      <c r="G202">
        <v>40267100</v>
      </c>
      <c r="I202">
        <f t="shared" si="11"/>
        <v>-1.2250641488628606E-2</v>
      </c>
      <c r="J202">
        <v>0</v>
      </c>
      <c r="K202">
        <f t="shared" si="9"/>
        <v>-1.2250641488628606E-2</v>
      </c>
      <c r="L202">
        <f t="shared" si="10"/>
        <v>-1.2250641488628606</v>
      </c>
      <c r="M202">
        <v>-0.28000000000000003</v>
      </c>
    </row>
    <row r="203" spans="1:13" x14ac:dyDescent="0.2">
      <c r="A203" s="1">
        <v>44180</v>
      </c>
      <c r="B203">
        <v>28.35</v>
      </c>
      <c r="C203">
        <v>28.82</v>
      </c>
      <c r="D203">
        <v>28.25</v>
      </c>
      <c r="E203">
        <v>28.639999</v>
      </c>
      <c r="F203">
        <v>28.498449000000001</v>
      </c>
      <c r="G203">
        <v>43717800</v>
      </c>
      <c r="I203">
        <f t="shared" si="11"/>
        <v>1.4883018929203884E-2</v>
      </c>
      <c r="J203">
        <v>0</v>
      </c>
      <c r="K203">
        <f t="shared" si="9"/>
        <v>1.4883018929203884E-2</v>
      </c>
      <c r="L203">
        <f t="shared" si="10"/>
        <v>1.4883018929203884</v>
      </c>
      <c r="M203">
        <v>1.28</v>
      </c>
    </row>
    <row r="204" spans="1:13" x14ac:dyDescent="0.2">
      <c r="A204" s="1">
        <v>44181</v>
      </c>
      <c r="B204">
        <v>28.799999</v>
      </c>
      <c r="C204">
        <v>28.82</v>
      </c>
      <c r="D204">
        <v>28.440000999999999</v>
      </c>
      <c r="E204">
        <v>28.719999000000001</v>
      </c>
      <c r="F204">
        <v>28.578054000000002</v>
      </c>
      <c r="G204">
        <v>42463200</v>
      </c>
      <c r="I204">
        <f t="shared" si="11"/>
        <v>2.7933099096024774E-3</v>
      </c>
      <c r="J204">
        <v>0</v>
      </c>
      <c r="K204">
        <f t="shared" si="9"/>
        <v>2.7933099096024774E-3</v>
      </c>
      <c r="L204">
        <f t="shared" si="10"/>
        <v>0.27933099096024772</v>
      </c>
      <c r="M204">
        <v>0.17</v>
      </c>
    </row>
    <row r="205" spans="1:13" x14ac:dyDescent="0.2">
      <c r="A205" s="1">
        <v>44182</v>
      </c>
      <c r="B205">
        <v>28.709999</v>
      </c>
      <c r="C205">
        <v>28.92</v>
      </c>
      <c r="D205">
        <v>28.530000999999999</v>
      </c>
      <c r="E205">
        <v>28.83</v>
      </c>
      <c r="F205">
        <v>28.687511000000001</v>
      </c>
      <c r="G205">
        <v>43182700</v>
      </c>
      <c r="I205">
        <f t="shared" si="11"/>
        <v>3.8301068365256437E-3</v>
      </c>
      <c r="J205">
        <v>0</v>
      </c>
      <c r="K205">
        <f t="shared" si="9"/>
        <v>3.8301068365256437E-3</v>
      </c>
      <c r="L205">
        <f t="shared" si="10"/>
        <v>0.38301068365256435</v>
      </c>
      <c r="M205">
        <v>0.79</v>
      </c>
    </row>
    <row r="206" spans="1:13" x14ac:dyDescent="0.2">
      <c r="A206" s="1">
        <v>44183</v>
      </c>
      <c r="B206">
        <v>28.889999</v>
      </c>
      <c r="C206">
        <v>29.1</v>
      </c>
      <c r="D206">
        <v>28.57</v>
      </c>
      <c r="E206">
        <v>28.67</v>
      </c>
      <c r="F206">
        <v>28.528303000000001</v>
      </c>
      <c r="G206">
        <v>82817200</v>
      </c>
      <c r="I206">
        <f t="shared" si="11"/>
        <v>-5.5497320767911714E-3</v>
      </c>
      <c r="J206">
        <v>0</v>
      </c>
      <c r="K206">
        <f t="shared" si="9"/>
        <v>-5.5497320767911714E-3</v>
      </c>
      <c r="L206">
        <f t="shared" si="10"/>
        <v>-0.55497320767911718</v>
      </c>
      <c r="M206">
        <v>-0.12</v>
      </c>
    </row>
    <row r="207" spans="1:13" x14ac:dyDescent="0.2">
      <c r="A207" s="1">
        <v>44186</v>
      </c>
      <c r="B207">
        <v>29.1</v>
      </c>
      <c r="C207">
        <v>29.99</v>
      </c>
      <c r="D207">
        <v>28.73</v>
      </c>
      <c r="E207">
        <v>29.74</v>
      </c>
      <c r="F207">
        <v>29.593014</v>
      </c>
      <c r="G207">
        <v>93397400</v>
      </c>
      <c r="I207">
        <f t="shared" si="11"/>
        <v>3.7321217459026536E-2</v>
      </c>
      <c r="J207">
        <v>0</v>
      </c>
      <c r="K207">
        <f t="shared" si="9"/>
        <v>3.7321217459026536E-2</v>
      </c>
      <c r="L207">
        <f t="shared" si="10"/>
        <v>3.7321217459026537</v>
      </c>
      <c r="M207">
        <v>-0.23</v>
      </c>
    </row>
    <row r="208" spans="1:13" x14ac:dyDescent="0.2">
      <c r="A208" s="1">
        <v>44187</v>
      </c>
      <c r="B208">
        <v>29.780000999999999</v>
      </c>
      <c r="C208">
        <v>29.780000999999999</v>
      </c>
      <c r="D208">
        <v>29.17</v>
      </c>
      <c r="E208">
        <v>29.209999</v>
      </c>
      <c r="F208">
        <v>29.065633999999999</v>
      </c>
      <c r="G208">
        <v>39054300</v>
      </c>
      <c r="I208">
        <f t="shared" si="11"/>
        <v>-1.7821097911824759E-2</v>
      </c>
      <c r="J208">
        <v>0</v>
      </c>
      <c r="K208">
        <f t="shared" si="9"/>
        <v>-1.7821097911824759E-2</v>
      </c>
      <c r="L208">
        <f t="shared" si="10"/>
        <v>-1.7821097911824759</v>
      </c>
      <c r="M208">
        <v>0.06</v>
      </c>
    </row>
    <row r="209" spans="1:13" x14ac:dyDescent="0.2">
      <c r="A209" s="1">
        <v>44188</v>
      </c>
      <c r="B209">
        <v>29.389999</v>
      </c>
      <c r="C209">
        <v>30.35</v>
      </c>
      <c r="D209">
        <v>29.33</v>
      </c>
      <c r="E209">
        <v>30.049999</v>
      </c>
      <c r="F209">
        <v>29.901482000000001</v>
      </c>
      <c r="G209">
        <v>52537200</v>
      </c>
      <c r="I209">
        <f t="shared" si="11"/>
        <v>2.8757260206331715E-2</v>
      </c>
      <c r="J209">
        <v>0</v>
      </c>
      <c r="K209">
        <f t="shared" si="9"/>
        <v>2.8757260206331715E-2</v>
      </c>
      <c r="L209">
        <f t="shared" si="10"/>
        <v>2.8757260206331714</v>
      </c>
      <c r="M209">
        <v>0.1</v>
      </c>
    </row>
    <row r="210" spans="1:13" x14ac:dyDescent="0.2">
      <c r="A210" s="1">
        <v>44189</v>
      </c>
      <c r="B210">
        <v>30.27</v>
      </c>
      <c r="C210">
        <v>30.27</v>
      </c>
      <c r="D210">
        <v>29.74</v>
      </c>
      <c r="E210">
        <v>29.959999</v>
      </c>
      <c r="F210">
        <v>29.811926</v>
      </c>
      <c r="G210">
        <v>22632300</v>
      </c>
      <c r="I210">
        <f t="shared" si="11"/>
        <v>-2.995035496902854E-3</v>
      </c>
      <c r="J210">
        <v>0</v>
      </c>
      <c r="K210">
        <f t="shared" si="9"/>
        <v>-2.995035496902854E-3</v>
      </c>
      <c r="L210">
        <f t="shared" si="10"/>
        <v>-0.29950354969028542</v>
      </c>
      <c r="M210">
        <v>0.21</v>
      </c>
    </row>
    <row r="211" spans="1:13" x14ac:dyDescent="0.2">
      <c r="A211" s="1">
        <v>44193</v>
      </c>
      <c r="B211">
        <v>30.23</v>
      </c>
      <c r="C211">
        <v>30.549999</v>
      </c>
      <c r="D211">
        <v>29.99</v>
      </c>
      <c r="E211">
        <v>30.129999000000002</v>
      </c>
      <c r="F211">
        <v>29.981086999999999</v>
      </c>
      <c r="G211">
        <v>32861200</v>
      </c>
      <c r="I211">
        <f t="shared" si="11"/>
        <v>5.6742727725809803E-3</v>
      </c>
      <c r="J211">
        <v>0</v>
      </c>
      <c r="K211">
        <f t="shared" si="9"/>
        <v>5.6742727725809803E-3</v>
      </c>
      <c r="L211">
        <f t="shared" si="10"/>
        <v>0.56742727725809805</v>
      </c>
      <c r="M211">
        <v>0.46</v>
      </c>
    </row>
    <row r="212" spans="1:13" x14ac:dyDescent="0.2">
      <c r="A212" s="1">
        <v>44194</v>
      </c>
      <c r="B212">
        <v>30.17</v>
      </c>
      <c r="C212">
        <v>30.25</v>
      </c>
      <c r="D212">
        <v>29.93</v>
      </c>
      <c r="E212">
        <v>30.01</v>
      </c>
      <c r="F212">
        <v>29.861681000000001</v>
      </c>
      <c r="G212">
        <v>33291900</v>
      </c>
      <c r="I212">
        <f t="shared" si="11"/>
        <v>-3.9827108336665017E-3</v>
      </c>
      <c r="J212">
        <v>0</v>
      </c>
      <c r="K212">
        <f t="shared" si="9"/>
        <v>-3.9827108336665017E-3</v>
      </c>
      <c r="L212">
        <f t="shared" si="10"/>
        <v>-0.39827108336665018</v>
      </c>
      <c r="M212">
        <v>-0.4</v>
      </c>
    </row>
    <row r="213" spans="1:13" x14ac:dyDescent="0.2">
      <c r="A213" s="1">
        <v>44195</v>
      </c>
      <c r="B213">
        <v>30</v>
      </c>
      <c r="C213">
        <v>30.219999000000001</v>
      </c>
      <c r="D213">
        <v>29.940000999999999</v>
      </c>
      <c r="E213">
        <v>29.98</v>
      </c>
      <c r="F213">
        <v>29.831827000000001</v>
      </c>
      <c r="G213">
        <v>26370100</v>
      </c>
      <c r="I213">
        <f t="shared" si="11"/>
        <v>-9.9974278072290264E-4</v>
      </c>
      <c r="J213">
        <v>0</v>
      </c>
      <c r="K213">
        <f t="shared" si="9"/>
        <v>-9.9974278072290264E-4</v>
      </c>
      <c r="L213">
        <f t="shared" si="10"/>
        <v>-9.9974278072290257E-2</v>
      </c>
      <c r="M213">
        <v>0.27</v>
      </c>
    </row>
    <row r="214" spans="1:13" x14ac:dyDescent="0.2">
      <c r="A214" s="1">
        <v>44196</v>
      </c>
      <c r="B214">
        <v>30.01</v>
      </c>
      <c r="C214">
        <v>30.389999</v>
      </c>
      <c r="D214">
        <v>29.9</v>
      </c>
      <c r="E214">
        <v>30.309999000000001</v>
      </c>
      <c r="F214">
        <v>30.160195999999999</v>
      </c>
      <c r="G214">
        <v>28716000</v>
      </c>
      <c r="I214">
        <f t="shared" si="11"/>
        <v>1.1007337901228731E-2</v>
      </c>
      <c r="J214">
        <v>0</v>
      </c>
      <c r="K214">
        <f t="shared" si="9"/>
        <v>1.1007337901228731E-2</v>
      </c>
      <c r="L214">
        <f t="shared" si="10"/>
        <v>1.1007337901228731</v>
      </c>
      <c r="M214">
        <v>0.39</v>
      </c>
    </row>
    <row r="215" spans="1:13" x14ac:dyDescent="0.2">
      <c r="A215" s="1">
        <v>44200</v>
      </c>
      <c r="B215">
        <v>30.459999</v>
      </c>
      <c r="C215">
        <v>30.57</v>
      </c>
      <c r="D215">
        <v>29.75</v>
      </c>
      <c r="E215">
        <v>30.030000999999999</v>
      </c>
      <c r="F215">
        <v>29.881582000000002</v>
      </c>
      <c r="G215">
        <v>51483900</v>
      </c>
      <c r="I215">
        <f t="shared" si="11"/>
        <v>-9.2378046880065862E-3</v>
      </c>
      <c r="J215">
        <v>0</v>
      </c>
      <c r="K215">
        <f t="shared" si="9"/>
        <v>-9.2378046880065862E-3</v>
      </c>
      <c r="L215">
        <f t="shared" si="10"/>
        <v>-0.92378046880065867</v>
      </c>
      <c r="M215">
        <v>-1.41</v>
      </c>
    </row>
    <row r="216" spans="1:13" x14ac:dyDescent="0.2">
      <c r="A216" s="1">
        <v>44201</v>
      </c>
      <c r="B216">
        <v>30.17</v>
      </c>
      <c r="C216">
        <v>30.540001</v>
      </c>
      <c r="D216">
        <v>29.91</v>
      </c>
      <c r="E216">
        <v>30.26</v>
      </c>
      <c r="F216">
        <v>30.110444999999999</v>
      </c>
      <c r="G216">
        <v>48507000</v>
      </c>
      <c r="I216">
        <f t="shared" si="11"/>
        <v>7.6589987772400043E-3</v>
      </c>
      <c r="J216">
        <v>0</v>
      </c>
      <c r="K216">
        <f t="shared" si="9"/>
        <v>7.6589987772400043E-3</v>
      </c>
      <c r="L216">
        <f t="shared" si="10"/>
        <v>0.76589987772400048</v>
      </c>
      <c r="M216">
        <v>0.86</v>
      </c>
    </row>
    <row r="217" spans="1:13" x14ac:dyDescent="0.2">
      <c r="A217" s="1">
        <v>44202</v>
      </c>
      <c r="B217">
        <v>31.9</v>
      </c>
      <c r="C217">
        <v>32.619999</v>
      </c>
      <c r="D217">
        <v>31.360001</v>
      </c>
      <c r="E217">
        <v>32.150002000000001</v>
      </c>
      <c r="F217">
        <v>31.991104</v>
      </c>
      <c r="G217">
        <v>107002800</v>
      </c>
      <c r="I217">
        <f t="shared" si="11"/>
        <v>6.2458691659987138E-2</v>
      </c>
      <c r="J217">
        <v>0</v>
      </c>
      <c r="K217">
        <f t="shared" si="9"/>
        <v>6.2458691659987138E-2</v>
      </c>
      <c r="L217">
        <f t="shared" si="10"/>
        <v>6.2458691659987142</v>
      </c>
      <c r="M217">
        <v>0.79</v>
      </c>
    </row>
    <row r="218" spans="1:13" x14ac:dyDescent="0.2">
      <c r="A218" s="1">
        <v>44203</v>
      </c>
      <c r="B218">
        <v>33.310001</v>
      </c>
      <c r="C218">
        <v>33.619999</v>
      </c>
      <c r="D218">
        <v>32.840000000000003</v>
      </c>
      <c r="E218">
        <v>32.860000999999997</v>
      </c>
      <c r="F218">
        <v>32.697594000000002</v>
      </c>
      <c r="G218">
        <v>74358500</v>
      </c>
      <c r="I218">
        <f t="shared" si="11"/>
        <v>2.2083951838611206E-2</v>
      </c>
      <c r="J218">
        <v>0</v>
      </c>
      <c r="K218">
        <f t="shared" si="9"/>
        <v>2.2083951838611206E-2</v>
      </c>
      <c r="L218">
        <f t="shared" si="10"/>
        <v>2.2083951838611204</v>
      </c>
      <c r="M218">
        <v>1.76</v>
      </c>
    </row>
    <row r="219" spans="1:13" x14ac:dyDescent="0.2">
      <c r="A219" s="1">
        <v>44204</v>
      </c>
      <c r="B219">
        <v>32.919998</v>
      </c>
      <c r="C219">
        <v>33</v>
      </c>
      <c r="D219">
        <v>32.110000999999997</v>
      </c>
      <c r="E219">
        <v>32.529998999999997</v>
      </c>
      <c r="F219">
        <v>32.369225</v>
      </c>
      <c r="G219">
        <v>44641400</v>
      </c>
      <c r="I219">
        <f t="shared" si="11"/>
        <v>-1.0042604357984325E-2</v>
      </c>
      <c r="J219">
        <v>0</v>
      </c>
      <c r="K219">
        <f t="shared" si="9"/>
        <v>-1.0042604357984325E-2</v>
      </c>
      <c r="L219">
        <f t="shared" si="10"/>
        <v>-1.0042604357984324</v>
      </c>
      <c r="M219">
        <v>0.51</v>
      </c>
    </row>
    <row r="220" spans="1:13" x14ac:dyDescent="0.2">
      <c r="A220" s="1">
        <v>44207</v>
      </c>
      <c r="B220">
        <v>32.090000000000003</v>
      </c>
      <c r="C220">
        <v>33.130001</v>
      </c>
      <c r="D220">
        <v>31.9</v>
      </c>
      <c r="E220">
        <v>33.07</v>
      </c>
      <c r="F220">
        <v>32.906554999999997</v>
      </c>
      <c r="G220">
        <v>51899600</v>
      </c>
      <c r="I220">
        <f t="shared" si="11"/>
        <v>1.660002672291342E-2</v>
      </c>
      <c r="J220">
        <v>0</v>
      </c>
      <c r="K220">
        <f t="shared" si="9"/>
        <v>1.660002672291342E-2</v>
      </c>
      <c r="L220">
        <f t="shared" si="10"/>
        <v>1.6600026722913421</v>
      </c>
      <c r="M220">
        <v>-0.51</v>
      </c>
    </row>
    <row r="221" spans="1:13" x14ac:dyDescent="0.2">
      <c r="A221" s="1">
        <v>44208</v>
      </c>
      <c r="B221">
        <v>33.419998</v>
      </c>
      <c r="C221">
        <v>33.970001000000003</v>
      </c>
      <c r="D221">
        <v>33.200001</v>
      </c>
      <c r="E221">
        <v>33.659999999999997</v>
      </c>
      <c r="F221">
        <v>33.493640999999997</v>
      </c>
      <c r="G221">
        <v>68166200</v>
      </c>
      <c r="I221">
        <f t="shared" si="11"/>
        <v>1.7841004626585777E-2</v>
      </c>
      <c r="J221">
        <v>0</v>
      </c>
      <c r="K221">
        <f t="shared" si="9"/>
        <v>1.7841004626585777E-2</v>
      </c>
      <c r="L221">
        <f t="shared" si="10"/>
        <v>1.7841004626585777</v>
      </c>
      <c r="M221">
        <v>0.38</v>
      </c>
    </row>
    <row r="222" spans="1:13" x14ac:dyDescent="0.2">
      <c r="A222" s="1">
        <v>44209</v>
      </c>
      <c r="B222">
        <v>33.43</v>
      </c>
      <c r="C222">
        <v>33.68</v>
      </c>
      <c r="D222">
        <v>33.090000000000003</v>
      </c>
      <c r="E222">
        <v>33.459999000000003</v>
      </c>
      <c r="F222">
        <v>33.294628000000003</v>
      </c>
      <c r="G222">
        <v>43172800</v>
      </c>
      <c r="I222">
        <f t="shared" si="11"/>
        <v>-5.9418144477034812E-3</v>
      </c>
      <c r="J222">
        <v>0</v>
      </c>
      <c r="K222">
        <f t="shared" si="9"/>
        <v>-5.9418144477034812E-3</v>
      </c>
      <c r="L222">
        <f t="shared" si="10"/>
        <v>-0.59418144477034807</v>
      </c>
      <c r="M222">
        <v>7.0000000000000007E-2</v>
      </c>
    </row>
    <row r="223" spans="1:13" x14ac:dyDescent="0.2">
      <c r="A223" s="1">
        <v>44210</v>
      </c>
      <c r="B223">
        <v>33.479999999999997</v>
      </c>
      <c r="C223">
        <v>34.369999</v>
      </c>
      <c r="D223">
        <v>33.419998</v>
      </c>
      <c r="E223">
        <v>33.990001999999997</v>
      </c>
      <c r="F223">
        <v>33.822009999999999</v>
      </c>
      <c r="G223">
        <v>48483500</v>
      </c>
      <c r="I223">
        <f t="shared" si="11"/>
        <v>1.5839852603248661E-2</v>
      </c>
      <c r="J223">
        <v>0</v>
      </c>
      <c r="K223">
        <f t="shared" si="9"/>
        <v>1.5839852603248661E-2</v>
      </c>
      <c r="L223">
        <f t="shared" si="10"/>
        <v>1.5839852603248661</v>
      </c>
      <c r="M223">
        <v>-0.11</v>
      </c>
    </row>
    <row r="224" spans="1:13" x14ac:dyDescent="0.2">
      <c r="A224" s="1">
        <v>44211</v>
      </c>
      <c r="B224">
        <v>33.290000999999997</v>
      </c>
      <c r="C224">
        <v>33.630001</v>
      </c>
      <c r="D224">
        <v>32.700001</v>
      </c>
      <c r="E224">
        <v>33.009998000000003</v>
      </c>
      <c r="F224">
        <v>32.846851000000001</v>
      </c>
      <c r="G224">
        <v>57684300</v>
      </c>
      <c r="I224">
        <f t="shared" si="11"/>
        <v>-2.883208301339861E-2</v>
      </c>
      <c r="J224">
        <v>0</v>
      </c>
      <c r="K224">
        <f t="shared" si="9"/>
        <v>-2.883208301339861E-2</v>
      </c>
      <c r="L224">
        <f t="shared" si="10"/>
        <v>-2.8832083013398608</v>
      </c>
      <c r="M224">
        <v>-0.86</v>
      </c>
    </row>
    <row r="225" spans="1:13" x14ac:dyDescent="0.2">
      <c r="A225" s="1">
        <v>44215</v>
      </c>
      <c r="B225">
        <v>32.5</v>
      </c>
      <c r="C225">
        <v>33.599997999999999</v>
      </c>
      <c r="D225">
        <v>32.200001</v>
      </c>
      <c r="E225">
        <v>32.770000000000003</v>
      </c>
      <c r="F225">
        <v>32.608040000000003</v>
      </c>
      <c r="G225">
        <v>78130200</v>
      </c>
      <c r="I225">
        <f t="shared" si="11"/>
        <v>-7.270438192081132E-3</v>
      </c>
      <c r="J225">
        <v>0</v>
      </c>
      <c r="K225">
        <f t="shared" si="9"/>
        <v>-7.270438192081132E-3</v>
      </c>
      <c r="L225">
        <f t="shared" si="10"/>
        <v>-0.72704381920811323</v>
      </c>
      <c r="M225">
        <v>0.91</v>
      </c>
    </row>
    <row r="226" spans="1:13" x14ac:dyDescent="0.2">
      <c r="A226" s="1">
        <v>44216</v>
      </c>
      <c r="B226">
        <v>32.759998000000003</v>
      </c>
      <c r="C226">
        <v>32.790000999999997</v>
      </c>
      <c r="D226">
        <v>32.159999999999997</v>
      </c>
      <c r="E226">
        <v>32.340000000000003</v>
      </c>
      <c r="F226">
        <v>32.180163999999998</v>
      </c>
      <c r="G226">
        <v>53920000</v>
      </c>
      <c r="I226">
        <f t="shared" si="11"/>
        <v>-1.3121794502214937E-2</v>
      </c>
      <c r="J226">
        <v>0</v>
      </c>
      <c r="K226">
        <f t="shared" si="9"/>
        <v>-1.3121794502214937E-2</v>
      </c>
      <c r="L226">
        <f t="shared" si="10"/>
        <v>-1.3121794502214936</v>
      </c>
      <c r="M226">
        <v>1.26</v>
      </c>
    </row>
    <row r="227" spans="1:13" x14ac:dyDescent="0.2">
      <c r="A227" s="1">
        <v>44217</v>
      </c>
      <c r="B227">
        <v>32.340000000000003</v>
      </c>
      <c r="C227">
        <v>32.479999999999997</v>
      </c>
      <c r="D227">
        <v>31.73</v>
      </c>
      <c r="E227">
        <v>31.77</v>
      </c>
      <c r="F227">
        <v>31.612981999999999</v>
      </c>
      <c r="G227">
        <v>49675900</v>
      </c>
      <c r="I227">
        <f t="shared" si="11"/>
        <v>-1.7625205390500776E-2</v>
      </c>
      <c r="J227">
        <v>0</v>
      </c>
      <c r="K227">
        <f t="shared" si="9"/>
        <v>-1.7625205390500776E-2</v>
      </c>
      <c r="L227">
        <f t="shared" si="10"/>
        <v>-1.7625205390500776</v>
      </c>
      <c r="M227">
        <v>-0.04</v>
      </c>
    </row>
    <row r="228" spans="1:13" x14ac:dyDescent="0.2">
      <c r="A228" s="1">
        <v>44218</v>
      </c>
      <c r="B228">
        <v>31.360001</v>
      </c>
      <c r="C228">
        <v>31.75</v>
      </c>
      <c r="D228">
        <v>31.25</v>
      </c>
      <c r="E228">
        <v>31.549999</v>
      </c>
      <c r="F228">
        <v>31.394068000000001</v>
      </c>
      <c r="G228">
        <v>45314500</v>
      </c>
      <c r="I228">
        <f t="shared" si="11"/>
        <v>-6.9248133567405331E-3</v>
      </c>
      <c r="J228">
        <v>0</v>
      </c>
      <c r="K228">
        <f t="shared" si="9"/>
        <v>-6.9248133567405331E-3</v>
      </c>
      <c r="L228">
        <f t="shared" si="10"/>
        <v>-0.69248133567405334</v>
      </c>
      <c r="M228">
        <v>-7.0000000000000007E-2</v>
      </c>
    </row>
    <row r="229" spans="1:13" x14ac:dyDescent="0.2">
      <c r="A229" s="1">
        <v>44221</v>
      </c>
      <c r="B229">
        <v>31.27</v>
      </c>
      <c r="C229">
        <v>31.299999</v>
      </c>
      <c r="D229">
        <v>30.57</v>
      </c>
      <c r="E229">
        <v>31.16</v>
      </c>
      <c r="F229">
        <v>31.005997000000001</v>
      </c>
      <c r="G229">
        <v>48078400</v>
      </c>
      <c r="I229">
        <f t="shared" si="11"/>
        <v>-1.2361284303773567E-2</v>
      </c>
      <c r="J229">
        <v>0</v>
      </c>
      <c r="K229">
        <f t="shared" si="9"/>
        <v>-1.2361284303773567E-2</v>
      </c>
      <c r="L229">
        <f t="shared" si="10"/>
        <v>-1.2361284303773568</v>
      </c>
      <c r="M229">
        <v>0.28000000000000003</v>
      </c>
    </row>
    <row r="230" spans="1:13" x14ac:dyDescent="0.2">
      <c r="A230" s="1">
        <v>44222</v>
      </c>
      <c r="B230">
        <v>31.4</v>
      </c>
      <c r="C230">
        <v>31.43</v>
      </c>
      <c r="D230">
        <v>30.91</v>
      </c>
      <c r="E230">
        <v>30.940000999999999</v>
      </c>
      <c r="F230">
        <v>30.787085000000001</v>
      </c>
      <c r="G230">
        <v>36373000</v>
      </c>
      <c r="I230">
        <f t="shared" si="11"/>
        <v>-7.0603115906900061E-3</v>
      </c>
      <c r="J230">
        <v>0</v>
      </c>
      <c r="K230">
        <f t="shared" si="9"/>
        <v>-7.0603115906900061E-3</v>
      </c>
      <c r="L230">
        <f t="shared" si="10"/>
        <v>-0.7060311590690006</v>
      </c>
      <c r="M230">
        <v>-0.32</v>
      </c>
    </row>
    <row r="231" spans="1:13" x14ac:dyDescent="0.2">
      <c r="A231" s="1">
        <v>44223</v>
      </c>
      <c r="B231">
        <v>30.309999000000001</v>
      </c>
      <c r="C231">
        <v>30.43</v>
      </c>
      <c r="D231">
        <v>29.67</v>
      </c>
      <c r="E231">
        <v>29.83</v>
      </c>
      <c r="F231">
        <v>29.682569999999998</v>
      </c>
      <c r="G231">
        <v>63809200</v>
      </c>
      <c r="I231">
        <f t="shared" si="11"/>
        <v>-3.5875920048942689E-2</v>
      </c>
      <c r="J231">
        <v>0</v>
      </c>
      <c r="K231">
        <f t="shared" si="9"/>
        <v>-3.5875920048942689E-2</v>
      </c>
      <c r="L231">
        <f t="shared" si="10"/>
        <v>-3.5875920048942689</v>
      </c>
      <c r="M231">
        <v>-2.5299999999999998</v>
      </c>
    </row>
    <row r="232" spans="1:13" x14ac:dyDescent="0.2">
      <c r="A232" s="1">
        <v>44224</v>
      </c>
      <c r="B232">
        <v>30.42</v>
      </c>
      <c r="C232">
        <v>30.75</v>
      </c>
      <c r="D232">
        <v>29.92</v>
      </c>
      <c r="E232">
        <v>30.32</v>
      </c>
      <c r="F232">
        <v>30.170147</v>
      </c>
      <c r="G232">
        <v>51223300</v>
      </c>
      <c r="I232">
        <f t="shared" si="11"/>
        <v>1.6426374131350546E-2</v>
      </c>
      <c r="J232">
        <v>0</v>
      </c>
      <c r="K232">
        <f t="shared" si="9"/>
        <v>1.6426374131350546E-2</v>
      </c>
      <c r="L232">
        <f t="shared" si="10"/>
        <v>1.6426374131350545</v>
      </c>
      <c r="M232">
        <v>0.92</v>
      </c>
    </row>
    <row r="233" spans="1:13" x14ac:dyDescent="0.2">
      <c r="A233" s="1">
        <v>44225</v>
      </c>
      <c r="B233">
        <v>30.4</v>
      </c>
      <c r="C233">
        <v>30.5</v>
      </c>
      <c r="D233">
        <v>29.59</v>
      </c>
      <c r="E233">
        <v>29.65</v>
      </c>
      <c r="F233">
        <v>29.503457999999998</v>
      </c>
      <c r="G233">
        <v>63994800</v>
      </c>
      <c r="I233">
        <f t="shared" si="11"/>
        <v>-2.2097638437094842E-2</v>
      </c>
      <c r="J233">
        <v>0</v>
      </c>
      <c r="K233">
        <f t="shared" si="9"/>
        <v>-2.2097638437094842E-2</v>
      </c>
      <c r="L233">
        <f t="shared" si="10"/>
        <v>-2.2097638437094842</v>
      </c>
      <c r="M233">
        <v>-1.84</v>
      </c>
    </row>
    <row r="234" spans="1:13" x14ac:dyDescent="0.2">
      <c r="A234" s="1">
        <v>44228</v>
      </c>
      <c r="B234">
        <v>29.870000999999998</v>
      </c>
      <c r="C234">
        <v>30.040001</v>
      </c>
      <c r="D234">
        <v>29.57</v>
      </c>
      <c r="E234">
        <v>29.959999</v>
      </c>
      <c r="F234">
        <v>29.811926</v>
      </c>
      <c r="G234">
        <v>40985300</v>
      </c>
      <c r="I234">
        <f t="shared" si="11"/>
        <v>1.0455316797102269E-2</v>
      </c>
      <c r="J234">
        <v>0</v>
      </c>
      <c r="K234">
        <f t="shared" si="9"/>
        <v>1.0455316797102269E-2</v>
      </c>
      <c r="L234">
        <f t="shared" si="10"/>
        <v>1.045531679710227</v>
      </c>
      <c r="M234">
        <v>1.73</v>
      </c>
    </row>
    <row r="235" spans="1:13" x14ac:dyDescent="0.2">
      <c r="A235" s="1">
        <v>44229</v>
      </c>
      <c r="B235">
        <v>30.58</v>
      </c>
      <c r="C235">
        <v>31.200001</v>
      </c>
      <c r="D235">
        <v>30.540001</v>
      </c>
      <c r="E235">
        <v>31.030000999999999</v>
      </c>
      <c r="F235">
        <v>30.876638</v>
      </c>
      <c r="G235">
        <v>53527000</v>
      </c>
      <c r="I235">
        <f t="shared" si="11"/>
        <v>3.5714297694150993E-2</v>
      </c>
      <c r="J235">
        <v>0</v>
      </c>
      <c r="K235">
        <f t="shared" si="9"/>
        <v>3.5714297694150993E-2</v>
      </c>
      <c r="L235">
        <f t="shared" si="10"/>
        <v>3.5714297694150994</v>
      </c>
      <c r="M235">
        <v>1.48</v>
      </c>
    </row>
    <row r="236" spans="1:13" x14ac:dyDescent="0.2">
      <c r="A236" s="1">
        <v>44230</v>
      </c>
      <c r="B236">
        <v>30.91</v>
      </c>
      <c r="C236">
        <v>31.73</v>
      </c>
      <c r="D236">
        <v>30.879999000000002</v>
      </c>
      <c r="E236">
        <v>31.58</v>
      </c>
      <c r="F236">
        <v>31.423919999999999</v>
      </c>
      <c r="G236">
        <v>49404900</v>
      </c>
      <c r="I236">
        <f t="shared" si="11"/>
        <v>1.7724792446638757E-2</v>
      </c>
      <c r="J236">
        <v>0</v>
      </c>
      <c r="K236">
        <f t="shared" si="9"/>
        <v>1.7724792446638757E-2</v>
      </c>
      <c r="L236">
        <f t="shared" si="10"/>
        <v>1.7724792446638757</v>
      </c>
      <c r="M236">
        <v>0.16</v>
      </c>
    </row>
    <row r="237" spans="1:13" x14ac:dyDescent="0.2">
      <c r="A237" s="1">
        <v>44231</v>
      </c>
      <c r="B237">
        <v>31.799999</v>
      </c>
      <c r="C237">
        <v>32.529998999999997</v>
      </c>
      <c r="D237">
        <v>31.780000999999999</v>
      </c>
      <c r="E237">
        <v>32.5</v>
      </c>
      <c r="F237">
        <v>32.339374999999997</v>
      </c>
      <c r="G237">
        <v>51751900</v>
      </c>
      <c r="I237">
        <f t="shared" si="11"/>
        <v>2.9132425235298395E-2</v>
      </c>
      <c r="J237">
        <v>0</v>
      </c>
      <c r="K237">
        <f t="shared" si="9"/>
        <v>2.9132425235298395E-2</v>
      </c>
      <c r="L237">
        <f t="shared" si="10"/>
        <v>2.9132425235298394</v>
      </c>
      <c r="M237">
        <v>1.23</v>
      </c>
    </row>
    <row r="238" spans="1:13" x14ac:dyDescent="0.2">
      <c r="A238" s="1">
        <v>44232</v>
      </c>
      <c r="B238">
        <v>32.889999000000003</v>
      </c>
      <c r="C238">
        <v>32.909999999999997</v>
      </c>
      <c r="D238">
        <v>32.32</v>
      </c>
      <c r="E238">
        <v>32.369999</v>
      </c>
      <c r="F238">
        <v>32.210014000000001</v>
      </c>
      <c r="G238">
        <v>41978500</v>
      </c>
      <c r="I238">
        <f t="shared" si="11"/>
        <v>-4.0001082271996866E-3</v>
      </c>
      <c r="J238">
        <v>0</v>
      </c>
      <c r="K238">
        <f t="shared" si="9"/>
        <v>-4.0001082271996866E-3</v>
      </c>
      <c r="L238">
        <f t="shared" si="10"/>
        <v>-0.40001082271996868</v>
      </c>
      <c r="M238">
        <v>0.57999999999999996</v>
      </c>
    </row>
    <row r="239" spans="1:13" x14ac:dyDescent="0.2">
      <c r="A239" s="1">
        <v>44235</v>
      </c>
      <c r="B239">
        <v>32.43</v>
      </c>
      <c r="C239">
        <v>33.279998999999997</v>
      </c>
      <c r="D239">
        <v>32.400002000000001</v>
      </c>
      <c r="E239">
        <v>33.090000000000003</v>
      </c>
      <c r="F239">
        <v>32.926456000000002</v>
      </c>
      <c r="G239">
        <v>46014100</v>
      </c>
      <c r="I239">
        <f t="shared" si="11"/>
        <v>2.224283416952258E-2</v>
      </c>
      <c r="J239">
        <v>0</v>
      </c>
      <c r="K239">
        <f t="shared" si="9"/>
        <v>2.224283416952258E-2</v>
      </c>
      <c r="L239">
        <f t="shared" si="10"/>
        <v>2.2242834169522578</v>
      </c>
      <c r="M239">
        <v>0.96</v>
      </c>
    </row>
    <row r="240" spans="1:13" x14ac:dyDescent="0.2">
      <c r="A240" s="1">
        <v>44236</v>
      </c>
      <c r="B240">
        <v>32.970001000000003</v>
      </c>
      <c r="C240">
        <v>33.020000000000003</v>
      </c>
      <c r="D240">
        <v>32.590000000000003</v>
      </c>
      <c r="E240">
        <v>32.950001</v>
      </c>
      <c r="F240">
        <v>32.787151000000001</v>
      </c>
      <c r="G240">
        <v>35868600</v>
      </c>
      <c r="I240">
        <f t="shared" si="11"/>
        <v>-4.2307924059607335E-3</v>
      </c>
      <c r="J240">
        <v>0</v>
      </c>
      <c r="K240">
        <f t="shared" si="9"/>
        <v>-4.2307924059607335E-3</v>
      </c>
      <c r="L240">
        <f t="shared" si="10"/>
        <v>-0.42307924059607332</v>
      </c>
      <c r="M240">
        <v>0.05</v>
      </c>
    </row>
    <row r="241" spans="1:13" x14ac:dyDescent="0.2">
      <c r="A241" s="1">
        <v>44237</v>
      </c>
      <c r="B241">
        <v>33.119999</v>
      </c>
      <c r="C241">
        <v>33.419998</v>
      </c>
      <c r="D241">
        <v>32.860000999999997</v>
      </c>
      <c r="E241">
        <v>32.979999999999997</v>
      </c>
      <c r="F241">
        <v>32.817000999999998</v>
      </c>
      <c r="G241">
        <v>45031900</v>
      </c>
      <c r="I241">
        <f t="shared" si="11"/>
        <v>9.1041762060985892E-4</v>
      </c>
      <c r="J241">
        <v>0</v>
      </c>
      <c r="K241">
        <f t="shared" si="9"/>
        <v>9.1041762060985892E-4</v>
      </c>
      <c r="L241">
        <f t="shared" si="10"/>
        <v>9.1041762060985895E-2</v>
      </c>
      <c r="M241">
        <v>-7.0000000000000007E-2</v>
      </c>
    </row>
    <row r="242" spans="1:13" x14ac:dyDescent="0.2">
      <c r="A242" s="1">
        <v>44238</v>
      </c>
      <c r="B242">
        <v>32.970001000000003</v>
      </c>
      <c r="C242">
        <v>33.310001</v>
      </c>
      <c r="D242">
        <v>32.549999</v>
      </c>
      <c r="E242">
        <v>32.880001</v>
      </c>
      <c r="F242">
        <v>32.717495</v>
      </c>
      <c r="G242">
        <v>29472700</v>
      </c>
      <c r="I242">
        <f t="shared" si="11"/>
        <v>-3.032147879691935E-3</v>
      </c>
      <c r="J242">
        <v>0</v>
      </c>
      <c r="K242">
        <f t="shared" si="9"/>
        <v>-3.032147879691935E-3</v>
      </c>
      <c r="L242">
        <f t="shared" si="10"/>
        <v>-0.30321478796919349</v>
      </c>
      <c r="M242">
        <v>0.19</v>
      </c>
    </row>
    <row r="243" spans="1:13" x14ac:dyDescent="0.2">
      <c r="A243" s="1">
        <v>44239</v>
      </c>
      <c r="B243">
        <v>33</v>
      </c>
      <c r="C243">
        <v>33.450001</v>
      </c>
      <c r="D243">
        <v>32.909999999999997</v>
      </c>
      <c r="E243">
        <v>33.369999</v>
      </c>
      <c r="F243">
        <v>33.205074000000003</v>
      </c>
      <c r="G243">
        <v>37446900</v>
      </c>
      <c r="I243">
        <f t="shared" si="11"/>
        <v>1.4902699610712977E-2</v>
      </c>
      <c r="J243">
        <v>0</v>
      </c>
      <c r="K243">
        <f t="shared" si="9"/>
        <v>1.4902699610712977E-2</v>
      </c>
      <c r="L243">
        <f t="shared" si="10"/>
        <v>1.4902699610712977</v>
      </c>
      <c r="M243">
        <v>0.49</v>
      </c>
    </row>
    <row r="244" spans="1:13" x14ac:dyDescent="0.2">
      <c r="A244" s="1">
        <v>44243</v>
      </c>
      <c r="B244">
        <v>33.979999999999997</v>
      </c>
      <c r="C244">
        <v>34.560001</v>
      </c>
      <c r="D244">
        <v>33.700001</v>
      </c>
      <c r="E244">
        <v>34.270000000000003</v>
      </c>
      <c r="F244">
        <v>34.100624000000003</v>
      </c>
      <c r="G244">
        <v>52802600</v>
      </c>
      <c r="I244">
        <f t="shared" si="11"/>
        <v>2.6970275687384405E-2</v>
      </c>
      <c r="J244">
        <v>0</v>
      </c>
      <c r="K244">
        <f t="shared" si="9"/>
        <v>2.6970275687384405E-2</v>
      </c>
      <c r="L244">
        <f t="shared" si="10"/>
        <v>2.6970275687384406</v>
      </c>
      <c r="M244">
        <v>-0.14000000000000001</v>
      </c>
    </row>
    <row r="245" spans="1:13" x14ac:dyDescent="0.2">
      <c r="A245" s="1">
        <v>44244</v>
      </c>
      <c r="B245">
        <v>34.040000999999997</v>
      </c>
      <c r="C245">
        <v>34.560001</v>
      </c>
      <c r="D245">
        <v>33.790000999999997</v>
      </c>
      <c r="E245">
        <v>34.409999999999997</v>
      </c>
      <c r="F245">
        <v>34.239933000000001</v>
      </c>
      <c r="G245">
        <v>45455300</v>
      </c>
      <c r="I245">
        <f t="shared" si="11"/>
        <v>4.0852331617156692E-3</v>
      </c>
      <c r="J245">
        <v>0</v>
      </c>
      <c r="K245">
        <f t="shared" si="9"/>
        <v>4.0852331617156692E-3</v>
      </c>
      <c r="L245">
        <f t="shared" si="10"/>
        <v>0.4085233161715669</v>
      </c>
      <c r="M245">
        <v>-0.2</v>
      </c>
    </row>
    <row r="246" spans="1:13" x14ac:dyDescent="0.2">
      <c r="A246" s="1">
        <v>44245</v>
      </c>
      <c r="B246">
        <v>34.060001</v>
      </c>
      <c r="C246">
        <v>34.650002000000001</v>
      </c>
      <c r="D246">
        <v>34.020000000000003</v>
      </c>
      <c r="E246">
        <v>34.189999</v>
      </c>
      <c r="F246">
        <v>34.021019000000003</v>
      </c>
      <c r="G246">
        <v>37541700</v>
      </c>
      <c r="I246">
        <f t="shared" si="11"/>
        <v>-6.3935288658420577E-3</v>
      </c>
      <c r="J246">
        <v>0</v>
      </c>
      <c r="K246">
        <f t="shared" si="9"/>
        <v>-6.3935288658420577E-3</v>
      </c>
      <c r="L246">
        <f t="shared" si="10"/>
        <v>-0.63935288658420575</v>
      </c>
      <c r="M246">
        <v>-0.63</v>
      </c>
    </row>
    <row r="247" spans="1:13" x14ac:dyDescent="0.2">
      <c r="A247" s="1">
        <v>44246</v>
      </c>
      <c r="B247">
        <v>34.200001</v>
      </c>
      <c r="C247">
        <v>34.729999999999997</v>
      </c>
      <c r="D247">
        <v>34.18</v>
      </c>
      <c r="E247">
        <v>34.540000999999997</v>
      </c>
      <c r="F247">
        <v>34.369292999999999</v>
      </c>
      <c r="G247">
        <v>54514100</v>
      </c>
      <c r="I247">
        <f t="shared" si="11"/>
        <v>1.0237024352503857E-2</v>
      </c>
      <c r="J247">
        <v>0</v>
      </c>
      <c r="K247">
        <f t="shared" si="9"/>
        <v>1.0237024352503857E-2</v>
      </c>
      <c r="L247">
        <f t="shared" si="10"/>
        <v>1.0237024352503856</v>
      </c>
      <c r="M247">
        <v>0.16</v>
      </c>
    </row>
    <row r="248" spans="1:13" x14ac:dyDescent="0.2">
      <c r="A248" s="1">
        <v>44249</v>
      </c>
      <c r="B248">
        <v>34.450001</v>
      </c>
      <c r="C248">
        <v>35.25</v>
      </c>
      <c r="D248">
        <v>34.409999999999997</v>
      </c>
      <c r="E248">
        <v>35.150002000000001</v>
      </c>
      <c r="F248">
        <v>34.976275999999999</v>
      </c>
      <c r="G248">
        <v>56783400</v>
      </c>
      <c r="I248">
        <f t="shared" si="11"/>
        <v>1.7660619320857128E-2</v>
      </c>
      <c r="J248">
        <v>0</v>
      </c>
      <c r="K248">
        <f t="shared" si="9"/>
        <v>1.7660619320857128E-2</v>
      </c>
      <c r="L248">
        <f t="shared" si="10"/>
        <v>1.7660619320857127</v>
      </c>
      <c r="M248">
        <v>-1.1200000000000001</v>
      </c>
    </row>
    <row r="249" spans="1:13" x14ac:dyDescent="0.2">
      <c r="A249" s="1">
        <v>44250</v>
      </c>
      <c r="B249">
        <v>35.419998</v>
      </c>
      <c r="C249">
        <v>35.889999000000003</v>
      </c>
      <c r="D249">
        <v>35.139999000000003</v>
      </c>
      <c r="E249">
        <v>35.520000000000003</v>
      </c>
      <c r="F249">
        <v>35.344448</v>
      </c>
      <c r="G249">
        <v>67440700</v>
      </c>
      <c r="I249">
        <f t="shared" si="11"/>
        <v>1.0526335050649798E-2</v>
      </c>
      <c r="J249">
        <v>0</v>
      </c>
      <c r="K249">
        <f t="shared" si="9"/>
        <v>1.0526335050649798E-2</v>
      </c>
      <c r="L249">
        <f t="shared" si="10"/>
        <v>1.0526335050649798</v>
      </c>
      <c r="M249">
        <v>-0.15</v>
      </c>
    </row>
    <row r="250" spans="1:13" x14ac:dyDescent="0.2">
      <c r="A250" s="1">
        <v>44251</v>
      </c>
      <c r="B250">
        <v>35.740001999999997</v>
      </c>
      <c r="C250">
        <v>36.520000000000003</v>
      </c>
      <c r="D250">
        <v>35.599997999999999</v>
      </c>
      <c r="E250">
        <v>36.380001</v>
      </c>
      <c r="F250">
        <v>36.200198999999998</v>
      </c>
      <c r="G250">
        <v>58139500</v>
      </c>
      <c r="I250">
        <f t="shared" si="11"/>
        <v>2.4211751729719982E-2</v>
      </c>
      <c r="J250">
        <v>0</v>
      </c>
      <c r="K250">
        <f t="shared" si="9"/>
        <v>2.4211751729719982E-2</v>
      </c>
      <c r="L250">
        <f t="shared" si="10"/>
        <v>2.4211751729719984</v>
      </c>
      <c r="M250">
        <v>1.1499999999999999</v>
      </c>
    </row>
    <row r="251" spans="1:13" x14ac:dyDescent="0.2">
      <c r="A251" s="1">
        <v>44252</v>
      </c>
      <c r="B251">
        <v>36.959999000000003</v>
      </c>
      <c r="C251">
        <v>37.029998999999997</v>
      </c>
      <c r="D251">
        <v>35.759998000000003</v>
      </c>
      <c r="E251">
        <v>35.93</v>
      </c>
      <c r="F251">
        <v>35.752422000000003</v>
      </c>
      <c r="G251">
        <v>74762000</v>
      </c>
      <c r="I251">
        <f t="shared" si="11"/>
        <v>-1.2369462388866841E-2</v>
      </c>
      <c r="J251">
        <v>0</v>
      </c>
      <c r="K251">
        <f t="shared" si="9"/>
        <v>-1.2369462388866841E-2</v>
      </c>
      <c r="L251">
        <f t="shared" si="10"/>
        <v>-1.2369462388866841</v>
      </c>
      <c r="M251">
        <v>-2.73</v>
      </c>
    </row>
    <row r="252" spans="1:13" x14ac:dyDescent="0.2">
      <c r="A252" s="1">
        <v>44253</v>
      </c>
      <c r="B252">
        <v>35.729999999999997</v>
      </c>
      <c r="C252">
        <v>36.029998999999997</v>
      </c>
      <c r="D252">
        <v>34.68</v>
      </c>
      <c r="E252">
        <v>34.709999000000003</v>
      </c>
      <c r="F252">
        <v>34.538448000000002</v>
      </c>
      <c r="G252">
        <v>70916600</v>
      </c>
      <c r="I252">
        <f t="shared" si="11"/>
        <v>-3.3955014292458292E-2</v>
      </c>
      <c r="J252">
        <v>0</v>
      </c>
      <c r="K252">
        <f t="shared" si="9"/>
        <v>-3.3955014292458292E-2</v>
      </c>
      <c r="L252">
        <f t="shared" si="10"/>
        <v>-3.3955014292458294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BAC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2021-04-29T13:42:43Z</dcterms:created>
  <dcterms:modified xsi:type="dcterms:W3CDTF">2021-04-29T15:59:38Z</dcterms:modified>
</cp:coreProperties>
</file>