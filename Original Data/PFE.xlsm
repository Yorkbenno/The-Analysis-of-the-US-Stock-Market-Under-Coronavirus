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E5D9F1BA-D101-354C-8B93-918F5A95FA9A}" xr6:coauthVersionLast="46" xr6:coauthVersionMax="46" xr10:uidLastSave="{00000000-0000-0000-0000-000000000000}"/>
  <bookViews>
    <workbookView xWindow="1180" yWindow="1460" windowWidth="27240" windowHeight="15320"/>
  </bookViews>
  <sheets>
    <sheet name="PF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K184" i="1"/>
  <c r="L184" i="1" s="1"/>
  <c r="I184" i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K162" i="1"/>
  <c r="L162" i="1" s="1"/>
  <c r="I162" i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K152" i="1"/>
  <c r="L152" i="1" s="1"/>
  <c r="I152" i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<sst xmlns="http://schemas.openxmlformats.org/spreadsheetml/2006/main" count="12" uniqueCount="12">
  <si>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</si>
  <si>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</si>
  <si>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</si>
  <si>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</si>
  <si>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</si>
  <si>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</si>
  <si>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</si>
  <si>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</si>
  <si>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</si>
  <si>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</si>
  <si>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PFE</t>
  </si>
  <si>
    <t>Excess Return for PFE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</si>
</sst>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O7" sqref="O7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11</v>
      </c>
      <c r="L1" t="s">
        <v>10</v>
      </c>
      <c r="M1" t="s">
        <v>9</v>
      </c>
    </row>
    <row r="2" spans="1:13" x14ac:dyDescent="0.2">
      <c r="A2" s="1">
        <v>43892</v>
      </c>
      <c r="B2">
        <v>32.172676000000003</v>
      </c>
      <c r="C2">
        <v>33.159393000000001</v>
      </c>
      <c r="D2">
        <v>31.736242000000001</v>
      </c>
      <c r="E2">
        <v>33.092979</v>
      </c>
      <c r="F2">
        <v>31.773316999999999</v>
      </c>
      <c r="G2">
        <v>42034469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33.377609</v>
      </c>
      <c r="C3">
        <v>33.946869</v>
      </c>
      <c r="D3">
        <v>32.125236999999998</v>
      </c>
      <c r="E3">
        <v>32.542693999999997</v>
      </c>
      <c r="F3">
        <v>31.244972000000001</v>
      </c>
      <c r="G3">
        <v>46174475</v>
      </c>
      <c r="I3">
        <f>(F3-F2)/F2</f>
        <v>-1.6628575480488805E-2</v>
      </c>
      <c r="J3">
        <v>6.0000000000000001E-3</v>
      </c>
      <c r="K3">
        <f>I3-J3</f>
        <v>-2.2628575480488806E-2</v>
      </c>
      <c r="L3">
        <f>100*K3</f>
        <v>-2.2628575480488808</v>
      </c>
      <c r="M3">
        <v>-2.79</v>
      </c>
    </row>
    <row r="4" spans="1:13" x14ac:dyDescent="0.2">
      <c r="A4" s="1">
        <v>43894</v>
      </c>
      <c r="B4">
        <v>33.301707999999998</v>
      </c>
      <c r="C4">
        <v>34.592030000000001</v>
      </c>
      <c r="D4">
        <v>33.159393000000001</v>
      </c>
      <c r="E4">
        <v>34.535102999999999</v>
      </c>
      <c r="F4">
        <v>33.157932000000002</v>
      </c>
      <c r="G4">
        <v>38712155</v>
      </c>
      <c r="I4">
        <f t="shared" ref="I4:I67" si="0">(F4-F3)/F3</f>
        <v>6.1224570788541648E-2</v>
      </c>
      <c r="J4">
        <v>6.0000000000000001E-3</v>
      </c>
      <c r="K4">
        <f t="shared" ref="K4:K67" si="1">I4-J4</f>
        <v>5.5224570788541649E-2</v>
      </c>
      <c r="L4">
        <f t="shared" ref="L4:L67" si="2">100*K4</f>
        <v>5.5224570788541651</v>
      </c>
      <c r="M4">
        <v>4.03</v>
      </c>
    </row>
    <row r="5" spans="1:13" x14ac:dyDescent="0.2">
      <c r="A5" s="1">
        <v>43895</v>
      </c>
      <c r="B5">
        <v>33.823528000000003</v>
      </c>
      <c r="C5">
        <v>34.326377999999998</v>
      </c>
      <c r="D5">
        <v>33.358635</v>
      </c>
      <c r="E5">
        <v>33.643265</v>
      </c>
      <c r="F5">
        <v>32.301654999999997</v>
      </c>
      <c r="G5">
        <v>35096303</v>
      </c>
      <c r="I5">
        <f t="shared" si="0"/>
        <v>-2.5824197962647538E-2</v>
      </c>
      <c r="J5">
        <v>6.0000000000000001E-3</v>
      </c>
      <c r="K5">
        <f t="shared" si="1"/>
        <v>-3.1824197962647537E-2</v>
      </c>
      <c r="L5">
        <f t="shared" si="2"/>
        <v>-3.1824197962647536</v>
      </c>
      <c r="M5">
        <v>-3.38</v>
      </c>
    </row>
    <row r="6" spans="1:13" x14ac:dyDescent="0.2">
      <c r="A6" s="1">
        <v>43896</v>
      </c>
      <c r="B6">
        <v>32.922198999999999</v>
      </c>
      <c r="C6">
        <v>33.368122</v>
      </c>
      <c r="D6">
        <v>32.371918000000001</v>
      </c>
      <c r="E6">
        <v>33.225807000000003</v>
      </c>
      <c r="F6">
        <v>31.900845</v>
      </c>
      <c r="G6">
        <v>40931036</v>
      </c>
      <c r="I6">
        <f t="shared" si="0"/>
        <v>-1.2408342544677552E-2</v>
      </c>
      <c r="J6">
        <v>6.0000000000000001E-3</v>
      </c>
      <c r="K6">
        <f t="shared" si="1"/>
        <v>-1.8408342544677554E-2</v>
      </c>
      <c r="L6">
        <f t="shared" si="2"/>
        <v>-1.8408342544677554</v>
      </c>
      <c r="M6">
        <v>-1.78</v>
      </c>
    </row>
    <row r="7" spans="1:13" x14ac:dyDescent="0.2">
      <c r="A7" s="1">
        <v>43899</v>
      </c>
      <c r="B7">
        <v>31.745730999999999</v>
      </c>
      <c r="C7">
        <v>32.912711999999999</v>
      </c>
      <c r="D7">
        <v>31.461102</v>
      </c>
      <c r="E7">
        <v>32.030360999999999</v>
      </c>
      <c r="F7">
        <v>30.753070999999998</v>
      </c>
      <c r="G7">
        <v>43183856</v>
      </c>
      <c r="I7">
        <f t="shared" si="0"/>
        <v>-3.5979423115594641E-2</v>
      </c>
      <c r="J7">
        <v>6.0000000000000001E-3</v>
      </c>
      <c r="K7">
        <f t="shared" si="1"/>
        <v>-4.197942311559464E-2</v>
      </c>
      <c r="L7">
        <f t="shared" si="2"/>
        <v>-4.1979423115594638</v>
      </c>
      <c r="M7">
        <v>-7.79</v>
      </c>
    </row>
    <row r="8" spans="1:13" x14ac:dyDescent="0.2">
      <c r="A8" s="1">
        <v>43900</v>
      </c>
      <c r="B8">
        <v>32.798862</v>
      </c>
      <c r="C8">
        <v>32.884250999999999</v>
      </c>
      <c r="D8">
        <v>31.318787</v>
      </c>
      <c r="E8">
        <v>32.817836999999997</v>
      </c>
      <c r="F8">
        <v>31.509143999999999</v>
      </c>
      <c r="G8">
        <v>40548329</v>
      </c>
      <c r="I8">
        <f t="shared" si="0"/>
        <v>2.4585284507033484E-2</v>
      </c>
      <c r="J8">
        <v>6.0000000000000001E-3</v>
      </c>
      <c r="K8">
        <f t="shared" si="1"/>
        <v>1.8585284507033485E-2</v>
      </c>
      <c r="L8">
        <f t="shared" si="2"/>
        <v>1.8585284507033486</v>
      </c>
      <c r="M8">
        <v>4.74</v>
      </c>
    </row>
    <row r="9" spans="1:13" x14ac:dyDescent="0.2">
      <c r="A9" s="1">
        <v>43901</v>
      </c>
      <c r="B9">
        <v>32.030360999999999</v>
      </c>
      <c r="C9">
        <v>32.144215000000003</v>
      </c>
      <c r="D9">
        <v>30.037951</v>
      </c>
      <c r="E9">
        <v>30.521822</v>
      </c>
      <c r="F9">
        <v>29.304689</v>
      </c>
      <c r="G9">
        <v>65350213</v>
      </c>
      <c r="I9">
        <f t="shared" si="0"/>
        <v>-6.9962389330538444E-2</v>
      </c>
      <c r="J9">
        <v>6.0000000000000001E-3</v>
      </c>
      <c r="K9">
        <f t="shared" si="1"/>
        <v>-7.5962389330538449E-2</v>
      </c>
      <c r="L9">
        <f t="shared" si="2"/>
        <v>-7.5962389330538453</v>
      </c>
      <c r="M9">
        <v>-5.05</v>
      </c>
    </row>
    <row r="10" spans="1:13" x14ac:dyDescent="0.2">
      <c r="A10" s="1">
        <v>43902</v>
      </c>
      <c r="B10">
        <v>28.918406000000001</v>
      </c>
      <c r="C10">
        <v>30.360531000000002</v>
      </c>
      <c r="D10">
        <v>28.462997000000001</v>
      </c>
      <c r="E10">
        <v>28.481974000000001</v>
      </c>
      <c r="F10">
        <v>27.346185999999999</v>
      </c>
      <c r="G10">
        <v>62731445</v>
      </c>
      <c r="I10">
        <f t="shared" si="0"/>
        <v>-6.6832410335424489E-2</v>
      </c>
      <c r="J10">
        <v>6.0000000000000001E-3</v>
      </c>
      <c r="K10">
        <f t="shared" si="1"/>
        <v>-7.2832410335424494E-2</v>
      </c>
      <c r="L10">
        <f t="shared" si="2"/>
        <v>-7.2832410335424491</v>
      </c>
      <c r="M10">
        <v>-9.6300000000000008</v>
      </c>
    </row>
    <row r="11" spans="1:13" x14ac:dyDescent="0.2">
      <c r="A11" s="1">
        <v>43903</v>
      </c>
      <c r="B11">
        <v>29.667933000000001</v>
      </c>
      <c r="C11">
        <v>31.195446</v>
      </c>
      <c r="D11">
        <v>28.681213</v>
      </c>
      <c r="E11">
        <v>31.034157</v>
      </c>
      <c r="F11">
        <v>29.796595</v>
      </c>
      <c r="G11">
        <v>60553038</v>
      </c>
      <c r="I11">
        <f t="shared" si="0"/>
        <v>8.9606974808114026E-2</v>
      </c>
      <c r="J11">
        <v>6.0000000000000001E-3</v>
      </c>
      <c r="K11">
        <f t="shared" si="1"/>
        <v>8.3606974808114021E-2</v>
      </c>
      <c r="L11">
        <f t="shared" si="2"/>
        <v>8.3606974808114014</v>
      </c>
      <c r="M11">
        <v>8.9600000000000009</v>
      </c>
    </row>
    <row r="12" spans="1:13" x14ac:dyDescent="0.2">
      <c r="A12" s="1">
        <v>43906</v>
      </c>
      <c r="B12">
        <v>28.406072999999999</v>
      </c>
      <c r="C12">
        <v>30.626186000000001</v>
      </c>
      <c r="D12">
        <v>28.130929999999999</v>
      </c>
      <c r="E12">
        <v>28.633776000000001</v>
      </c>
      <c r="F12">
        <v>27.491931999999998</v>
      </c>
      <c r="G12">
        <v>50995050</v>
      </c>
      <c r="I12">
        <f t="shared" si="0"/>
        <v>-7.734652231236494E-2</v>
      </c>
      <c r="J12">
        <v>6.0000000000000001E-3</v>
      </c>
      <c r="K12">
        <f t="shared" si="1"/>
        <v>-8.3346522312364946E-2</v>
      </c>
      <c r="L12">
        <f t="shared" si="2"/>
        <v>-8.334652231236495</v>
      </c>
      <c r="M12">
        <v>-12</v>
      </c>
    </row>
    <row r="13" spans="1:13" x14ac:dyDescent="0.2">
      <c r="A13" s="1">
        <v>43907</v>
      </c>
      <c r="B13">
        <v>30.018974</v>
      </c>
      <c r="C13">
        <v>30.977229999999999</v>
      </c>
      <c r="D13">
        <v>29.022770000000001</v>
      </c>
      <c r="E13">
        <v>30.512335</v>
      </c>
      <c r="F13">
        <v>29.295582</v>
      </c>
      <c r="G13">
        <v>54220606</v>
      </c>
      <c r="I13">
        <f t="shared" si="0"/>
        <v>6.5606520487537984E-2</v>
      </c>
      <c r="J13">
        <v>6.0000000000000001E-3</v>
      </c>
      <c r="K13">
        <f t="shared" si="1"/>
        <v>5.9606520487537985E-2</v>
      </c>
      <c r="L13">
        <f t="shared" si="2"/>
        <v>5.9606520487537988</v>
      </c>
      <c r="M13">
        <v>5.87</v>
      </c>
    </row>
    <row r="14" spans="1:13" x14ac:dyDescent="0.2">
      <c r="A14" s="1">
        <v>43908</v>
      </c>
      <c r="B14">
        <v>29.193548</v>
      </c>
      <c r="C14">
        <v>30.93928</v>
      </c>
      <c r="D14">
        <v>28.757116</v>
      </c>
      <c r="E14">
        <v>30.702086999999999</v>
      </c>
      <c r="F14">
        <v>29.477765999999999</v>
      </c>
      <c r="G14">
        <v>43884976</v>
      </c>
      <c r="I14">
        <f t="shared" si="0"/>
        <v>6.2188216639628277E-3</v>
      </c>
      <c r="J14">
        <v>6.0000000000000001E-3</v>
      </c>
      <c r="K14">
        <f t="shared" si="1"/>
        <v>2.1882166396282755E-4</v>
      </c>
      <c r="L14">
        <f t="shared" si="2"/>
        <v>2.1882166396282755E-2</v>
      </c>
      <c r="M14">
        <v>-5.56</v>
      </c>
    </row>
    <row r="15" spans="1:13" x14ac:dyDescent="0.2">
      <c r="A15" s="1">
        <v>43909</v>
      </c>
      <c r="B15">
        <v>30.56926</v>
      </c>
      <c r="C15">
        <v>30.597722999999998</v>
      </c>
      <c r="D15">
        <v>28.472486</v>
      </c>
      <c r="E15">
        <v>28.861481000000001</v>
      </c>
      <c r="F15">
        <v>27.710557999999999</v>
      </c>
      <c r="G15">
        <v>59820929</v>
      </c>
      <c r="I15">
        <f t="shared" si="0"/>
        <v>-5.9950540349631654E-2</v>
      </c>
      <c r="J15">
        <v>6.0000000000000001E-3</v>
      </c>
      <c r="K15">
        <f t="shared" si="1"/>
        <v>-6.5950540349631659E-2</v>
      </c>
      <c r="L15">
        <f t="shared" si="2"/>
        <v>-6.5950540349631659</v>
      </c>
      <c r="M15">
        <v>1.31</v>
      </c>
    </row>
    <row r="16" spans="1:13" x14ac:dyDescent="0.2">
      <c r="A16" s="1">
        <v>43910</v>
      </c>
      <c r="B16">
        <v>28.728653000000001</v>
      </c>
      <c r="C16">
        <v>29.098673000000002</v>
      </c>
      <c r="D16">
        <v>27.428843000000001</v>
      </c>
      <c r="E16">
        <v>27.523720000000001</v>
      </c>
      <c r="F16">
        <v>26.426145999999999</v>
      </c>
      <c r="G16">
        <v>52488989</v>
      </c>
      <c r="I16">
        <f t="shared" si="0"/>
        <v>-4.6350997334662108E-2</v>
      </c>
      <c r="J16">
        <v>6.0000000000000001E-3</v>
      </c>
      <c r="K16">
        <f t="shared" si="1"/>
        <v>-5.2350997334662107E-2</v>
      </c>
      <c r="L16">
        <f t="shared" si="2"/>
        <v>-5.2350997334662104</v>
      </c>
      <c r="M16">
        <v>-4.1500000000000004</v>
      </c>
    </row>
    <row r="17" spans="1:13" x14ac:dyDescent="0.2">
      <c r="A17" s="1">
        <v>43913</v>
      </c>
      <c r="B17">
        <v>27.286528000000001</v>
      </c>
      <c r="C17">
        <v>28.064516000000001</v>
      </c>
      <c r="D17">
        <v>26.451612000000001</v>
      </c>
      <c r="E17">
        <v>27.030360999999999</v>
      </c>
      <c r="F17">
        <v>25.952459000000001</v>
      </c>
      <c r="G17">
        <v>52853041</v>
      </c>
      <c r="I17">
        <f t="shared" si="0"/>
        <v>-1.7924936916643017E-2</v>
      </c>
      <c r="J17">
        <v>6.0000000000000001E-3</v>
      </c>
      <c r="K17">
        <f t="shared" si="1"/>
        <v>-2.3924936916643019E-2</v>
      </c>
      <c r="L17">
        <f t="shared" si="2"/>
        <v>-2.3924936916643018</v>
      </c>
      <c r="M17">
        <v>-2.5499999999999998</v>
      </c>
    </row>
    <row r="18" spans="1:13" x14ac:dyDescent="0.2">
      <c r="A18" s="1">
        <v>43914</v>
      </c>
      <c r="B18">
        <v>27.998101999999999</v>
      </c>
      <c r="C18">
        <v>28.510435000000001</v>
      </c>
      <c r="D18">
        <v>27.419354999999999</v>
      </c>
      <c r="E18">
        <v>28.178367999999999</v>
      </c>
      <c r="F18">
        <v>27.054686</v>
      </c>
      <c r="G18">
        <v>44466784</v>
      </c>
      <c r="I18">
        <f t="shared" si="0"/>
        <v>4.2471004385364761E-2</v>
      </c>
      <c r="J18">
        <v>6.0000000000000001E-3</v>
      </c>
      <c r="K18">
        <f t="shared" si="1"/>
        <v>3.6471004385364762E-2</v>
      </c>
      <c r="L18">
        <f t="shared" si="2"/>
        <v>3.647100438536476</v>
      </c>
      <c r="M18">
        <v>9.34</v>
      </c>
    </row>
    <row r="19" spans="1:13" x14ac:dyDescent="0.2">
      <c r="A19" s="1">
        <v>43915</v>
      </c>
      <c r="B19">
        <v>27.988614999999999</v>
      </c>
      <c r="C19">
        <v>29.146111000000001</v>
      </c>
      <c r="D19">
        <v>27.514230999999999</v>
      </c>
      <c r="E19">
        <v>28.225805000000001</v>
      </c>
      <c r="F19">
        <v>27.100231000000001</v>
      </c>
      <c r="G19">
        <v>44601275</v>
      </c>
      <c r="I19">
        <f t="shared" si="0"/>
        <v>1.6834421955590471E-3</v>
      </c>
      <c r="J19">
        <v>6.0000000000000001E-3</v>
      </c>
      <c r="K19">
        <f t="shared" si="1"/>
        <v>-4.3165578044409535E-3</v>
      </c>
      <c r="L19">
        <f t="shared" si="2"/>
        <v>-0.43165578044409536</v>
      </c>
      <c r="M19">
        <v>1.18</v>
      </c>
    </row>
    <row r="20" spans="1:13" x14ac:dyDescent="0.2">
      <c r="A20" s="1">
        <v>43916</v>
      </c>
      <c r="B20">
        <v>28.358635</v>
      </c>
      <c r="C20">
        <v>30.351044000000002</v>
      </c>
      <c r="D20">
        <v>28.349146000000001</v>
      </c>
      <c r="E20">
        <v>30.123341</v>
      </c>
      <c r="F20">
        <v>28.9221</v>
      </c>
      <c r="G20">
        <v>43269967</v>
      </c>
      <c r="I20">
        <f t="shared" si="0"/>
        <v>6.7227065333871114E-2</v>
      </c>
      <c r="J20">
        <v>6.0000000000000001E-3</v>
      </c>
      <c r="K20">
        <f t="shared" si="1"/>
        <v>6.1227065333871115E-2</v>
      </c>
      <c r="L20">
        <f t="shared" si="2"/>
        <v>6.1227065333871113</v>
      </c>
      <c r="M20">
        <v>6.02</v>
      </c>
    </row>
    <row r="21" spans="1:13" x14ac:dyDescent="0.2">
      <c r="A21" s="1">
        <v>43917</v>
      </c>
      <c r="B21">
        <v>29.222011999999999</v>
      </c>
      <c r="C21">
        <v>30.113852000000001</v>
      </c>
      <c r="D21">
        <v>29.089183999999999</v>
      </c>
      <c r="E21">
        <v>29.316889</v>
      </c>
      <c r="F21">
        <v>28.147805999999999</v>
      </c>
      <c r="G21">
        <v>38290344</v>
      </c>
      <c r="I21">
        <f t="shared" si="0"/>
        <v>-2.6771707448629289E-2</v>
      </c>
      <c r="J21">
        <v>6.0000000000000001E-3</v>
      </c>
      <c r="K21">
        <f t="shared" si="1"/>
        <v>-3.2771707448629291E-2</v>
      </c>
      <c r="L21">
        <f t="shared" si="2"/>
        <v>-3.277170744862929</v>
      </c>
      <c r="M21">
        <v>-3.48</v>
      </c>
    </row>
    <row r="22" spans="1:13" x14ac:dyDescent="0.2">
      <c r="A22" s="1">
        <v>43920</v>
      </c>
      <c r="B22">
        <v>29.459204</v>
      </c>
      <c r="C22">
        <v>31.166982999999998</v>
      </c>
      <c r="D22">
        <v>29.459204</v>
      </c>
      <c r="E22">
        <v>30.996203999999999</v>
      </c>
      <c r="F22">
        <v>29.760155000000001</v>
      </c>
      <c r="G22">
        <v>29943508</v>
      </c>
      <c r="I22">
        <f t="shared" si="0"/>
        <v>5.7281516008743344E-2</v>
      </c>
      <c r="J22">
        <v>6.0000000000000001E-3</v>
      </c>
      <c r="K22">
        <f t="shared" si="1"/>
        <v>5.1281516008743346E-2</v>
      </c>
      <c r="L22">
        <f t="shared" si="2"/>
        <v>5.1281516008743342</v>
      </c>
      <c r="M22">
        <v>3.16</v>
      </c>
    </row>
    <row r="23" spans="1:13" x14ac:dyDescent="0.2">
      <c r="A23" s="1">
        <v>43921</v>
      </c>
      <c r="B23">
        <v>30.740037999999998</v>
      </c>
      <c r="C23">
        <v>31.309297999999998</v>
      </c>
      <c r="D23">
        <v>30.588235999999998</v>
      </c>
      <c r="E23">
        <v>30.967742999999999</v>
      </c>
      <c r="F23">
        <v>29.732828000000001</v>
      </c>
      <c r="G23">
        <v>29466151</v>
      </c>
      <c r="I23">
        <f t="shared" si="0"/>
        <v>-9.1824118523575087E-4</v>
      </c>
      <c r="J23">
        <v>6.0000000000000001E-3</v>
      </c>
      <c r="K23">
        <f t="shared" si="1"/>
        <v>-6.9182411852357507E-3</v>
      </c>
      <c r="L23">
        <f t="shared" si="2"/>
        <v>-0.69182411852357506</v>
      </c>
      <c r="M23">
        <v>-1.44</v>
      </c>
    </row>
    <row r="24" spans="1:13" x14ac:dyDescent="0.2">
      <c r="A24" s="1">
        <v>43922</v>
      </c>
      <c r="B24">
        <v>30.28463</v>
      </c>
      <c r="C24">
        <v>30.626186000000001</v>
      </c>
      <c r="D24">
        <v>29.914612000000002</v>
      </c>
      <c r="E24">
        <v>30.123341</v>
      </c>
      <c r="F24">
        <v>28.9221</v>
      </c>
      <c r="G24">
        <v>26709625</v>
      </c>
      <c r="I24">
        <f t="shared" si="0"/>
        <v>-2.7267100189729714E-2</v>
      </c>
      <c r="J24">
        <v>0</v>
      </c>
      <c r="K24">
        <f t="shared" si="1"/>
        <v>-2.7267100189729714E-2</v>
      </c>
      <c r="L24">
        <f t="shared" si="2"/>
        <v>-2.7267100189729714</v>
      </c>
      <c r="M24">
        <v>-4.51</v>
      </c>
    </row>
    <row r="25" spans="1:13" x14ac:dyDescent="0.2">
      <c r="A25" s="1">
        <v>43923</v>
      </c>
      <c r="B25">
        <v>30.265656</v>
      </c>
      <c r="C25">
        <v>31.309297999999998</v>
      </c>
      <c r="D25">
        <v>30.123341</v>
      </c>
      <c r="E25">
        <v>31.185959</v>
      </c>
      <c r="F25">
        <v>29.942343000000001</v>
      </c>
      <c r="G25">
        <v>27186876</v>
      </c>
      <c r="I25">
        <f t="shared" si="0"/>
        <v>3.5275550530563159E-2</v>
      </c>
      <c r="J25">
        <v>0</v>
      </c>
      <c r="K25">
        <f t="shared" si="1"/>
        <v>3.5275550530563159E-2</v>
      </c>
      <c r="L25">
        <f t="shared" si="2"/>
        <v>3.5275550530563158</v>
      </c>
      <c r="M25">
        <v>2.1</v>
      </c>
    </row>
    <row r="26" spans="1:13" x14ac:dyDescent="0.2">
      <c r="A26" s="1">
        <v>43924</v>
      </c>
      <c r="B26">
        <v>30.958254</v>
      </c>
      <c r="C26">
        <v>32.153702000000003</v>
      </c>
      <c r="D26">
        <v>30.958254</v>
      </c>
      <c r="E26">
        <v>31.916509999999999</v>
      </c>
      <c r="F26">
        <v>30.643761000000001</v>
      </c>
      <c r="G26">
        <v>32837370</v>
      </c>
      <c r="I26">
        <f t="shared" si="0"/>
        <v>2.3425621702349755E-2</v>
      </c>
      <c r="J26">
        <v>0</v>
      </c>
      <c r="K26">
        <f t="shared" si="1"/>
        <v>2.3425621702349755E-2</v>
      </c>
      <c r="L26">
        <f t="shared" si="2"/>
        <v>2.3425621702349755</v>
      </c>
      <c r="M26">
        <v>-1.64</v>
      </c>
    </row>
    <row r="27" spans="1:13" x14ac:dyDescent="0.2">
      <c r="A27" s="1">
        <v>43927</v>
      </c>
      <c r="B27">
        <v>32.182163000000003</v>
      </c>
      <c r="C27">
        <v>33.111953999999997</v>
      </c>
      <c r="D27">
        <v>32.049334999999999</v>
      </c>
      <c r="E27">
        <v>32.798862</v>
      </c>
      <c r="F27">
        <v>31.490926999999999</v>
      </c>
      <c r="G27">
        <v>40503217</v>
      </c>
      <c r="I27">
        <f t="shared" si="0"/>
        <v>2.7645627441096339E-2</v>
      </c>
      <c r="J27">
        <v>0</v>
      </c>
      <c r="K27">
        <f t="shared" si="1"/>
        <v>2.7645627441096339E-2</v>
      </c>
      <c r="L27">
        <f t="shared" si="2"/>
        <v>2.7645627441096341</v>
      </c>
      <c r="M27">
        <v>7.06</v>
      </c>
    </row>
    <row r="28" spans="1:13" x14ac:dyDescent="0.2">
      <c r="A28" s="1">
        <v>43928</v>
      </c>
      <c r="B28">
        <v>33.206833000000003</v>
      </c>
      <c r="C28">
        <v>33.368122</v>
      </c>
      <c r="D28">
        <v>31.869070000000001</v>
      </c>
      <c r="E28">
        <v>31.888045999999999</v>
      </c>
      <c r="F28">
        <v>30.616430000000001</v>
      </c>
      <c r="G28">
        <v>24226295</v>
      </c>
      <c r="I28">
        <f t="shared" si="0"/>
        <v>-2.7769808110126391E-2</v>
      </c>
      <c r="J28">
        <v>0</v>
      </c>
      <c r="K28">
        <f t="shared" si="1"/>
        <v>-2.7769808110126391E-2</v>
      </c>
      <c r="L28">
        <f t="shared" si="2"/>
        <v>-2.7769808110126393</v>
      </c>
      <c r="M28">
        <v>-0.11</v>
      </c>
    </row>
    <row r="29" spans="1:13" x14ac:dyDescent="0.2">
      <c r="A29" s="1">
        <v>43929</v>
      </c>
      <c r="B29">
        <v>32.248576999999997</v>
      </c>
      <c r="C29">
        <v>33.017077999999998</v>
      </c>
      <c r="D29">
        <v>31.726755000000001</v>
      </c>
      <c r="E29">
        <v>32.827323999999997</v>
      </c>
      <c r="F29">
        <v>31.518255</v>
      </c>
      <c r="G29">
        <v>25523980</v>
      </c>
      <c r="I29">
        <f t="shared" si="0"/>
        <v>2.9455589694814148E-2</v>
      </c>
      <c r="J29">
        <v>0</v>
      </c>
      <c r="K29">
        <f t="shared" si="1"/>
        <v>2.9455589694814148E-2</v>
      </c>
      <c r="L29">
        <f t="shared" si="2"/>
        <v>2.9455589694814148</v>
      </c>
      <c r="M29">
        <v>3.4</v>
      </c>
    </row>
    <row r="30" spans="1:13" x14ac:dyDescent="0.2">
      <c r="A30" s="1">
        <v>43930</v>
      </c>
      <c r="B30">
        <v>33.235294000000003</v>
      </c>
      <c r="C30">
        <v>33.937381999999999</v>
      </c>
      <c r="D30">
        <v>33.064514000000003</v>
      </c>
      <c r="E30">
        <v>33.576850999999998</v>
      </c>
      <c r="F30">
        <v>32.237895999999999</v>
      </c>
      <c r="G30">
        <v>30714930</v>
      </c>
      <c r="I30">
        <f t="shared" si="0"/>
        <v>2.2832514046224935E-2</v>
      </c>
      <c r="J30">
        <v>0</v>
      </c>
      <c r="K30">
        <f t="shared" si="1"/>
        <v>2.2832514046224935E-2</v>
      </c>
      <c r="L30">
        <f t="shared" si="2"/>
        <v>2.2832514046224937</v>
      </c>
      <c r="M30">
        <v>1.59</v>
      </c>
    </row>
    <row r="31" spans="1:13" x14ac:dyDescent="0.2">
      <c r="A31" s="1">
        <v>43934</v>
      </c>
      <c r="B31">
        <v>34.117645000000003</v>
      </c>
      <c r="C31">
        <v>34.136623</v>
      </c>
      <c r="D31">
        <v>32.941177000000003</v>
      </c>
      <c r="E31">
        <v>33.339657000000003</v>
      </c>
      <c r="F31">
        <v>32.010159000000002</v>
      </c>
      <c r="G31">
        <v>18270141</v>
      </c>
      <c r="I31">
        <f t="shared" si="0"/>
        <v>-7.0642637472370295E-3</v>
      </c>
      <c r="J31">
        <v>0</v>
      </c>
      <c r="K31">
        <f t="shared" si="1"/>
        <v>-7.0642637472370295E-3</v>
      </c>
      <c r="L31">
        <f t="shared" si="2"/>
        <v>-0.70642637472370295</v>
      </c>
      <c r="M31">
        <v>-0.92</v>
      </c>
    </row>
    <row r="32" spans="1:13" x14ac:dyDescent="0.2">
      <c r="A32" s="1">
        <v>43935</v>
      </c>
      <c r="B32">
        <v>34.089184000000003</v>
      </c>
      <c r="C32">
        <v>34.753323000000002</v>
      </c>
      <c r="D32">
        <v>33.529411000000003</v>
      </c>
      <c r="E32">
        <v>34.573054999999997</v>
      </c>
      <c r="F32">
        <v>33.194369999999999</v>
      </c>
      <c r="G32">
        <v>21845309</v>
      </c>
      <c r="I32">
        <f t="shared" si="0"/>
        <v>3.6994849041518278E-2</v>
      </c>
      <c r="J32">
        <v>0</v>
      </c>
      <c r="K32">
        <f t="shared" si="1"/>
        <v>3.6994849041518278E-2</v>
      </c>
      <c r="L32">
        <f t="shared" si="2"/>
        <v>3.6994849041518276</v>
      </c>
      <c r="M32">
        <v>3.02</v>
      </c>
    </row>
    <row r="33" spans="1:13" x14ac:dyDescent="0.2">
      <c r="A33" s="1">
        <v>43936</v>
      </c>
      <c r="B33">
        <v>34.212524000000002</v>
      </c>
      <c r="C33">
        <v>34.373814000000003</v>
      </c>
      <c r="D33">
        <v>33.757114000000001</v>
      </c>
      <c r="E33">
        <v>34.127136</v>
      </c>
      <c r="F33">
        <v>32.766232000000002</v>
      </c>
      <c r="G33">
        <v>21312196</v>
      </c>
      <c r="I33">
        <f t="shared" si="0"/>
        <v>-1.2897910097404982E-2</v>
      </c>
      <c r="J33">
        <v>0</v>
      </c>
      <c r="K33">
        <f t="shared" si="1"/>
        <v>-1.2897910097404982E-2</v>
      </c>
      <c r="L33">
        <f t="shared" si="2"/>
        <v>-1.2897910097404981</v>
      </c>
      <c r="M33">
        <v>-2.15</v>
      </c>
    </row>
    <row r="34" spans="1:13" x14ac:dyDescent="0.2">
      <c r="A34" s="1">
        <v>43937</v>
      </c>
      <c r="B34">
        <v>34.269450999999997</v>
      </c>
      <c r="C34">
        <v>34.402279</v>
      </c>
      <c r="D34">
        <v>33.757114000000001</v>
      </c>
      <c r="E34">
        <v>34.041744000000001</v>
      </c>
      <c r="F34">
        <v>32.684246000000002</v>
      </c>
      <c r="G34">
        <v>20657451</v>
      </c>
      <c r="I34">
        <f t="shared" si="0"/>
        <v>-2.5021491638098805E-3</v>
      </c>
      <c r="J34">
        <v>0</v>
      </c>
      <c r="K34">
        <f t="shared" si="1"/>
        <v>-2.5021491638098805E-3</v>
      </c>
      <c r="L34">
        <f t="shared" si="2"/>
        <v>-0.25021491638098803</v>
      </c>
      <c r="M34">
        <v>0.62</v>
      </c>
    </row>
    <row r="35" spans="1:13" x14ac:dyDescent="0.2">
      <c r="A35" s="1">
        <v>43938</v>
      </c>
      <c r="B35">
        <v>34.629981999999998</v>
      </c>
      <c r="C35">
        <v>35.104362000000002</v>
      </c>
      <c r="D35">
        <v>34.25996</v>
      </c>
      <c r="E35">
        <v>35.018974</v>
      </c>
      <c r="F35">
        <v>33.622504999999997</v>
      </c>
      <c r="G35">
        <v>24404843</v>
      </c>
      <c r="I35">
        <f t="shared" si="0"/>
        <v>2.8706765944669338E-2</v>
      </c>
      <c r="J35">
        <v>0</v>
      </c>
      <c r="K35">
        <f t="shared" si="1"/>
        <v>2.8706765944669338E-2</v>
      </c>
      <c r="L35">
        <f t="shared" si="2"/>
        <v>2.8706765944669339</v>
      </c>
      <c r="M35">
        <v>2.72</v>
      </c>
    </row>
    <row r="36" spans="1:13" x14ac:dyDescent="0.2">
      <c r="A36" s="1">
        <v>43941</v>
      </c>
      <c r="B36">
        <v>34.516128999999999</v>
      </c>
      <c r="C36">
        <v>35.018974</v>
      </c>
      <c r="D36">
        <v>34.231498999999999</v>
      </c>
      <c r="E36">
        <v>34.231498999999999</v>
      </c>
      <c r="F36">
        <v>32.866436</v>
      </c>
      <c r="G36">
        <v>22530620</v>
      </c>
      <c r="I36">
        <f t="shared" si="0"/>
        <v>-2.2486991971597495E-2</v>
      </c>
      <c r="J36">
        <v>0</v>
      </c>
      <c r="K36">
        <f t="shared" si="1"/>
        <v>-2.2486991971597495E-2</v>
      </c>
      <c r="L36">
        <f t="shared" si="2"/>
        <v>-2.2486991971597496</v>
      </c>
      <c r="M36">
        <v>-1.56</v>
      </c>
    </row>
    <row r="37" spans="1:13" x14ac:dyDescent="0.2">
      <c r="A37" s="1">
        <v>43942</v>
      </c>
      <c r="B37">
        <v>33.946869</v>
      </c>
      <c r="C37">
        <v>34.089184000000003</v>
      </c>
      <c r="D37">
        <v>33.557876999999998</v>
      </c>
      <c r="E37">
        <v>33.795067000000003</v>
      </c>
      <c r="F37">
        <v>32.447403000000001</v>
      </c>
      <c r="G37">
        <v>23975233</v>
      </c>
      <c r="I37">
        <f t="shared" si="0"/>
        <v>-1.2749572238377136E-2</v>
      </c>
      <c r="J37">
        <v>0</v>
      </c>
      <c r="K37">
        <f t="shared" si="1"/>
        <v>-1.2749572238377136E-2</v>
      </c>
      <c r="L37">
        <f t="shared" si="2"/>
        <v>-1.2749572238377136</v>
      </c>
      <c r="M37">
        <v>-3.08</v>
      </c>
    </row>
    <row r="38" spans="1:13" x14ac:dyDescent="0.2">
      <c r="A38" s="1">
        <v>43943</v>
      </c>
      <c r="B38">
        <v>35.066414000000002</v>
      </c>
      <c r="C38">
        <v>35.104362000000002</v>
      </c>
      <c r="D38">
        <v>34.269450999999997</v>
      </c>
      <c r="E38">
        <v>34.392788000000003</v>
      </c>
      <c r="F38">
        <v>33.02129</v>
      </c>
      <c r="G38">
        <v>20186103</v>
      </c>
      <c r="I38">
        <f t="shared" si="0"/>
        <v>1.7686685125462863E-2</v>
      </c>
      <c r="J38">
        <v>0</v>
      </c>
      <c r="K38">
        <f t="shared" si="1"/>
        <v>1.7686685125462863E-2</v>
      </c>
      <c r="L38">
        <f t="shared" si="2"/>
        <v>1.7686685125462862</v>
      </c>
      <c r="M38">
        <v>2.31</v>
      </c>
    </row>
    <row r="39" spans="1:13" x14ac:dyDescent="0.2">
      <c r="A39" s="1">
        <v>43944</v>
      </c>
      <c r="B39">
        <v>34.421253</v>
      </c>
      <c r="C39">
        <v>35.483871000000001</v>
      </c>
      <c r="D39">
        <v>34.421253</v>
      </c>
      <c r="E39">
        <v>34.810245999999999</v>
      </c>
      <c r="F39">
        <v>33.4221</v>
      </c>
      <c r="G39">
        <v>20185365</v>
      </c>
      <c r="I39">
        <f t="shared" si="0"/>
        <v>1.2137926773908587E-2</v>
      </c>
      <c r="J39">
        <v>0</v>
      </c>
      <c r="K39">
        <f t="shared" si="1"/>
        <v>1.2137926773908587E-2</v>
      </c>
      <c r="L39">
        <f t="shared" si="2"/>
        <v>1.2137926773908587</v>
      </c>
      <c r="M39">
        <v>0.13</v>
      </c>
    </row>
    <row r="40" spans="1:13" x14ac:dyDescent="0.2">
      <c r="A40" s="1">
        <v>43945</v>
      </c>
      <c r="B40">
        <v>34.952559999999998</v>
      </c>
      <c r="C40">
        <v>35.512332999999998</v>
      </c>
      <c r="D40">
        <v>34.895637999999998</v>
      </c>
      <c r="E40">
        <v>35.464897000000001</v>
      </c>
      <c r="F40">
        <v>34.050648000000002</v>
      </c>
      <c r="G40">
        <v>17359380</v>
      </c>
      <c r="I40">
        <f t="shared" si="0"/>
        <v>1.8806358666870186E-2</v>
      </c>
      <c r="J40">
        <v>0</v>
      </c>
      <c r="K40">
        <f t="shared" si="1"/>
        <v>1.8806358666870186E-2</v>
      </c>
      <c r="L40">
        <f t="shared" si="2"/>
        <v>1.8806358666870187</v>
      </c>
      <c r="M40">
        <v>1.44</v>
      </c>
    </row>
    <row r="41" spans="1:13" x14ac:dyDescent="0.2">
      <c r="A41" s="1">
        <v>43948</v>
      </c>
      <c r="B41">
        <v>35.664138999999999</v>
      </c>
      <c r="C41">
        <v>36.565463999999999</v>
      </c>
      <c r="D41">
        <v>35.645161000000002</v>
      </c>
      <c r="E41">
        <v>36.366222</v>
      </c>
      <c r="F41">
        <v>34.916030999999997</v>
      </c>
      <c r="G41">
        <v>23394057</v>
      </c>
      <c r="I41">
        <f t="shared" si="0"/>
        <v>2.5414582418519443E-2</v>
      </c>
      <c r="J41">
        <v>0</v>
      </c>
      <c r="K41">
        <f t="shared" si="1"/>
        <v>2.5414582418519443E-2</v>
      </c>
      <c r="L41">
        <f t="shared" si="2"/>
        <v>2.5414582418519442</v>
      </c>
      <c r="M41">
        <v>1.73</v>
      </c>
    </row>
    <row r="42" spans="1:13" x14ac:dyDescent="0.2">
      <c r="A42" s="1">
        <v>43949</v>
      </c>
      <c r="B42">
        <v>37.049334999999999</v>
      </c>
      <c r="C42">
        <v>37.210625</v>
      </c>
      <c r="D42">
        <v>35.464897000000001</v>
      </c>
      <c r="E42">
        <v>35.967742999999999</v>
      </c>
      <c r="F42">
        <v>34.533442999999998</v>
      </c>
      <c r="G42">
        <v>35666728</v>
      </c>
      <c r="I42">
        <f t="shared" si="0"/>
        <v>-1.0957373706077831E-2</v>
      </c>
      <c r="J42">
        <v>0</v>
      </c>
      <c r="K42">
        <f t="shared" si="1"/>
        <v>-1.0957373706077831E-2</v>
      </c>
      <c r="L42">
        <f t="shared" si="2"/>
        <v>-1.0957373706077831</v>
      </c>
      <c r="M42">
        <v>-0.45</v>
      </c>
    </row>
    <row r="43" spans="1:13" x14ac:dyDescent="0.2">
      <c r="A43" s="1">
        <v>43950</v>
      </c>
      <c r="B43">
        <v>36.489562999999997</v>
      </c>
      <c r="C43">
        <v>36.574950999999999</v>
      </c>
      <c r="D43">
        <v>35.777988000000001</v>
      </c>
      <c r="E43">
        <v>36.166984999999997</v>
      </c>
      <c r="F43">
        <v>34.724739</v>
      </c>
      <c r="G43">
        <v>26518535</v>
      </c>
      <c r="I43">
        <f t="shared" si="0"/>
        <v>5.5394418679886991E-3</v>
      </c>
      <c r="J43">
        <v>0</v>
      </c>
      <c r="K43">
        <f t="shared" si="1"/>
        <v>5.5394418679886991E-3</v>
      </c>
      <c r="L43">
        <f t="shared" si="2"/>
        <v>0.55394418679886992</v>
      </c>
      <c r="M43">
        <v>2.92</v>
      </c>
    </row>
    <row r="44" spans="1:13" x14ac:dyDescent="0.2">
      <c r="A44" s="1">
        <v>43951</v>
      </c>
      <c r="B44">
        <v>36.053131</v>
      </c>
      <c r="C44">
        <v>36.537002999999999</v>
      </c>
      <c r="D44">
        <v>35.445919000000004</v>
      </c>
      <c r="E44">
        <v>36.394688000000002</v>
      </c>
      <c r="F44">
        <v>34.943359000000001</v>
      </c>
      <c r="G44">
        <v>29450973</v>
      </c>
      <c r="I44">
        <f t="shared" si="0"/>
        <v>6.2957996602941027E-3</v>
      </c>
      <c r="J44">
        <v>0</v>
      </c>
      <c r="K44">
        <f t="shared" si="1"/>
        <v>6.2957996602941027E-3</v>
      </c>
      <c r="L44">
        <f t="shared" si="2"/>
        <v>0.62957996602941024</v>
      </c>
      <c r="M44">
        <v>-1.18</v>
      </c>
    </row>
    <row r="45" spans="1:13" x14ac:dyDescent="0.2">
      <c r="A45" s="1">
        <v>43952</v>
      </c>
      <c r="B45">
        <v>35.910815999999997</v>
      </c>
      <c r="C45">
        <v>35.996203999999999</v>
      </c>
      <c r="D45">
        <v>35.474384000000001</v>
      </c>
      <c r="E45">
        <v>35.711575000000003</v>
      </c>
      <c r="F45">
        <v>34.287486999999999</v>
      </c>
      <c r="G45">
        <v>22679867</v>
      </c>
      <c r="I45">
        <f t="shared" si="0"/>
        <v>-1.8769575071475017E-2</v>
      </c>
      <c r="J45">
        <v>0</v>
      </c>
      <c r="K45">
        <f t="shared" si="1"/>
        <v>-1.8769575071475017E-2</v>
      </c>
      <c r="L45">
        <f t="shared" si="2"/>
        <v>-1.8769575071475018</v>
      </c>
      <c r="M45">
        <v>-2.91</v>
      </c>
    </row>
    <row r="46" spans="1:13" x14ac:dyDescent="0.2">
      <c r="A46" s="1">
        <v>43955</v>
      </c>
      <c r="B46">
        <v>35.673622000000002</v>
      </c>
      <c r="C46">
        <v>35.977229999999999</v>
      </c>
      <c r="D46">
        <v>35.493358999999998</v>
      </c>
      <c r="E46">
        <v>35.692599999999999</v>
      </c>
      <c r="F46">
        <v>34.269272000000001</v>
      </c>
      <c r="G46">
        <v>19893512</v>
      </c>
      <c r="I46">
        <f t="shared" si="0"/>
        <v>-5.3124336583774349E-4</v>
      </c>
      <c r="J46">
        <v>0</v>
      </c>
      <c r="K46">
        <f t="shared" si="1"/>
        <v>-5.3124336583774349E-4</v>
      </c>
      <c r="L46">
        <f t="shared" si="2"/>
        <v>-5.3124336583774349E-2</v>
      </c>
      <c r="M46">
        <v>0.53</v>
      </c>
    </row>
    <row r="47" spans="1:13" x14ac:dyDescent="0.2">
      <c r="A47" s="1">
        <v>43956</v>
      </c>
      <c r="B47">
        <v>36.821632000000001</v>
      </c>
      <c r="C47">
        <v>36.869067999999999</v>
      </c>
      <c r="D47">
        <v>36.309299000000003</v>
      </c>
      <c r="E47">
        <v>36.537002999999999</v>
      </c>
      <c r="F47">
        <v>35.080002</v>
      </c>
      <c r="G47">
        <v>24123952</v>
      </c>
      <c r="I47">
        <f t="shared" si="0"/>
        <v>2.3657637080822712E-2</v>
      </c>
      <c r="J47">
        <v>0</v>
      </c>
      <c r="K47">
        <f t="shared" si="1"/>
        <v>2.3657637080822712E-2</v>
      </c>
      <c r="L47">
        <f t="shared" si="2"/>
        <v>2.3657637080822713</v>
      </c>
      <c r="M47">
        <v>0.95</v>
      </c>
    </row>
    <row r="48" spans="1:13" x14ac:dyDescent="0.2">
      <c r="A48" s="1">
        <v>43957</v>
      </c>
      <c r="B48">
        <v>36.973433999999997</v>
      </c>
      <c r="C48">
        <v>37.011386999999999</v>
      </c>
      <c r="D48">
        <v>36.537002999999999</v>
      </c>
      <c r="E48">
        <v>36.537002999999999</v>
      </c>
      <c r="F48">
        <v>35.080002</v>
      </c>
      <c r="G48">
        <v>24047432</v>
      </c>
      <c r="I48">
        <f t="shared" si="0"/>
        <v>0</v>
      </c>
      <c r="J48">
        <v>0</v>
      </c>
      <c r="K48">
        <f t="shared" si="1"/>
        <v>0</v>
      </c>
      <c r="L48">
        <f t="shared" si="2"/>
        <v>0</v>
      </c>
      <c r="M48">
        <v>-0.52</v>
      </c>
    </row>
    <row r="49" spans="1:13" x14ac:dyDescent="0.2">
      <c r="A49" s="1">
        <v>43958</v>
      </c>
      <c r="B49">
        <v>36.442123000000002</v>
      </c>
      <c r="C49">
        <v>36.518028000000001</v>
      </c>
      <c r="D49">
        <v>35</v>
      </c>
      <c r="E49">
        <v>35.066414000000002</v>
      </c>
      <c r="F49">
        <v>34.003585999999999</v>
      </c>
      <c r="G49">
        <v>33546080</v>
      </c>
      <c r="I49">
        <f t="shared" si="0"/>
        <v>-3.0684604864047664E-2</v>
      </c>
      <c r="J49">
        <v>0</v>
      </c>
      <c r="K49">
        <f t="shared" si="1"/>
        <v>-3.0684604864047664E-2</v>
      </c>
      <c r="L49">
        <f t="shared" si="2"/>
        <v>-3.0684604864047662</v>
      </c>
      <c r="M49">
        <v>1.33</v>
      </c>
    </row>
    <row r="50" spans="1:13" x14ac:dyDescent="0.2">
      <c r="A50" s="1">
        <v>43959</v>
      </c>
      <c r="B50">
        <v>35.341557000000002</v>
      </c>
      <c r="C50">
        <v>35.464897000000001</v>
      </c>
      <c r="D50">
        <v>35.142315000000004</v>
      </c>
      <c r="E50">
        <v>35.313091</v>
      </c>
      <c r="F50">
        <v>34.242789999999999</v>
      </c>
      <c r="G50">
        <v>19901312</v>
      </c>
      <c r="I50">
        <f t="shared" si="0"/>
        <v>7.0346698139425907E-3</v>
      </c>
      <c r="J50">
        <v>0</v>
      </c>
      <c r="K50">
        <f t="shared" si="1"/>
        <v>7.0346698139425907E-3</v>
      </c>
      <c r="L50">
        <f t="shared" si="2"/>
        <v>0.70346698139425912</v>
      </c>
      <c r="M50">
        <v>1.9</v>
      </c>
    </row>
    <row r="51" spans="1:13" x14ac:dyDescent="0.2">
      <c r="A51" s="1">
        <v>43962</v>
      </c>
      <c r="B51">
        <v>35.341557000000002</v>
      </c>
      <c r="C51">
        <v>36.252372999999999</v>
      </c>
      <c r="D51">
        <v>35.256168000000002</v>
      </c>
      <c r="E51">
        <v>36.148006000000002</v>
      </c>
      <c r="F51">
        <v>35.052399000000001</v>
      </c>
      <c r="G51">
        <v>25620421</v>
      </c>
      <c r="I51">
        <f t="shared" si="0"/>
        <v>2.3643196129754667E-2</v>
      </c>
      <c r="J51">
        <v>0</v>
      </c>
      <c r="K51">
        <f t="shared" si="1"/>
        <v>2.3643196129754667E-2</v>
      </c>
      <c r="L51">
        <f t="shared" si="2"/>
        <v>2.3643196129754669</v>
      </c>
      <c r="M51">
        <v>7.0000000000000007E-2</v>
      </c>
    </row>
    <row r="52" spans="1:13" x14ac:dyDescent="0.2">
      <c r="A52" s="1">
        <v>43963</v>
      </c>
      <c r="B52">
        <v>36.166984999999997</v>
      </c>
      <c r="C52">
        <v>36.280833999999999</v>
      </c>
      <c r="D52">
        <v>35.426945000000003</v>
      </c>
      <c r="E52">
        <v>35.445919000000004</v>
      </c>
      <c r="F52">
        <v>34.371589999999998</v>
      </c>
      <c r="G52">
        <v>19335314</v>
      </c>
      <c r="I52">
        <f t="shared" si="0"/>
        <v>-1.9422607850606847E-2</v>
      </c>
      <c r="J52">
        <v>0</v>
      </c>
      <c r="K52">
        <f t="shared" si="1"/>
        <v>-1.9422607850606847E-2</v>
      </c>
      <c r="L52">
        <f t="shared" si="2"/>
        <v>-1.9422607850606848</v>
      </c>
      <c r="M52">
        <v>-2.06</v>
      </c>
    </row>
    <row r="53" spans="1:13" x14ac:dyDescent="0.2">
      <c r="A53" s="1">
        <v>43964</v>
      </c>
      <c r="B53">
        <v>35.398482999999999</v>
      </c>
      <c r="C53">
        <v>35.502845999999998</v>
      </c>
      <c r="D53">
        <v>34.71537</v>
      </c>
      <c r="E53">
        <v>35.151802000000004</v>
      </c>
      <c r="F53">
        <v>34.086387999999999</v>
      </c>
      <c r="G53">
        <v>24596882</v>
      </c>
      <c r="I53">
        <f t="shared" si="0"/>
        <v>-8.2976085773162726E-3</v>
      </c>
      <c r="J53">
        <v>0</v>
      </c>
      <c r="K53">
        <f t="shared" si="1"/>
        <v>-8.2976085773162726E-3</v>
      </c>
      <c r="L53">
        <f t="shared" si="2"/>
        <v>-0.82976085773162722</v>
      </c>
      <c r="M53">
        <v>-1.89</v>
      </c>
    </row>
    <row r="54" spans="1:13" x14ac:dyDescent="0.2">
      <c r="A54" s="1">
        <v>43965</v>
      </c>
      <c r="B54">
        <v>34.914611999999998</v>
      </c>
      <c r="C54">
        <v>36.015179000000003</v>
      </c>
      <c r="D54">
        <v>34.895637999999998</v>
      </c>
      <c r="E54">
        <v>35.977229999999999</v>
      </c>
      <c r="F54">
        <v>34.886794999999999</v>
      </c>
      <c r="G54">
        <v>22362507</v>
      </c>
      <c r="I54">
        <f t="shared" si="0"/>
        <v>2.348171944765752E-2</v>
      </c>
      <c r="J54">
        <v>0</v>
      </c>
      <c r="K54">
        <f t="shared" si="1"/>
        <v>2.348171944765752E-2</v>
      </c>
      <c r="L54">
        <f t="shared" si="2"/>
        <v>2.3481719447657521</v>
      </c>
      <c r="M54">
        <v>1.1399999999999999</v>
      </c>
    </row>
    <row r="55" spans="1:13" x14ac:dyDescent="0.2">
      <c r="A55" s="1">
        <v>43966</v>
      </c>
      <c r="B55">
        <v>36.015179000000003</v>
      </c>
      <c r="C55">
        <v>36.214419999999997</v>
      </c>
      <c r="D55">
        <v>35.474384000000001</v>
      </c>
      <c r="E55">
        <v>35.825428000000002</v>
      </c>
      <c r="F55">
        <v>34.739593999999997</v>
      </c>
      <c r="G55">
        <v>25460002</v>
      </c>
      <c r="I55">
        <f t="shared" si="0"/>
        <v>-4.2193901732733713E-3</v>
      </c>
      <c r="J55">
        <v>0</v>
      </c>
      <c r="K55">
        <f t="shared" si="1"/>
        <v>-4.2193901732733713E-3</v>
      </c>
      <c r="L55">
        <f t="shared" si="2"/>
        <v>-0.42193901732733713</v>
      </c>
      <c r="M55">
        <v>0.56999999999999995</v>
      </c>
    </row>
    <row r="56" spans="1:13" x14ac:dyDescent="0.2">
      <c r="A56" s="1">
        <v>43969</v>
      </c>
      <c r="B56">
        <v>36.375712999999998</v>
      </c>
      <c r="C56">
        <v>36.489562999999997</v>
      </c>
      <c r="D56">
        <v>35.702086999999999</v>
      </c>
      <c r="E56">
        <v>36.119545000000002</v>
      </c>
      <c r="F56">
        <v>35.024802999999999</v>
      </c>
      <c r="G56">
        <v>22639077</v>
      </c>
      <c r="I56">
        <f t="shared" si="0"/>
        <v>8.2099117220541459E-3</v>
      </c>
      <c r="J56">
        <v>0</v>
      </c>
      <c r="K56">
        <f t="shared" si="1"/>
        <v>8.2099117220541459E-3</v>
      </c>
      <c r="L56">
        <f t="shared" si="2"/>
        <v>0.82099117220541462</v>
      </c>
      <c r="M56">
        <v>3.24</v>
      </c>
    </row>
    <row r="57" spans="1:13" x14ac:dyDescent="0.2">
      <c r="A57" s="1">
        <v>43970</v>
      </c>
      <c r="B57">
        <v>35.910815999999997</v>
      </c>
      <c r="C57">
        <v>36.072105000000001</v>
      </c>
      <c r="D57">
        <v>35.398482999999999</v>
      </c>
      <c r="E57">
        <v>35.749527</v>
      </c>
      <c r="F57">
        <v>34.665996999999997</v>
      </c>
      <c r="G57">
        <v>19476234</v>
      </c>
      <c r="I57">
        <f t="shared" si="0"/>
        <v>-1.0244340275090235E-2</v>
      </c>
      <c r="J57">
        <v>0</v>
      </c>
      <c r="K57">
        <f t="shared" si="1"/>
        <v>-1.0244340275090235E-2</v>
      </c>
      <c r="L57">
        <f t="shared" si="2"/>
        <v>-1.0244340275090236</v>
      </c>
      <c r="M57">
        <v>-1.01</v>
      </c>
    </row>
    <row r="58" spans="1:13" x14ac:dyDescent="0.2">
      <c r="A58" s="1">
        <v>43971</v>
      </c>
      <c r="B58">
        <v>36.005692000000003</v>
      </c>
      <c r="C58">
        <v>36.242885999999999</v>
      </c>
      <c r="D58">
        <v>35.626185999999997</v>
      </c>
      <c r="E58">
        <v>35.702086999999999</v>
      </c>
      <c r="F58">
        <v>34.619995000000003</v>
      </c>
      <c r="G58">
        <v>17504200</v>
      </c>
      <c r="I58">
        <f t="shared" si="0"/>
        <v>-1.3270064034216103E-3</v>
      </c>
      <c r="J58">
        <v>0</v>
      </c>
      <c r="K58">
        <f t="shared" si="1"/>
        <v>-1.3270064034216103E-3</v>
      </c>
      <c r="L58">
        <f t="shared" si="2"/>
        <v>-0.13270064034216103</v>
      </c>
      <c r="M58">
        <v>1.8</v>
      </c>
    </row>
    <row r="59" spans="1:13" x14ac:dyDescent="0.2">
      <c r="A59" s="1">
        <v>43972</v>
      </c>
      <c r="B59">
        <v>35.645161000000002</v>
      </c>
      <c r="C59">
        <v>35.721062000000003</v>
      </c>
      <c r="D59">
        <v>35.151802000000004</v>
      </c>
      <c r="E59">
        <v>35.351044000000002</v>
      </c>
      <c r="F59">
        <v>34.279591000000003</v>
      </c>
      <c r="G59">
        <v>17652181</v>
      </c>
      <c r="I59">
        <f t="shared" si="0"/>
        <v>-9.8325837424297572E-3</v>
      </c>
      <c r="J59">
        <v>0</v>
      </c>
      <c r="K59">
        <f t="shared" si="1"/>
        <v>-9.8325837424297572E-3</v>
      </c>
      <c r="L59">
        <f t="shared" si="2"/>
        <v>-0.98325837424297569</v>
      </c>
      <c r="M59">
        <v>-0.7</v>
      </c>
    </row>
    <row r="60" spans="1:13" x14ac:dyDescent="0.2">
      <c r="A60" s="1">
        <v>43973</v>
      </c>
      <c r="B60">
        <v>35.208728999999998</v>
      </c>
      <c r="C60">
        <v>35.607211999999997</v>
      </c>
      <c r="D60">
        <v>35.066414000000002</v>
      </c>
      <c r="E60">
        <v>35.578747</v>
      </c>
      <c r="F60">
        <v>34.500393000000003</v>
      </c>
      <c r="G60">
        <v>15781226</v>
      </c>
      <c r="I60">
        <f t="shared" si="0"/>
        <v>6.4412087063698935E-3</v>
      </c>
      <c r="J60">
        <v>0</v>
      </c>
      <c r="K60">
        <f t="shared" si="1"/>
        <v>6.4412087063698935E-3</v>
      </c>
      <c r="L60">
        <f t="shared" si="2"/>
        <v>0.64412087063698931</v>
      </c>
      <c r="M60">
        <v>0.27</v>
      </c>
    </row>
    <row r="61" spans="1:13" x14ac:dyDescent="0.2">
      <c r="A61" s="1">
        <v>43977</v>
      </c>
      <c r="B61">
        <v>35.721062000000003</v>
      </c>
      <c r="C61">
        <v>35.929789999999997</v>
      </c>
      <c r="D61">
        <v>35.531306999999998</v>
      </c>
      <c r="E61">
        <v>35.56926</v>
      </c>
      <c r="F61">
        <v>34.491191999999998</v>
      </c>
      <c r="G61">
        <v>23260094</v>
      </c>
      <c r="I61">
        <f t="shared" si="0"/>
        <v>-2.6669261419730653E-4</v>
      </c>
      <c r="J61">
        <v>0</v>
      </c>
      <c r="K61">
        <f t="shared" si="1"/>
        <v>-2.6669261419730653E-4</v>
      </c>
      <c r="L61">
        <f t="shared" si="2"/>
        <v>-2.6669261419730653E-2</v>
      </c>
      <c r="M61">
        <v>1.23</v>
      </c>
    </row>
    <row r="62" spans="1:13" x14ac:dyDescent="0.2">
      <c r="A62" s="1">
        <v>43978</v>
      </c>
      <c r="B62">
        <v>35.493358999999998</v>
      </c>
      <c r="C62">
        <v>35.616698999999997</v>
      </c>
      <c r="D62">
        <v>35.075901000000002</v>
      </c>
      <c r="E62">
        <v>35.493358999999998</v>
      </c>
      <c r="F62">
        <v>34.417591000000002</v>
      </c>
      <c r="G62">
        <v>25904158</v>
      </c>
      <c r="I62">
        <f t="shared" si="0"/>
        <v>-2.1339071146046933E-3</v>
      </c>
      <c r="J62">
        <v>0</v>
      </c>
      <c r="K62">
        <f t="shared" si="1"/>
        <v>-2.1339071146046933E-3</v>
      </c>
      <c r="L62">
        <f t="shared" si="2"/>
        <v>-0.21339071146046934</v>
      </c>
      <c r="M62">
        <v>1.54</v>
      </c>
    </row>
    <row r="63" spans="1:13" x14ac:dyDescent="0.2">
      <c r="A63" s="1">
        <v>43979</v>
      </c>
      <c r="B63">
        <v>35.901328999999997</v>
      </c>
      <c r="C63">
        <v>36.470588999999997</v>
      </c>
      <c r="D63">
        <v>35.787475999999998</v>
      </c>
      <c r="E63">
        <v>36.223906999999997</v>
      </c>
      <c r="F63">
        <v>35.125996000000001</v>
      </c>
      <c r="G63">
        <v>22521767</v>
      </c>
      <c r="I63">
        <f t="shared" si="0"/>
        <v>2.0582643334915537E-2</v>
      </c>
      <c r="J63">
        <v>0</v>
      </c>
      <c r="K63">
        <f t="shared" si="1"/>
        <v>2.0582643334915537E-2</v>
      </c>
      <c r="L63">
        <f t="shared" si="2"/>
        <v>2.0582643334915538</v>
      </c>
      <c r="M63">
        <v>-0.41</v>
      </c>
    </row>
    <row r="64" spans="1:13" x14ac:dyDescent="0.2">
      <c r="A64" s="1">
        <v>43980</v>
      </c>
      <c r="B64">
        <v>36.309299000000003</v>
      </c>
      <c r="C64">
        <v>36.461101999999997</v>
      </c>
      <c r="D64">
        <v>35.654648000000002</v>
      </c>
      <c r="E64">
        <v>36.233398000000001</v>
      </c>
      <c r="F64">
        <v>35.135204000000002</v>
      </c>
      <c r="G64">
        <v>48638200</v>
      </c>
      <c r="I64">
        <f t="shared" si="0"/>
        <v>2.6214203292629747E-4</v>
      </c>
      <c r="J64">
        <v>0</v>
      </c>
      <c r="K64">
        <f t="shared" si="1"/>
        <v>2.6214203292629747E-4</v>
      </c>
      <c r="L64">
        <f t="shared" si="2"/>
        <v>2.6214203292629745E-2</v>
      </c>
      <c r="M64">
        <v>0.6</v>
      </c>
    </row>
    <row r="65" spans="1:13" x14ac:dyDescent="0.2">
      <c r="A65" s="1">
        <v>43983</v>
      </c>
      <c r="B65">
        <v>33.681213</v>
      </c>
      <c r="C65">
        <v>33.899428999999998</v>
      </c>
      <c r="D65">
        <v>33.121440999999997</v>
      </c>
      <c r="E65">
        <v>33.643265</v>
      </c>
      <c r="F65">
        <v>32.623569000000003</v>
      </c>
      <c r="G65">
        <v>76884979</v>
      </c>
      <c r="I65">
        <f t="shared" si="0"/>
        <v>-7.148485604352825E-2</v>
      </c>
      <c r="J65">
        <v>0</v>
      </c>
      <c r="K65">
        <f t="shared" si="1"/>
        <v>-7.148485604352825E-2</v>
      </c>
      <c r="L65">
        <f t="shared" si="2"/>
        <v>-7.1484856043528247</v>
      </c>
      <c r="M65">
        <v>0.52</v>
      </c>
    </row>
    <row r="66" spans="1:13" x14ac:dyDescent="0.2">
      <c r="A66" s="1">
        <v>43984</v>
      </c>
      <c r="B66">
        <v>33.709679000000001</v>
      </c>
      <c r="C66">
        <v>34.307400000000001</v>
      </c>
      <c r="D66">
        <v>33.444023000000001</v>
      </c>
      <c r="E66">
        <v>34.307400000000001</v>
      </c>
      <c r="F66">
        <v>33.267578</v>
      </c>
      <c r="G66">
        <v>42690900</v>
      </c>
      <c r="I66">
        <f t="shared" si="0"/>
        <v>1.9740605327393728E-2</v>
      </c>
      <c r="J66">
        <v>0</v>
      </c>
      <c r="K66">
        <f t="shared" si="1"/>
        <v>1.9740605327393728E-2</v>
      </c>
      <c r="L66">
        <f t="shared" si="2"/>
        <v>1.9740605327393728</v>
      </c>
      <c r="M66">
        <v>0.81</v>
      </c>
    </row>
    <row r="67" spans="1:13" x14ac:dyDescent="0.2">
      <c r="A67" s="1">
        <v>43985</v>
      </c>
      <c r="B67">
        <v>34.43074</v>
      </c>
      <c r="C67">
        <v>34.544593999999996</v>
      </c>
      <c r="D67">
        <v>33.719166000000001</v>
      </c>
      <c r="E67">
        <v>34.307400000000001</v>
      </c>
      <c r="F67">
        <v>33.267578</v>
      </c>
      <c r="G67">
        <v>38751996</v>
      </c>
      <c r="I67">
        <f t="shared" si="0"/>
        <v>0</v>
      </c>
      <c r="J67">
        <v>0</v>
      </c>
      <c r="K67">
        <f t="shared" si="1"/>
        <v>0</v>
      </c>
      <c r="L67">
        <f t="shared" si="2"/>
        <v>0</v>
      </c>
      <c r="M67">
        <v>1.42</v>
      </c>
    </row>
    <row r="68" spans="1:13" x14ac:dyDescent="0.2">
      <c r="A68" s="1">
        <v>43986</v>
      </c>
      <c r="B68">
        <v>33.880454999999998</v>
      </c>
      <c r="C68">
        <v>34.43074</v>
      </c>
      <c r="D68">
        <v>33.870967999999998</v>
      </c>
      <c r="E68">
        <v>34.165084999999998</v>
      </c>
      <c r="F68">
        <v>33.129573999999998</v>
      </c>
      <c r="G68">
        <v>27013388</v>
      </c>
      <c r="I68">
        <f t="shared" ref="I68:I131" si="3">(F68-F67)/F67</f>
        <v>-4.1483031917743524E-3</v>
      </c>
      <c r="J68">
        <v>0</v>
      </c>
      <c r="K68">
        <f t="shared" ref="K68:K131" si="4">I68-J68</f>
        <v>-4.1483031917743524E-3</v>
      </c>
      <c r="L68">
        <f t="shared" ref="L68:L131" si="5">100*K68</f>
        <v>-0.41483031917743524</v>
      </c>
      <c r="M68">
        <v>-0.34</v>
      </c>
    </row>
    <row r="69" spans="1:13" x14ac:dyDescent="0.2">
      <c r="A69" s="1">
        <v>43987</v>
      </c>
      <c r="B69">
        <v>34.383301000000003</v>
      </c>
      <c r="C69">
        <v>34.620494999999998</v>
      </c>
      <c r="D69">
        <v>34.041744000000001</v>
      </c>
      <c r="E69">
        <v>34.146110999999998</v>
      </c>
      <c r="F69">
        <v>33.111176</v>
      </c>
      <c r="G69">
        <v>36705655</v>
      </c>
      <c r="I69">
        <f t="shared" si="3"/>
        <v>-5.5533463847128538E-4</v>
      </c>
      <c r="J69">
        <v>0</v>
      </c>
      <c r="K69">
        <f t="shared" si="4"/>
        <v>-5.5533463847128538E-4</v>
      </c>
      <c r="L69">
        <f t="shared" si="5"/>
        <v>-5.5533463847128539E-2</v>
      </c>
      <c r="M69">
        <v>2.5</v>
      </c>
    </row>
    <row r="70" spans="1:13" x14ac:dyDescent="0.2">
      <c r="A70" s="1">
        <v>43990</v>
      </c>
      <c r="B70">
        <v>33.965843</v>
      </c>
      <c r="C70">
        <v>34.724857</v>
      </c>
      <c r="D70">
        <v>33.851993999999998</v>
      </c>
      <c r="E70">
        <v>34.71537</v>
      </c>
      <c r="F70">
        <v>33.663184999999999</v>
      </c>
      <c r="G70">
        <v>30194149</v>
      </c>
      <c r="I70">
        <f t="shared" si="3"/>
        <v>1.6671380080248377E-2</v>
      </c>
      <c r="J70">
        <v>0</v>
      </c>
      <c r="K70">
        <f t="shared" si="4"/>
        <v>1.6671380080248377E-2</v>
      </c>
      <c r="L70">
        <f t="shared" si="5"/>
        <v>1.6671380080248377</v>
      </c>
      <c r="M70">
        <v>1.39</v>
      </c>
    </row>
    <row r="71" spans="1:13" x14ac:dyDescent="0.2">
      <c r="A71" s="1">
        <v>43991</v>
      </c>
      <c r="B71">
        <v>34.629981999999998</v>
      </c>
      <c r="C71">
        <v>34.781784000000002</v>
      </c>
      <c r="D71">
        <v>34.316887000000001</v>
      </c>
      <c r="E71">
        <v>34.354838999999998</v>
      </c>
      <c r="F71">
        <v>33.313580000000002</v>
      </c>
      <c r="G71">
        <v>21675088</v>
      </c>
      <c r="I71">
        <f t="shared" si="3"/>
        <v>-1.0385380943603431E-2</v>
      </c>
      <c r="J71">
        <v>0</v>
      </c>
      <c r="K71">
        <f t="shared" si="4"/>
        <v>-1.0385380943603431E-2</v>
      </c>
      <c r="L71">
        <f t="shared" si="5"/>
        <v>-1.0385380943603431</v>
      </c>
      <c r="M71">
        <v>-0.85</v>
      </c>
    </row>
    <row r="72" spans="1:13" x14ac:dyDescent="0.2">
      <c r="A72" s="1">
        <v>43992</v>
      </c>
      <c r="B72">
        <v>34.497154000000002</v>
      </c>
      <c r="C72">
        <v>34.582541999999997</v>
      </c>
      <c r="D72">
        <v>34.051231000000001</v>
      </c>
      <c r="E72">
        <v>34.079697000000003</v>
      </c>
      <c r="F72">
        <v>33.046776000000001</v>
      </c>
      <c r="G72">
        <v>29557217</v>
      </c>
      <c r="I72">
        <f t="shared" si="3"/>
        <v>-8.0088660540236292E-3</v>
      </c>
      <c r="J72">
        <v>0</v>
      </c>
      <c r="K72">
        <f t="shared" si="4"/>
        <v>-8.0088660540236292E-3</v>
      </c>
      <c r="L72">
        <f t="shared" si="5"/>
        <v>-0.80088660540236289</v>
      </c>
      <c r="M72">
        <v>-0.56000000000000005</v>
      </c>
    </row>
    <row r="73" spans="1:13" x14ac:dyDescent="0.2">
      <c r="A73" s="1">
        <v>43993</v>
      </c>
      <c r="B73">
        <v>33.776093000000003</v>
      </c>
      <c r="C73">
        <v>33.851993999999998</v>
      </c>
      <c r="D73">
        <v>31.574953000000001</v>
      </c>
      <c r="E73">
        <v>31.593927000000001</v>
      </c>
      <c r="F73">
        <v>30.636348999999999</v>
      </c>
      <c r="G73">
        <v>63166642</v>
      </c>
      <c r="I73">
        <f t="shared" si="3"/>
        <v>-7.2939853497357862E-2</v>
      </c>
      <c r="J73">
        <v>0</v>
      </c>
      <c r="K73">
        <f t="shared" si="4"/>
        <v>-7.2939853497357862E-2</v>
      </c>
      <c r="L73">
        <f t="shared" si="5"/>
        <v>-7.2939853497357863</v>
      </c>
      <c r="M73">
        <v>-5.91</v>
      </c>
    </row>
    <row r="74" spans="1:13" x14ac:dyDescent="0.2">
      <c r="A74" s="1">
        <v>43994</v>
      </c>
      <c r="B74">
        <v>32.333964999999999</v>
      </c>
      <c r="C74">
        <v>32.352939999999997</v>
      </c>
      <c r="D74">
        <v>31.356735</v>
      </c>
      <c r="E74">
        <v>32.020873999999999</v>
      </c>
      <c r="F74">
        <v>31.050353999999999</v>
      </c>
      <c r="G74">
        <v>37902472</v>
      </c>
      <c r="I74">
        <f t="shared" si="3"/>
        <v>1.3513522776490094E-2</v>
      </c>
      <c r="J74">
        <v>0</v>
      </c>
      <c r="K74">
        <f t="shared" si="4"/>
        <v>1.3513522776490094E-2</v>
      </c>
      <c r="L74">
        <f t="shared" si="5"/>
        <v>1.3513522776490094</v>
      </c>
      <c r="M74">
        <v>1.29</v>
      </c>
    </row>
    <row r="75" spans="1:13" x14ac:dyDescent="0.2">
      <c r="A75" s="1">
        <v>43997</v>
      </c>
      <c r="B75">
        <v>31.593927000000001</v>
      </c>
      <c r="C75">
        <v>31.992411000000001</v>
      </c>
      <c r="D75">
        <v>31.081593999999999</v>
      </c>
      <c r="E75">
        <v>31.650853999999999</v>
      </c>
      <c r="F75">
        <v>30.691548999999998</v>
      </c>
      <c r="G75">
        <v>36247482</v>
      </c>
      <c r="I75">
        <f t="shared" si="3"/>
        <v>-1.1555584841319371E-2</v>
      </c>
      <c r="J75">
        <v>0</v>
      </c>
      <c r="K75">
        <f t="shared" si="4"/>
        <v>-1.1555584841319371E-2</v>
      </c>
      <c r="L75">
        <f t="shared" si="5"/>
        <v>-1.1555584841319371</v>
      </c>
      <c r="M75">
        <v>1.0900000000000001</v>
      </c>
    </row>
    <row r="76" spans="1:13" x14ac:dyDescent="0.2">
      <c r="A76" s="1">
        <v>43998</v>
      </c>
      <c r="B76">
        <v>31.869070000000001</v>
      </c>
      <c r="C76">
        <v>32.220115999999997</v>
      </c>
      <c r="D76">
        <v>31.043644</v>
      </c>
      <c r="E76">
        <v>31.688804999999999</v>
      </c>
      <c r="F76">
        <v>30.728349999999999</v>
      </c>
      <c r="G76">
        <v>55616945</v>
      </c>
      <c r="I76">
        <f t="shared" si="3"/>
        <v>1.1990597151026992E-3</v>
      </c>
      <c r="J76">
        <v>0</v>
      </c>
      <c r="K76">
        <f t="shared" si="4"/>
        <v>1.1990597151026992E-3</v>
      </c>
      <c r="L76">
        <f t="shared" si="5"/>
        <v>0.11990597151026992</v>
      </c>
      <c r="M76">
        <v>1.86</v>
      </c>
    </row>
    <row r="77" spans="1:13" x14ac:dyDescent="0.2">
      <c r="A77" s="1">
        <v>43999</v>
      </c>
      <c r="B77">
        <v>31.869070000000001</v>
      </c>
      <c r="C77">
        <v>32.039847999999999</v>
      </c>
      <c r="D77">
        <v>31.612904</v>
      </c>
      <c r="E77">
        <v>31.840606999999999</v>
      </c>
      <c r="F77">
        <v>30.875551000000002</v>
      </c>
      <c r="G77">
        <v>27509822</v>
      </c>
      <c r="I77">
        <f t="shared" si="3"/>
        <v>4.7903971414020793E-3</v>
      </c>
      <c r="J77">
        <v>0</v>
      </c>
      <c r="K77">
        <f t="shared" si="4"/>
        <v>4.7903971414020793E-3</v>
      </c>
      <c r="L77">
        <f t="shared" si="5"/>
        <v>0.47903971414020796</v>
      </c>
      <c r="M77">
        <v>-0.4</v>
      </c>
    </row>
    <row r="78" spans="1:13" x14ac:dyDescent="0.2">
      <c r="A78" s="1">
        <v>44000</v>
      </c>
      <c r="B78">
        <v>31.565466000000001</v>
      </c>
      <c r="C78">
        <v>31.755219</v>
      </c>
      <c r="D78">
        <v>31.290323000000001</v>
      </c>
      <c r="E78">
        <v>31.537002999999999</v>
      </c>
      <c r="F78">
        <v>30.581147999999999</v>
      </c>
      <c r="G78">
        <v>32278855</v>
      </c>
      <c r="I78">
        <f t="shared" si="3"/>
        <v>-9.5351496723087674E-3</v>
      </c>
      <c r="J78">
        <v>0</v>
      </c>
      <c r="K78">
        <f t="shared" si="4"/>
        <v>-9.5351496723087674E-3</v>
      </c>
      <c r="L78">
        <f t="shared" si="5"/>
        <v>-0.9535149672308767</v>
      </c>
      <c r="M78">
        <v>0.19</v>
      </c>
    </row>
    <row r="79" spans="1:13" x14ac:dyDescent="0.2">
      <c r="A79" s="1">
        <v>44001</v>
      </c>
      <c r="B79">
        <v>31.963947000000001</v>
      </c>
      <c r="C79">
        <v>32.011386999999999</v>
      </c>
      <c r="D79">
        <v>31.423148999999999</v>
      </c>
      <c r="E79">
        <v>31.707781000000001</v>
      </c>
      <c r="F79">
        <v>30.746752000000001</v>
      </c>
      <c r="G79">
        <v>43986266</v>
      </c>
      <c r="I79">
        <f t="shared" si="3"/>
        <v>5.4152316322461759E-3</v>
      </c>
      <c r="J79">
        <v>0</v>
      </c>
      <c r="K79">
        <f t="shared" si="4"/>
        <v>5.4152316322461759E-3</v>
      </c>
      <c r="L79">
        <f t="shared" si="5"/>
        <v>0.54152316322461758</v>
      </c>
      <c r="M79">
        <v>-0.45</v>
      </c>
    </row>
    <row r="80" spans="1:13" x14ac:dyDescent="0.2">
      <c r="A80" s="1">
        <v>44004</v>
      </c>
      <c r="B80">
        <v>31.622391</v>
      </c>
      <c r="C80">
        <v>31.650853999999999</v>
      </c>
      <c r="D80">
        <v>31.223908999999999</v>
      </c>
      <c r="E80">
        <v>31.413661999999999</v>
      </c>
      <c r="F80">
        <v>30.461544</v>
      </c>
      <c r="G80">
        <v>23332503</v>
      </c>
      <c r="I80">
        <f t="shared" si="3"/>
        <v>-9.2760367013725812E-3</v>
      </c>
      <c r="J80">
        <v>0</v>
      </c>
      <c r="K80">
        <f t="shared" si="4"/>
        <v>-9.2760367013725812E-3</v>
      </c>
      <c r="L80">
        <f t="shared" si="5"/>
        <v>-0.92760367013725809</v>
      </c>
      <c r="M80">
        <v>0.71</v>
      </c>
    </row>
    <row r="81" spans="1:13" x14ac:dyDescent="0.2">
      <c r="A81" s="1">
        <v>44005</v>
      </c>
      <c r="B81">
        <v>31.49905</v>
      </c>
      <c r="C81">
        <v>31.546489999999999</v>
      </c>
      <c r="D81">
        <v>31.062618000000001</v>
      </c>
      <c r="E81">
        <v>31.091082</v>
      </c>
      <c r="F81">
        <v>30.148743</v>
      </c>
      <c r="G81">
        <v>37690408</v>
      </c>
      <c r="I81">
        <f t="shared" si="3"/>
        <v>-1.0268717829930102E-2</v>
      </c>
      <c r="J81">
        <v>0</v>
      </c>
      <c r="K81">
        <f t="shared" si="4"/>
        <v>-1.0268717829930102E-2</v>
      </c>
      <c r="L81">
        <f t="shared" si="5"/>
        <v>-1.0268717829930103</v>
      </c>
      <c r="M81">
        <v>0.42</v>
      </c>
    </row>
    <row r="82" spans="1:13" x14ac:dyDescent="0.2">
      <c r="A82" s="1">
        <v>44006</v>
      </c>
      <c r="B82">
        <v>31.034157</v>
      </c>
      <c r="C82">
        <v>31.053131</v>
      </c>
      <c r="D82">
        <v>30.360531000000002</v>
      </c>
      <c r="E82">
        <v>30.540796</v>
      </c>
      <c r="F82">
        <v>29.615134999999999</v>
      </c>
      <c r="G82">
        <v>30817695</v>
      </c>
      <c r="I82">
        <f t="shared" si="3"/>
        <v>-1.7699179033766051E-2</v>
      </c>
      <c r="J82">
        <v>0</v>
      </c>
      <c r="K82">
        <f t="shared" si="4"/>
        <v>-1.7699179033766051E-2</v>
      </c>
      <c r="L82">
        <f t="shared" si="5"/>
        <v>-1.769917903376605</v>
      </c>
      <c r="M82">
        <v>-2.61</v>
      </c>
    </row>
    <row r="83" spans="1:13" x14ac:dyDescent="0.2">
      <c r="A83" s="1">
        <v>44007</v>
      </c>
      <c r="B83">
        <v>30.464894999999999</v>
      </c>
      <c r="C83">
        <v>30.721063999999998</v>
      </c>
      <c r="D83">
        <v>30.199242000000002</v>
      </c>
      <c r="E83">
        <v>30.664137</v>
      </c>
      <c r="F83">
        <v>29.734736999999999</v>
      </c>
      <c r="G83">
        <v>27418651</v>
      </c>
      <c r="I83">
        <f t="shared" si="3"/>
        <v>4.0385431300583446E-3</v>
      </c>
      <c r="J83">
        <v>0</v>
      </c>
      <c r="K83">
        <f t="shared" si="4"/>
        <v>4.0385431300583446E-3</v>
      </c>
      <c r="L83">
        <f t="shared" si="5"/>
        <v>0.40385431300583446</v>
      </c>
      <c r="M83">
        <v>1.1200000000000001</v>
      </c>
    </row>
    <row r="84" spans="1:13" x14ac:dyDescent="0.2">
      <c r="A84" s="1">
        <v>44008</v>
      </c>
      <c r="B84">
        <v>30.597722999999998</v>
      </c>
      <c r="C84">
        <v>30.626186000000001</v>
      </c>
      <c r="D84">
        <v>29.990513</v>
      </c>
      <c r="E84">
        <v>30.398481</v>
      </c>
      <c r="F84">
        <v>29.477135000000001</v>
      </c>
      <c r="G84">
        <v>42153992</v>
      </c>
      <c r="I84">
        <f t="shared" si="3"/>
        <v>-8.663335411374198E-3</v>
      </c>
      <c r="J84">
        <v>0</v>
      </c>
      <c r="K84">
        <f t="shared" si="4"/>
        <v>-8.663335411374198E-3</v>
      </c>
      <c r="L84">
        <f t="shared" si="5"/>
        <v>-0.86633354113741978</v>
      </c>
      <c r="M84">
        <v>-2.44</v>
      </c>
    </row>
    <row r="85" spans="1:13" x14ac:dyDescent="0.2">
      <c r="A85" s="1">
        <v>44011</v>
      </c>
      <c r="B85">
        <v>30.796965</v>
      </c>
      <c r="C85">
        <v>30.996203999999999</v>
      </c>
      <c r="D85">
        <v>30.550284999999999</v>
      </c>
      <c r="E85">
        <v>30.967742999999999</v>
      </c>
      <c r="F85">
        <v>30.029142</v>
      </c>
      <c r="G85">
        <v>23956261</v>
      </c>
      <c r="I85">
        <f t="shared" si="3"/>
        <v>1.8726616409634099E-2</v>
      </c>
      <c r="J85">
        <v>0</v>
      </c>
      <c r="K85">
        <f t="shared" si="4"/>
        <v>1.8726616409634099E-2</v>
      </c>
      <c r="L85">
        <f t="shared" si="5"/>
        <v>1.8726616409634098</v>
      </c>
      <c r="M85">
        <v>1.51</v>
      </c>
    </row>
    <row r="86" spans="1:13" x14ac:dyDescent="0.2">
      <c r="A86" s="1">
        <v>44012</v>
      </c>
      <c r="B86">
        <v>30.863378999999998</v>
      </c>
      <c r="C86">
        <v>31.195446</v>
      </c>
      <c r="D86">
        <v>30.578748999999998</v>
      </c>
      <c r="E86">
        <v>31.024667999999998</v>
      </c>
      <c r="F86">
        <v>30.084340999999998</v>
      </c>
      <c r="G86">
        <v>25451676</v>
      </c>
      <c r="I86">
        <f t="shared" si="3"/>
        <v>1.8381810575872671E-3</v>
      </c>
      <c r="J86">
        <v>0</v>
      </c>
      <c r="K86">
        <f t="shared" si="4"/>
        <v>1.8381810575872671E-3</v>
      </c>
      <c r="L86">
        <f t="shared" si="5"/>
        <v>0.1838181057587267</v>
      </c>
      <c r="M86">
        <v>1.58</v>
      </c>
    </row>
    <row r="87" spans="1:13" x14ac:dyDescent="0.2">
      <c r="A87" s="1">
        <v>44013</v>
      </c>
      <c r="B87">
        <v>32.770397000000003</v>
      </c>
      <c r="C87">
        <v>32.770397000000003</v>
      </c>
      <c r="D87">
        <v>31.992411000000001</v>
      </c>
      <c r="E87">
        <v>32.011386999999999</v>
      </c>
      <c r="F87">
        <v>31.041153000000001</v>
      </c>
      <c r="G87">
        <v>73503009</v>
      </c>
      <c r="I87">
        <f t="shared" si="3"/>
        <v>3.1804319728991337E-2</v>
      </c>
      <c r="J87">
        <v>0</v>
      </c>
      <c r="K87">
        <f t="shared" si="4"/>
        <v>3.1804319728991337E-2</v>
      </c>
      <c r="L87">
        <f t="shared" si="5"/>
        <v>3.1804319728991337</v>
      </c>
      <c r="M87">
        <v>0.41</v>
      </c>
    </row>
    <row r="88" spans="1:13" x14ac:dyDescent="0.2">
      <c r="A88" s="1">
        <v>44014</v>
      </c>
      <c r="B88">
        <v>32.846297999999997</v>
      </c>
      <c r="C88">
        <v>33.064514000000003</v>
      </c>
      <c r="D88">
        <v>32.296016999999999</v>
      </c>
      <c r="E88">
        <v>32.741936000000003</v>
      </c>
      <c r="F88">
        <v>31.749561</v>
      </c>
      <c r="G88">
        <v>45270881</v>
      </c>
      <c r="I88">
        <f t="shared" si="3"/>
        <v>2.2821574958894038E-2</v>
      </c>
      <c r="J88">
        <v>0</v>
      </c>
      <c r="K88">
        <f t="shared" si="4"/>
        <v>2.2821574958894038E-2</v>
      </c>
      <c r="L88">
        <f t="shared" si="5"/>
        <v>2.282157495889404</v>
      </c>
      <c r="M88">
        <v>0.5</v>
      </c>
    </row>
    <row r="89" spans="1:13" x14ac:dyDescent="0.2">
      <c r="A89" s="1">
        <v>44018</v>
      </c>
      <c r="B89">
        <v>33.159393000000001</v>
      </c>
      <c r="C89">
        <v>33.197341999999999</v>
      </c>
      <c r="D89">
        <v>32.618594999999999</v>
      </c>
      <c r="E89">
        <v>32.741936000000003</v>
      </c>
      <c r="F89">
        <v>31.749561</v>
      </c>
      <c r="G89">
        <v>27150935</v>
      </c>
      <c r="I89">
        <f t="shared" si="3"/>
        <v>0</v>
      </c>
      <c r="J89">
        <v>0</v>
      </c>
      <c r="K89">
        <f t="shared" si="4"/>
        <v>0</v>
      </c>
      <c r="L89">
        <f t="shared" si="5"/>
        <v>0</v>
      </c>
      <c r="M89">
        <v>1.65</v>
      </c>
    </row>
    <row r="90" spans="1:13" x14ac:dyDescent="0.2">
      <c r="A90" s="1">
        <v>44019</v>
      </c>
      <c r="B90">
        <v>32.305503999999999</v>
      </c>
      <c r="C90">
        <v>32.590133999999999</v>
      </c>
      <c r="D90">
        <v>32.220115999999997</v>
      </c>
      <c r="E90">
        <v>32.286529999999999</v>
      </c>
      <c r="F90">
        <v>31.307959</v>
      </c>
      <c r="G90">
        <v>25148018</v>
      </c>
      <c r="I90">
        <f t="shared" si="3"/>
        <v>-1.390891672486431E-2</v>
      </c>
      <c r="J90">
        <v>0</v>
      </c>
      <c r="K90">
        <f t="shared" si="4"/>
        <v>-1.390891672486431E-2</v>
      </c>
      <c r="L90">
        <f t="shared" si="5"/>
        <v>-1.3908916724864309</v>
      </c>
      <c r="M90">
        <v>-1.03</v>
      </c>
    </row>
    <row r="91" spans="1:13" x14ac:dyDescent="0.2">
      <c r="A91" s="1">
        <v>44020</v>
      </c>
      <c r="B91">
        <v>32.267550999999997</v>
      </c>
      <c r="C91">
        <v>32.609107999999999</v>
      </c>
      <c r="D91">
        <v>31.850096000000001</v>
      </c>
      <c r="E91">
        <v>32.020873999999999</v>
      </c>
      <c r="F91">
        <v>31.050353999999999</v>
      </c>
      <c r="G91">
        <v>24256545</v>
      </c>
      <c r="I91">
        <f t="shared" si="3"/>
        <v>-8.2280994427008682E-3</v>
      </c>
      <c r="J91">
        <v>0</v>
      </c>
      <c r="K91">
        <f t="shared" si="4"/>
        <v>-8.2280994427008682E-3</v>
      </c>
      <c r="L91">
        <f t="shared" si="5"/>
        <v>-0.8228099442700868</v>
      </c>
      <c r="M91">
        <v>0.91</v>
      </c>
    </row>
    <row r="92" spans="1:13" x14ac:dyDescent="0.2">
      <c r="A92" s="1">
        <v>44021</v>
      </c>
      <c r="B92">
        <v>32.001899999999999</v>
      </c>
      <c r="C92">
        <v>32.144215000000003</v>
      </c>
      <c r="D92">
        <v>31.404174999999999</v>
      </c>
      <c r="E92">
        <v>31.745730999999999</v>
      </c>
      <c r="F92">
        <v>30.783550000000002</v>
      </c>
      <c r="G92">
        <v>20363702</v>
      </c>
      <c r="I92">
        <f t="shared" si="3"/>
        <v>-8.5926234528597312E-3</v>
      </c>
      <c r="J92">
        <v>0</v>
      </c>
      <c r="K92">
        <f t="shared" si="4"/>
        <v>-8.5926234528597312E-3</v>
      </c>
      <c r="L92">
        <f t="shared" si="5"/>
        <v>-0.85926234528597312</v>
      </c>
      <c r="M92">
        <v>-0.53</v>
      </c>
    </row>
    <row r="93" spans="1:13" x14ac:dyDescent="0.2">
      <c r="A93" s="1">
        <v>44022</v>
      </c>
      <c r="B93">
        <v>31.935483999999999</v>
      </c>
      <c r="C93">
        <v>32.296016999999999</v>
      </c>
      <c r="D93">
        <v>31.774194999999999</v>
      </c>
      <c r="E93">
        <v>32.096775000000001</v>
      </c>
      <c r="F93">
        <v>31.123954999999999</v>
      </c>
      <c r="G93">
        <v>24459019</v>
      </c>
      <c r="I93">
        <f t="shared" si="3"/>
        <v>1.1058016375629092E-2</v>
      </c>
      <c r="J93">
        <v>0</v>
      </c>
      <c r="K93">
        <f t="shared" si="4"/>
        <v>1.1058016375629092E-2</v>
      </c>
      <c r="L93">
        <f t="shared" si="5"/>
        <v>1.1058016375629092</v>
      </c>
      <c r="M93">
        <v>1.1100000000000001</v>
      </c>
    </row>
    <row r="94" spans="1:13" x14ac:dyDescent="0.2">
      <c r="A94" s="1">
        <v>44025</v>
      </c>
      <c r="B94">
        <v>32.950665000000001</v>
      </c>
      <c r="C94">
        <v>33.889941999999998</v>
      </c>
      <c r="D94">
        <v>32.751423000000003</v>
      </c>
      <c r="E94">
        <v>33.406070999999997</v>
      </c>
      <c r="F94">
        <v>32.393566</v>
      </c>
      <c r="G94">
        <v>56569129</v>
      </c>
      <c r="I94">
        <f t="shared" si="3"/>
        <v>4.0792084425003226E-2</v>
      </c>
      <c r="J94">
        <v>0</v>
      </c>
      <c r="K94">
        <f t="shared" si="4"/>
        <v>4.0792084425003226E-2</v>
      </c>
      <c r="L94">
        <f t="shared" si="5"/>
        <v>4.079208442500323</v>
      </c>
      <c r="M94">
        <v>-1.2</v>
      </c>
    </row>
    <row r="95" spans="1:13" x14ac:dyDescent="0.2">
      <c r="A95" s="1">
        <v>44026</v>
      </c>
      <c r="B95">
        <v>33.557876999999998</v>
      </c>
      <c r="C95">
        <v>33.605311999999998</v>
      </c>
      <c r="D95">
        <v>33.092979</v>
      </c>
      <c r="E95">
        <v>33.425049000000001</v>
      </c>
      <c r="F95">
        <v>32.411971999999999</v>
      </c>
      <c r="G95">
        <v>32854129</v>
      </c>
      <c r="I95">
        <f t="shared" si="3"/>
        <v>5.6819925290098696E-4</v>
      </c>
      <c r="J95">
        <v>0</v>
      </c>
      <c r="K95">
        <f t="shared" si="4"/>
        <v>5.6819925290098696E-4</v>
      </c>
      <c r="L95">
        <f t="shared" si="5"/>
        <v>5.6819925290098695E-2</v>
      </c>
      <c r="M95">
        <v>1.35</v>
      </c>
    </row>
    <row r="96" spans="1:13" x14ac:dyDescent="0.2">
      <c r="A96" s="1">
        <v>44027</v>
      </c>
      <c r="B96">
        <v>34.146110999999998</v>
      </c>
      <c r="C96">
        <v>34.155597999999998</v>
      </c>
      <c r="D96">
        <v>33.652752</v>
      </c>
      <c r="E96">
        <v>33.889941999999998</v>
      </c>
      <c r="F96">
        <v>32.862774000000002</v>
      </c>
      <c r="G96">
        <v>26294454</v>
      </c>
      <c r="I96">
        <f t="shared" si="3"/>
        <v>1.3908502697706979E-2</v>
      </c>
      <c r="J96">
        <v>0</v>
      </c>
      <c r="K96">
        <f t="shared" si="4"/>
        <v>1.3908502697706979E-2</v>
      </c>
      <c r="L96">
        <f t="shared" si="5"/>
        <v>1.3908502697706979</v>
      </c>
      <c r="M96">
        <v>1.1399999999999999</v>
      </c>
    </row>
    <row r="97" spans="1:13" x14ac:dyDescent="0.2">
      <c r="A97" s="1">
        <v>44028</v>
      </c>
      <c r="B97">
        <v>33.776093000000003</v>
      </c>
      <c r="C97">
        <v>33.814041000000003</v>
      </c>
      <c r="D97">
        <v>33.453510000000001</v>
      </c>
      <c r="E97">
        <v>33.776093000000003</v>
      </c>
      <c r="F97">
        <v>32.752372999999999</v>
      </c>
      <c r="G97">
        <v>18421812</v>
      </c>
      <c r="I97">
        <f t="shared" si="3"/>
        <v>-3.3594546826753906E-3</v>
      </c>
      <c r="J97">
        <v>0</v>
      </c>
      <c r="K97">
        <f t="shared" si="4"/>
        <v>-3.3594546826753906E-3</v>
      </c>
      <c r="L97">
        <f t="shared" si="5"/>
        <v>-0.33594546826753907</v>
      </c>
      <c r="M97">
        <v>-0.37</v>
      </c>
    </row>
    <row r="98" spans="1:13" x14ac:dyDescent="0.2">
      <c r="A98" s="1">
        <v>44029</v>
      </c>
      <c r="B98">
        <v>34.022770000000001</v>
      </c>
      <c r="C98">
        <v>34.468693000000002</v>
      </c>
      <c r="D98">
        <v>33.899428999999998</v>
      </c>
      <c r="E98">
        <v>34.392788000000003</v>
      </c>
      <c r="F98">
        <v>33.350375999999997</v>
      </c>
      <c r="G98">
        <v>23347365</v>
      </c>
      <c r="I98">
        <f t="shared" si="3"/>
        <v>1.8258310626836062E-2</v>
      </c>
      <c r="J98">
        <v>0</v>
      </c>
      <c r="K98">
        <f t="shared" si="4"/>
        <v>1.8258310626836062E-2</v>
      </c>
      <c r="L98">
        <f t="shared" si="5"/>
        <v>1.8258310626836063</v>
      </c>
      <c r="M98">
        <v>0.3</v>
      </c>
    </row>
    <row r="99" spans="1:13" x14ac:dyDescent="0.2">
      <c r="A99" s="1">
        <v>44032</v>
      </c>
      <c r="B99">
        <v>35.56926</v>
      </c>
      <c r="C99">
        <v>35.692599999999999</v>
      </c>
      <c r="D99">
        <v>34.459201999999998</v>
      </c>
      <c r="E99">
        <v>34.629981999999998</v>
      </c>
      <c r="F99">
        <v>33.580379000000001</v>
      </c>
      <c r="G99">
        <v>36815693</v>
      </c>
      <c r="I99">
        <f t="shared" si="3"/>
        <v>6.8965639247966356E-3</v>
      </c>
      <c r="J99">
        <v>0</v>
      </c>
      <c r="K99">
        <f t="shared" si="4"/>
        <v>6.8965639247966356E-3</v>
      </c>
      <c r="L99">
        <f t="shared" si="5"/>
        <v>0.68965639247966359</v>
      </c>
      <c r="M99">
        <v>1.01</v>
      </c>
    </row>
    <row r="100" spans="1:13" x14ac:dyDescent="0.2">
      <c r="A100" s="1">
        <v>44033</v>
      </c>
      <c r="B100">
        <v>35.047440000000002</v>
      </c>
      <c r="C100">
        <v>35.180267000000001</v>
      </c>
      <c r="D100">
        <v>34.648955999999998</v>
      </c>
      <c r="E100">
        <v>34.810245999999999</v>
      </c>
      <c r="F100">
        <v>33.755180000000003</v>
      </c>
      <c r="G100">
        <v>23646912</v>
      </c>
      <c r="I100">
        <f t="shared" si="3"/>
        <v>5.2054504804726056E-3</v>
      </c>
      <c r="J100">
        <v>0</v>
      </c>
      <c r="K100">
        <f t="shared" si="4"/>
        <v>5.2054504804726056E-3</v>
      </c>
      <c r="L100">
        <f t="shared" si="5"/>
        <v>0.52054504804726054</v>
      </c>
      <c r="M100">
        <v>0.16</v>
      </c>
    </row>
    <row r="101" spans="1:13" x14ac:dyDescent="0.2">
      <c r="A101" s="1">
        <v>44034</v>
      </c>
      <c r="B101">
        <v>36.271346999999999</v>
      </c>
      <c r="C101">
        <v>36.745730999999999</v>
      </c>
      <c r="D101">
        <v>35.597721</v>
      </c>
      <c r="E101">
        <v>36.584437999999999</v>
      </c>
      <c r="F101">
        <v>35.475600999999997</v>
      </c>
      <c r="G101">
        <v>90705554</v>
      </c>
      <c r="I101">
        <f t="shared" si="3"/>
        <v>5.0967614452063194E-2</v>
      </c>
      <c r="J101">
        <v>0</v>
      </c>
      <c r="K101">
        <f t="shared" si="4"/>
        <v>5.0967614452063194E-2</v>
      </c>
      <c r="L101">
        <f t="shared" si="5"/>
        <v>5.0967614452063197</v>
      </c>
      <c r="M101">
        <v>0.49</v>
      </c>
    </row>
    <row r="102" spans="1:13" x14ac:dyDescent="0.2">
      <c r="A102" s="1">
        <v>44035</v>
      </c>
      <c r="B102">
        <v>37.220115999999997</v>
      </c>
      <c r="C102">
        <v>37.400379000000001</v>
      </c>
      <c r="D102">
        <v>36.223906999999997</v>
      </c>
      <c r="E102">
        <v>36.442123000000002</v>
      </c>
      <c r="F102">
        <v>35.337600999999999</v>
      </c>
      <c r="G102">
        <v>59639536</v>
      </c>
      <c r="I102">
        <f t="shared" si="3"/>
        <v>-3.8899975225225396E-3</v>
      </c>
      <c r="J102">
        <v>0</v>
      </c>
      <c r="K102">
        <f t="shared" si="4"/>
        <v>-3.8899975225225396E-3</v>
      </c>
      <c r="L102">
        <f t="shared" si="5"/>
        <v>-0.38899975225225397</v>
      </c>
      <c r="M102">
        <v>-1.2</v>
      </c>
    </row>
    <row r="103" spans="1:13" x14ac:dyDescent="0.2">
      <c r="A103" s="1">
        <v>44036</v>
      </c>
      <c r="B103">
        <v>36.081592999999998</v>
      </c>
      <c r="C103">
        <v>36.195445999999997</v>
      </c>
      <c r="D103">
        <v>35.417458000000003</v>
      </c>
      <c r="E103">
        <v>35.730549000000003</v>
      </c>
      <c r="F103">
        <v>34.647593999999998</v>
      </c>
      <c r="G103">
        <v>33870501</v>
      </c>
      <c r="I103">
        <f t="shared" si="3"/>
        <v>-1.9526141573673928E-2</v>
      </c>
      <c r="J103">
        <v>0</v>
      </c>
      <c r="K103">
        <f t="shared" si="4"/>
        <v>-1.9526141573673928E-2</v>
      </c>
      <c r="L103">
        <f t="shared" si="5"/>
        <v>-1.9526141573673927</v>
      </c>
      <c r="M103">
        <v>-0.75</v>
      </c>
    </row>
    <row r="104" spans="1:13" x14ac:dyDescent="0.2">
      <c r="A104" s="1">
        <v>44039</v>
      </c>
      <c r="B104">
        <v>35.445919000000004</v>
      </c>
      <c r="C104">
        <v>35.815941000000002</v>
      </c>
      <c r="D104">
        <v>35.322581999999997</v>
      </c>
      <c r="E104">
        <v>35.616698999999997</v>
      </c>
      <c r="F104">
        <v>34.537193000000002</v>
      </c>
      <c r="G104">
        <v>27640307</v>
      </c>
      <c r="I104">
        <f t="shared" si="3"/>
        <v>-3.1863973007763822E-3</v>
      </c>
      <c r="J104">
        <v>0</v>
      </c>
      <c r="K104">
        <f t="shared" si="4"/>
        <v>-3.1863973007763822E-3</v>
      </c>
      <c r="L104">
        <f t="shared" si="5"/>
        <v>-0.31863973007763824</v>
      </c>
      <c r="M104">
        <v>0.88</v>
      </c>
    </row>
    <row r="105" spans="1:13" x14ac:dyDescent="0.2">
      <c r="A105" s="1">
        <v>44040</v>
      </c>
      <c r="B105">
        <v>36.565463999999999</v>
      </c>
      <c r="C105">
        <v>37.324477999999999</v>
      </c>
      <c r="D105">
        <v>36.110058000000002</v>
      </c>
      <c r="E105">
        <v>37.020873999999999</v>
      </c>
      <c r="F105">
        <v>35.898808000000002</v>
      </c>
      <c r="G105">
        <v>56393954</v>
      </c>
      <c r="I105">
        <f t="shared" si="3"/>
        <v>3.9424599445589001E-2</v>
      </c>
      <c r="J105">
        <v>0</v>
      </c>
      <c r="K105">
        <f t="shared" si="4"/>
        <v>3.9424599445589001E-2</v>
      </c>
      <c r="L105">
        <f t="shared" si="5"/>
        <v>3.9424599445588999</v>
      </c>
      <c r="M105">
        <v>-0.81</v>
      </c>
    </row>
    <row r="106" spans="1:13" x14ac:dyDescent="0.2">
      <c r="A106" s="1">
        <v>44041</v>
      </c>
      <c r="B106">
        <v>37.286529999999999</v>
      </c>
      <c r="C106">
        <v>37.428843999999998</v>
      </c>
      <c r="D106">
        <v>36.480075999999997</v>
      </c>
      <c r="E106">
        <v>37.248576999999997</v>
      </c>
      <c r="F106">
        <v>36.119613999999999</v>
      </c>
      <c r="G106">
        <v>37033660</v>
      </c>
      <c r="I106">
        <f t="shared" si="3"/>
        <v>6.1507891849778423E-3</v>
      </c>
      <c r="J106">
        <v>0</v>
      </c>
      <c r="K106">
        <f t="shared" si="4"/>
        <v>6.1507891849778423E-3</v>
      </c>
      <c r="L106">
        <f t="shared" si="5"/>
        <v>0.61507891849778429</v>
      </c>
      <c r="M106">
        <v>1.35</v>
      </c>
    </row>
    <row r="107" spans="1:13" x14ac:dyDescent="0.2">
      <c r="A107" s="1">
        <v>44042</v>
      </c>
      <c r="B107">
        <v>36.318787</v>
      </c>
      <c r="C107">
        <v>36.944972999999997</v>
      </c>
      <c r="D107">
        <v>36.242885999999999</v>
      </c>
      <c r="E107">
        <v>36.755218999999997</v>
      </c>
      <c r="F107">
        <v>35.989552000000003</v>
      </c>
      <c r="G107">
        <v>32273796</v>
      </c>
      <c r="I107">
        <f t="shared" si="3"/>
        <v>-3.6008690458318639E-3</v>
      </c>
      <c r="J107">
        <v>0</v>
      </c>
      <c r="K107">
        <f t="shared" si="4"/>
        <v>-3.6008690458318639E-3</v>
      </c>
      <c r="L107">
        <f t="shared" si="5"/>
        <v>-0.36008690458318637</v>
      </c>
      <c r="M107">
        <v>-0.28999999999999998</v>
      </c>
    </row>
    <row r="108" spans="1:13" x14ac:dyDescent="0.2">
      <c r="A108" s="1">
        <v>44043</v>
      </c>
      <c r="B108">
        <v>36.318787</v>
      </c>
      <c r="C108">
        <v>36.764705999999997</v>
      </c>
      <c r="D108">
        <v>35.920302999999997</v>
      </c>
      <c r="E108">
        <v>36.508536999999997</v>
      </c>
      <c r="F108">
        <v>35.748009000000003</v>
      </c>
      <c r="G108">
        <v>28503006</v>
      </c>
      <c r="I108">
        <f t="shared" si="3"/>
        <v>-6.7114755971399709E-3</v>
      </c>
      <c r="J108">
        <v>0</v>
      </c>
      <c r="K108">
        <f t="shared" si="4"/>
        <v>-6.7114755971399709E-3</v>
      </c>
      <c r="L108">
        <f t="shared" si="5"/>
        <v>-0.67114755971399709</v>
      </c>
      <c r="M108">
        <v>0.61</v>
      </c>
    </row>
    <row r="109" spans="1:13" x14ac:dyDescent="0.2">
      <c r="A109" s="1">
        <v>44046</v>
      </c>
      <c r="B109">
        <v>36.631878</v>
      </c>
      <c r="C109">
        <v>36.679316999999998</v>
      </c>
      <c r="D109">
        <v>36.261859999999999</v>
      </c>
      <c r="E109">
        <v>36.385201000000002</v>
      </c>
      <c r="F109">
        <v>35.627243</v>
      </c>
      <c r="G109">
        <v>31036400</v>
      </c>
      <c r="I109">
        <f t="shared" si="3"/>
        <v>-3.3782580730580898E-3</v>
      </c>
      <c r="J109">
        <v>0</v>
      </c>
      <c r="K109">
        <f t="shared" si="4"/>
        <v>-3.3782580730580898E-3</v>
      </c>
      <c r="L109">
        <f t="shared" si="5"/>
        <v>-0.33782580730580897</v>
      </c>
      <c r="M109">
        <v>0.98</v>
      </c>
    </row>
    <row r="110" spans="1:13" x14ac:dyDescent="0.2">
      <c r="A110" s="1">
        <v>44047</v>
      </c>
      <c r="B110">
        <v>36.347248</v>
      </c>
      <c r="C110">
        <v>36.698292000000002</v>
      </c>
      <c r="D110">
        <v>36.138519000000002</v>
      </c>
      <c r="E110">
        <v>36.423149000000002</v>
      </c>
      <c r="F110">
        <v>35.664397999999998</v>
      </c>
      <c r="G110">
        <v>29448549</v>
      </c>
      <c r="I110">
        <f t="shared" si="3"/>
        <v>1.0428817071250361E-3</v>
      </c>
      <c r="J110">
        <v>0</v>
      </c>
      <c r="K110">
        <f t="shared" si="4"/>
        <v>1.0428817071250361E-3</v>
      </c>
      <c r="L110">
        <f t="shared" si="5"/>
        <v>0.10428817071250361</v>
      </c>
      <c r="M110">
        <v>0.37</v>
      </c>
    </row>
    <row r="111" spans="1:13" x14ac:dyDescent="0.2">
      <c r="A111" s="1">
        <v>44048</v>
      </c>
      <c r="B111">
        <v>36.499049999999997</v>
      </c>
      <c r="C111">
        <v>36.555976999999999</v>
      </c>
      <c r="D111">
        <v>36.176471999999997</v>
      </c>
      <c r="E111">
        <v>36.480075999999997</v>
      </c>
      <c r="F111">
        <v>35.720139000000003</v>
      </c>
      <c r="G111">
        <v>24604787</v>
      </c>
      <c r="I111">
        <f t="shared" si="3"/>
        <v>1.5629311898102054E-3</v>
      </c>
      <c r="J111">
        <v>0</v>
      </c>
      <c r="K111">
        <f t="shared" si="4"/>
        <v>1.5629311898102054E-3</v>
      </c>
      <c r="L111">
        <f t="shared" si="5"/>
        <v>0.15629311898102052</v>
      </c>
      <c r="M111">
        <v>0.78</v>
      </c>
    </row>
    <row r="112" spans="1:13" x14ac:dyDescent="0.2">
      <c r="A112" s="1">
        <v>44049</v>
      </c>
      <c r="B112">
        <v>36.783679999999997</v>
      </c>
      <c r="C112">
        <v>37.096775000000001</v>
      </c>
      <c r="D112">
        <v>36.195445999999997</v>
      </c>
      <c r="E112">
        <v>36.309299000000003</v>
      </c>
      <c r="F112">
        <v>35.552920999999998</v>
      </c>
      <c r="G112">
        <v>20922111</v>
      </c>
      <c r="I112">
        <f t="shared" si="3"/>
        <v>-4.6813367663548402E-3</v>
      </c>
      <c r="J112">
        <v>0</v>
      </c>
      <c r="K112">
        <f t="shared" si="4"/>
        <v>-4.6813367663548402E-3</v>
      </c>
      <c r="L112">
        <f t="shared" si="5"/>
        <v>-0.468133676635484</v>
      </c>
      <c r="M112">
        <v>0.53</v>
      </c>
    </row>
    <row r="113" spans="1:13" x14ac:dyDescent="0.2">
      <c r="A113" s="1">
        <v>44050</v>
      </c>
      <c r="B113">
        <v>36.337761</v>
      </c>
      <c r="C113">
        <v>36.641365</v>
      </c>
      <c r="D113">
        <v>36.204932999999997</v>
      </c>
      <c r="E113">
        <v>36.480075999999997</v>
      </c>
      <c r="F113">
        <v>35.720139000000003</v>
      </c>
      <c r="G113">
        <v>23097251</v>
      </c>
      <c r="I113">
        <f t="shared" si="3"/>
        <v>4.7033547538894325E-3</v>
      </c>
      <c r="J113">
        <v>0</v>
      </c>
      <c r="K113">
        <f t="shared" si="4"/>
        <v>4.7033547538894325E-3</v>
      </c>
      <c r="L113">
        <f t="shared" si="5"/>
        <v>0.47033547538894327</v>
      </c>
      <c r="M113">
        <v>0.02</v>
      </c>
    </row>
    <row r="114" spans="1:13" x14ac:dyDescent="0.2">
      <c r="A114" s="1">
        <v>44053</v>
      </c>
      <c r="B114">
        <v>36.574950999999999</v>
      </c>
      <c r="C114">
        <v>36.679316999999998</v>
      </c>
      <c r="D114">
        <v>36.299809000000003</v>
      </c>
      <c r="E114">
        <v>36.423149000000002</v>
      </c>
      <c r="F114">
        <v>35.664397999999998</v>
      </c>
      <c r="G114">
        <v>19964552</v>
      </c>
      <c r="I114">
        <f t="shared" si="3"/>
        <v>-1.5604922478046543E-3</v>
      </c>
      <c r="J114">
        <v>0</v>
      </c>
      <c r="K114">
        <f t="shared" si="4"/>
        <v>-1.5604922478046543E-3</v>
      </c>
      <c r="L114">
        <f t="shared" si="5"/>
        <v>-0.15604922478046543</v>
      </c>
      <c r="M114">
        <v>0.24</v>
      </c>
    </row>
    <row r="115" spans="1:13" x14ac:dyDescent="0.2">
      <c r="A115" s="1">
        <v>44054</v>
      </c>
      <c r="B115">
        <v>36.584437999999999</v>
      </c>
      <c r="C115">
        <v>36.603416000000003</v>
      </c>
      <c r="D115">
        <v>35.74004</v>
      </c>
      <c r="E115">
        <v>35.853889000000002</v>
      </c>
      <c r="F115">
        <v>35.106994999999998</v>
      </c>
      <c r="G115">
        <v>21326847</v>
      </c>
      <c r="I115">
        <f t="shared" si="3"/>
        <v>-1.5629115623934008E-2</v>
      </c>
      <c r="J115">
        <v>0</v>
      </c>
      <c r="K115">
        <f t="shared" si="4"/>
        <v>-1.5629115623934008E-2</v>
      </c>
      <c r="L115">
        <f t="shared" si="5"/>
        <v>-1.5629115623934007</v>
      </c>
      <c r="M115">
        <v>-0.83</v>
      </c>
    </row>
    <row r="116" spans="1:13" x14ac:dyDescent="0.2">
      <c r="A116" s="1">
        <v>44055</v>
      </c>
      <c r="B116">
        <v>35.891841999999997</v>
      </c>
      <c r="C116">
        <v>36.574950999999999</v>
      </c>
      <c r="D116">
        <v>35.872864</v>
      </c>
      <c r="E116">
        <v>36.366222</v>
      </c>
      <c r="F116">
        <v>35.608657999999998</v>
      </c>
      <c r="G116">
        <v>19965817</v>
      </c>
      <c r="I116">
        <f t="shared" si="3"/>
        <v>1.4289545431045884E-2</v>
      </c>
      <c r="J116">
        <v>0</v>
      </c>
      <c r="K116">
        <f t="shared" si="4"/>
        <v>1.4289545431045884E-2</v>
      </c>
      <c r="L116">
        <f t="shared" si="5"/>
        <v>1.4289545431045885</v>
      </c>
      <c r="M116">
        <v>1.4</v>
      </c>
    </row>
    <row r="117" spans="1:13" x14ac:dyDescent="0.2">
      <c r="A117" s="1">
        <v>44056</v>
      </c>
      <c r="B117">
        <v>36.119545000000002</v>
      </c>
      <c r="C117">
        <v>36.223906999999997</v>
      </c>
      <c r="D117">
        <v>35.939278000000002</v>
      </c>
      <c r="E117">
        <v>36.214419999999997</v>
      </c>
      <c r="F117">
        <v>35.460017999999998</v>
      </c>
      <c r="G117">
        <v>15340021</v>
      </c>
      <c r="I117">
        <f t="shared" si="3"/>
        <v>-4.1742657080758375E-3</v>
      </c>
      <c r="J117">
        <v>0</v>
      </c>
      <c r="K117">
        <f t="shared" si="4"/>
        <v>-4.1742657080758375E-3</v>
      </c>
      <c r="L117">
        <f t="shared" si="5"/>
        <v>-0.41742657080758372</v>
      </c>
      <c r="M117">
        <v>-0.01</v>
      </c>
    </row>
    <row r="118" spans="1:13" x14ac:dyDescent="0.2">
      <c r="A118" s="1">
        <v>44057</v>
      </c>
      <c r="B118">
        <v>36.062618000000001</v>
      </c>
      <c r="C118">
        <v>36.423149000000002</v>
      </c>
      <c r="D118">
        <v>35.986716999999999</v>
      </c>
      <c r="E118">
        <v>36.110058000000002</v>
      </c>
      <c r="F118">
        <v>35.35783</v>
      </c>
      <c r="G118">
        <v>12901276</v>
      </c>
      <c r="I118">
        <f t="shared" si="3"/>
        <v>-2.8817808270711585E-3</v>
      </c>
      <c r="J118">
        <v>0</v>
      </c>
      <c r="K118">
        <f t="shared" si="4"/>
        <v>-2.8817808270711585E-3</v>
      </c>
      <c r="L118">
        <f t="shared" si="5"/>
        <v>-0.28817808270711587</v>
      </c>
      <c r="M118">
        <v>-0.04</v>
      </c>
    </row>
    <row r="119" spans="1:13" x14ac:dyDescent="0.2">
      <c r="A119" s="1">
        <v>44060</v>
      </c>
      <c r="B119">
        <v>36.091084000000002</v>
      </c>
      <c r="C119">
        <v>36.442123000000002</v>
      </c>
      <c r="D119">
        <v>36.005692000000003</v>
      </c>
      <c r="E119">
        <v>36.385201000000002</v>
      </c>
      <c r="F119">
        <v>35.627243</v>
      </c>
      <c r="G119">
        <v>17494187</v>
      </c>
      <c r="I119">
        <f t="shared" si="3"/>
        <v>7.6196135339753638E-3</v>
      </c>
      <c r="J119">
        <v>0</v>
      </c>
      <c r="K119">
        <f t="shared" si="4"/>
        <v>7.6196135339753638E-3</v>
      </c>
      <c r="L119">
        <f t="shared" si="5"/>
        <v>0.76196135339753635</v>
      </c>
      <c r="M119">
        <v>0.45</v>
      </c>
    </row>
    <row r="120" spans="1:13" x14ac:dyDescent="0.2">
      <c r="A120" s="1">
        <v>44061</v>
      </c>
      <c r="B120">
        <v>36.480075999999997</v>
      </c>
      <c r="C120">
        <v>36.489562999999997</v>
      </c>
      <c r="D120">
        <v>36.214419999999997</v>
      </c>
      <c r="E120">
        <v>36.394688000000002</v>
      </c>
      <c r="F120">
        <v>35.636527999999998</v>
      </c>
      <c r="G120">
        <v>10846398</v>
      </c>
      <c r="I120">
        <f t="shared" si="3"/>
        <v>2.6061517025042981E-4</v>
      </c>
      <c r="J120">
        <v>0</v>
      </c>
      <c r="K120">
        <f t="shared" si="4"/>
        <v>2.6061517025042981E-4</v>
      </c>
      <c r="L120">
        <f t="shared" si="5"/>
        <v>2.6061517025042981E-2</v>
      </c>
      <c r="M120">
        <v>0.22</v>
      </c>
    </row>
    <row r="121" spans="1:13" x14ac:dyDescent="0.2">
      <c r="A121" s="1">
        <v>44062</v>
      </c>
      <c r="B121">
        <v>36.508536999999997</v>
      </c>
      <c r="C121">
        <v>36.631878</v>
      </c>
      <c r="D121">
        <v>36.166984999999997</v>
      </c>
      <c r="E121">
        <v>36.299809000000003</v>
      </c>
      <c r="F121">
        <v>35.543629000000003</v>
      </c>
      <c r="G121">
        <v>15690055</v>
      </c>
      <c r="I121">
        <f t="shared" si="3"/>
        <v>-2.6068476704575604E-3</v>
      </c>
      <c r="J121">
        <v>0</v>
      </c>
      <c r="K121">
        <f t="shared" si="4"/>
        <v>-2.6068476704575604E-3</v>
      </c>
      <c r="L121">
        <f t="shared" si="5"/>
        <v>-0.26068476704575605</v>
      </c>
      <c r="M121">
        <v>-0.38</v>
      </c>
    </row>
    <row r="122" spans="1:13" x14ac:dyDescent="0.2">
      <c r="A122" s="1">
        <v>44063</v>
      </c>
      <c r="B122">
        <v>36.223906999999997</v>
      </c>
      <c r="C122">
        <v>36.802658000000001</v>
      </c>
      <c r="D122">
        <v>36.176471999999997</v>
      </c>
      <c r="E122">
        <v>36.736243999999999</v>
      </c>
      <c r="F122">
        <v>35.970973999999998</v>
      </c>
      <c r="G122">
        <v>21957455</v>
      </c>
      <c r="I122">
        <f t="shared" si="3"/>
        <v>1.2023111089753817E-2</v>
      </c>
      <c r="J122">
        <v>0</v>
      </c>
      <c r="K122">
        <f t="shared" si="4"/>
        <v>1.2023111089753817E-2</v>
      </c>
      <c r="L122">
        <f t="shared" si="5"/>
        <v>1.2023111089753817</v>
      </c>
      <c r="M122">
        <v>0.31</v>
      </c>
    </row>
    <row r="123" spans="1:13" x14ac:dyDescent="0.2">
      <c r="A123" s="1">
        <v>44064</v>
      </c>
      <c r="B123">
        <v>36.916508</v>
      </c>
      <c r="C123">
        <v>37.001899999999999</v>
      </c>
      <c r="D123">
        <v>36.593929000000003</v>
      </c>
      <c r="E123">
        <v>36.888046000000003</v>
      </c>
      <c r="F123">
        <v>36.119613999999999</v>
      </c>
      <c r="G123">
        <v>25467170</v>
      </c>
      <c r="I123">
        <f t="shared" si="3"/>
        <v>4.1322206065368241E-3</v>
      </c>
      <c r="J123">
        <v>0</v>
      </c>
      <c r="K123">
        <f t="shared" si="4"/>
        <v>4.1322206065368241E-3</v>
      </c>
      <c r="L123">
        <f t="shared" si="5"/>
        <v>0.41322206065368239</v>
      </c>
      <c r="M123">
        <v>0.25</v>
      </c>
    </row>
    <row r="124" spans="1:13" x14ac:dyDescent="0.2">
      <c r="A124" s="1">
        <v>44067</v>
      </c>
      <c r="B124">
        <v>37.020873999999999</v>
      </c>
      <c r="C124">
        <v>37.039847999999999</v>
      </c>
      <c r="D124">
        <v>36.565463999999999</v>
      </c>
      <c r="E124">
        <v>36.850093999999999</v>
      </c>
      <c r="F124">
        <v>36.082450999999999</v>
      </c>
      <c r="G124">
        <v>25011947</v>
      </c>
      <c r="I124">
        <f t="shared" si="3"/>
        <v>-1.0288869642958978E-3</v>
      </c>
      <c r="J124">
        <v>0</v>
      </c>
      <c r="K124">
        <f t="shared" si="4"/>
        <v>-1.0288869642958978E-3</v>
      </c>
      <c r="L124">
        <f t="shared" si="5"/>
        <v>-0.10288869642958978</v>
      </c>
      <c r="M124">
        <v>0.92</v>
      </c>
    </row>
    <row r="125" spans="1:13" x14ac:dyDescent="0.2">
      <c r="A125" s="1">
        <v>44068</v>
      </c>
      <c r="B125">
        <v>36.537002999999999</v>
      </c>
      <c r="C125">
        <v>36.584437999999999</v>
      </c>
      <c r="D125">
        <v>36.005692000000003</v>
      </c>
      <c r="E125">
        <v>36.442123000000002</v>
      </c>
      <c r="F125">
        <v>35.682980000000001</v>
      </c>
      <c r="G125">
        <v>26221201</v>
      </c>
      <c r="I125">
        <f t="shared" si="3"/>
        <v>-1.107106055517122E-2</v>
      </c>
      <c r="J125">
        <v>0</v>
      </c>
      <c r="K125">
        <f t="shared" si="4"/>
        <v>-1.107106055517122E-2</v>
      </c>
      <c r="L125">
        <f t="shared" si="5"/>
        <v>-1.1071060555171219</v>
      </c>
      <c r="M125">
        <v>0.36</v>
      </c>
    </row>
    <row r="126" spans="1:13" x14ac:dyDescent="0.2">
      <c r="A126" s="1">
        <v>44069</v>
      </c>
      <c r="B126">
        <v>36.233398000000001</v>
      </c>
      <c r="C126">
        <v>36.309299000000003</v>
      </c>
      <c r="D126">
        <v>35.730549000000003</v>
      </c>
      <c r="E126">
        <v>36.100571000000002</v>
      </c>
      <c r="F126">
        <v>35.348540999999997</v>
      </c>
      <c r="G126">
        <v>24083689</v>
      </c>
      <c r="I126">
        <f t="shared" si="3"/>
        <v>-9.3725075652314697E-3</v>
      </c>
      <c r="J126">
        <v>0</v>
      </c>
      <c r="K126">
        <f t="shared" si="4"/>
        <v>-9.3725075652314697E-3</v>
      </c>
      <c r="L126">
        <f t="shared" si="5"/>
        <v>-0.93725075652314693</v>
      </c>
      <c r="M126">
        <v>1</v>
      </c>
    </row>
    <row r="127" spans="1:13" x14ac:dyDescent="0.2">
      <c r="A127" s="1">
        <v>44070</v>
      </c>
      <c r="B127">
        <v>36.015179000000003</v>
      </c>
      <c r="C127">
        <v>36.053131</v>
      </c>
      <c r="D127">
        <v>35.749527</v>
      </c>
      <c r="E127">
        <v>35.920302999999997</v>
      </c>
      <c r="F127">
        <v>35.172027999999997</v>
      </c>
      <c r="G127">
        <v>22156556</v>
      </c>
      <c r="I127">
        <f t="shared" si="3"/>
        <v>-4.9935017119942778E-3</v>
      </c>
      <c r="J127">
        <v>0</v>
      </c>
      <c r="K127">
        <f t="shared" si="4"/>
        <v>-4.9935017119942778E-3</v>
      </c>
      <c r="L127">
        <f t="shared" si="5"/>
        <v>-0.49935017119942776</v>
      </c>
      <c r="M127">
        <v>0.18</v>
      </c>
    </row>
    <row r="128" spans="1:13" x14ac:dyDescent="0.2">
      <c r="A128" s="1">
        <v>44071</v>
      </c>
      <c r="B128">
        <v>35.929789999999997</v>
      </c>
      <c r="C128">
        <v>36.110058000000002</v>
      </c>
      <c r="D128">
        <v>35.483871000000001</v>
      </c>
      <c r="E128">
        <v>35.967742999999999</v>
      </c>
      <c r="F128">
        <v>35.218482999999999</v>
      </c>
      <c r="G128">
        <v>32830519</v>
      </c>
      <c r="I128">
        <f t="shared" si="3"/>
        <v>1.3207938990609724E-3</v>
      </c>
      <c r="J128">
        <v>0</v>
      </c>
      <c r="K128">
        <f t="shared" si="4"/>
        <v>1.3207938990609724E-3</v>
      </c>
      <c r="L128">
        <f t="shared" si="5"/>
        <v>0.13207938990609724</v>
      </c>
      <c r="M128">
        <v>0.7</v>
      </c>
    </row>
    <row r="129" spans="1:13" x14ac:dyDescent="0.2">
      <c r="A129" s="1">
        <v>44074</v>
      </c>
      <c r="B129">
        <v>35.901328999999997</v>
      </c>
      <c r="C129">
        <v>36.072105000000001</v>
      </c>
      <c r="D129">
        <v>35.578747</v>
      </c>
      <c r="E129">
        <v>35.853889000000002</v>
      </c>
      <c r="F129">
        <v>35.106994999999998</v>
      </c>
      <c r="G129">
        <v>30032465</v>
      </c>
      <c r="I129">
        <f t="shared" si="3"/>
        <v>-3.1656105119576379E-3</v>
      </c>
      <c r="J129">
        <v>0</v>
      </c>
      <c r="K129">
        <f t="shared" si="4"/>
        <v>-3.1656105119576379E-3</v>
      </c>
      <c r="L129">
        <f t="shared" si="5"/>
        <v>-0.31656105119576378</v>
      </c>
      <c r="M129">
        <v>-0.04</v>
      </c>
    </row>
    <row r="130" spans="1:13" x14ac:dyDescent="0.2">
      <c r="A130" s="1">
        <v>44075</v>
      </c>
      <c r="B130">
        <v>35.853889000000002</v>
      </c>
      <c r="C130">
        <v>35.882354999999997</v>
      </c>
      <c r="D130">
        <v>34.639468999999998</v>
      </c>
      <c r="E130">
        <v>34.990513</v>
      </c>
      <c r="F130">
        <v>34.261603999999998</v>
      </c>
      <c r="G130">
        <v>36161475</v>
      </c>
      <c r="I130">
        <f t="shared" si="3"/>
        <v>-2.4080414743557498E-2</v>
      </c>
      <c r="J130">
        <v>0</v>
      </c>
      <c r="K130">
        <f t="shared" si="4"/>
        <v>-2.4080414743557498E-2</v>
      </c>
      <c r="L130">
        <f t="shared" si="5"/>
        <v>-2.4080414743557497</v>
      </c>
      <c r="M130">
        <v>0.92</v>
      </c>
    </row>
    <row r="131" spans="1:13" x14ac:dyDescent="0.2">
      <c r="A131" s="1">
        <v>44076</v>
      </c>
      <c r="B131">
        <v>34.886147000000001</v>
      </c>
      <c r="C131">
        <v>35.388992000000002</v>
      </c>
      <c r="D131">
        <v>34.535102999999999</v>
      </c>
      <c r="E131">
        <v>35.294117</v>
      </c>
      <c r="F131">
        <v>34.558886999999999</v>
      </c>
      <c r="G131">
        <v>29068688</v>
      </c>
      <c r="I131">
        <f t="shared" si="3"/>
        <v>8.6768558763331751E-3</v>
      </c>
      <c r="J131">
        <v>0</v>
      </c>
      <c r="K131">
        <f t="shared" si="4"/>
        <v>8.6768558763331751E-3</v>
      </c>
      <c r="L131">
        <f t="shared" si="5"/>
        <v>0.86768558763331749</v>
      </c>
      <c r="M131">
        <v>1.27</v>
      </c>
    </row>
    <row r="132" spans="1:13" x14ac:dyDescent="0.2">
      <c r="A132" s="1">
        <v>44077</v>
      </c>
      <c r="B132">
        <v>35.455406000000004</v>
      </c>
      <c r="C132">
        <v>35.56926</v>
      </c>
      <c r="D132">
        <v>34.250473</v>
      </c>
      <c r="E132">
        <v>34.535102999999999</v>
      </c>
      <c r="F132">
        <v>33.815685000000002</v>
      </c>
      <c r="G132">
        <v>35956788</v>
      </c>
      <c r="I132">
        <f t="shared" ref="I132:I195" si="6">(F132-F131)/F131</f>
        <v>-2.1505380077778448E-2</v>
      </c>
      <c r="J132">
        <v>0</v>
      </c>
      <c r="K132">
        <f t="shared" ref="K132:K195" si="7">I132-J132</f>
        <v>-2.1505380077778448E-2</v>
      </c>
      <c r="L132">
        <f t="shared" ref="L132:L195" si="8">100*K132</f>
        <v>-2.1505380077778447</v>
      </c>
      <c r="M132">
        <v>-3.7</v>
      </c>
    </row>
    <row r="133" spans="1:13" x14ac:dyDescent="0.2">
      <c r="A133" s="1">
        <v>44078</v>
      </c>
      <c r="B133">
        <v>34.620494999999998</v>
      </c>
      <c r="C133">
        <v>34.753323000000002</v>
      </c>
      <c r="D133">
        <v>34.032257000000001</v>
      </c>
      <c r="E133">
        <v>34.497154000000002</v>
      </c>
      <c r="F133">
        <v>33.778525999999999</v>
      </c>
      <c r="G133">
        <v>26872257</v>
      </c>
      <c r="I133">
        <f t="shared" si="6"/>
        <v>-1.0988687645985171E-3</v>
      </c>
      <c r="J133">
        <v>0</v>
      </c>
      <c r="K133">
        <f t="shared" si="7"/>
        <v>-1.0988687645985171E-3</v>
      </c>
      <c r="L133">
        <f t="shared" si="8"/>
        <v>-0.10988687645985171</v>
      </c>
      <c r="M133">
        <v>-0.87</v>
      </c>
    </row>
    <row r="134" spans="1:13" x14ac:dyDescent="0.2">
      <c r="A134" s="1">
        <v>44082</v>
      </c>
      <c r="B134">
        <v>34.658442999999998</v>
      </c>
      <c r="C134">
        <v>34.734344</v>
      </c>
      <c r="D134">
        <v>33.851993999999998</v>
      </c>
      <c r="E134">
        <v>34.089184000000003</v>
      </c>
      <c r="F134">
        <v>33.379055000000001</v>
      </c>
      <c r="G134">
        <v>26736818</v>
      </c>
      <c r="I134">
        <f t="shared" si="6"/>
        <v>-1.1826182113452741E-2</v>
      </c>
      <c r="J134">
        <v>0</v>
      </c>
      <c r="K134">
        <f t="shared" si="7"/>
        <v>-1.1826182113452741E-2</v>
      </c>
      <c r="L134">
        <f t="shared" si="8"/>
        <v>-1.1826182113452741</v>
      </c>
      <c r="M134">
        <v>-2.91</v>
      </c>
    </row>
    <row r="135" spans="1:13" x14ac:dyDescent="0.2">
      <c r="A135" s="1">
        <v>44083</v>
      </c>
      <c r="B135">
        <v>34.43074</v>
      </c>
      <c r="C135">
        <v>34.772297000000002</v>
      </c>
      <c r="D135">
        <v>34.288424999999997</v>
      </c>
      <c r="E135">
        <v>34.326377999999998</v>
      </c>
      <c r="F135">
        <v>33.611308999999999</v>
      </c>
      <c r="G135">
        <v>27490533</v>
      </c>
      <c r="I135">
        <f t="shared" si="6"/>
        <v>6.9580759551160906E-3</v>
      </c>
      <c r="J135">
        <v>0</v>
      </c>
      <c r="K135">
        <f t="shared" si="7"/>
        <v>6.9580759551160906E-3</v>
      </c>
      <c r="L135">
        <f t="shared" si="8"/>
        <v>0.69580759551160909</v>
      </c>
      <c r="M135">
        <v>2.0699999999999998</v>
      </c>
    </row>
    <row r="136" spans="1:13" x14ac:dyDescent="0.2">
      <c r="A136" s="1">
        <v>44084</v>
      </c>
      <c r="B136">
        <v>34.345351999999998</v>
      </c>
      <c r="C136">
        <v>34.459201999999998</v>
      </c>
      <c r="D136">
        <v>33.757114000000001</v>
      </c>
      <c r="E136">
        <v>33.823528000000003</v>
      </c>
      <c r="F136">
        <v>33.118931000000003</v>
      </c>
      <c r="G136">
        <v>21650741</v>
      </c>
      <c r="I136">
        <f t="shared" si="6"/>
        <v>-1.464917656137686E-2</v>
      </c>
      <c r="J136">
        <v>0</v>
      </c>
      <c r="K136">
        <f t="shared" si="7"/>
        <v>-1.464917656137686E-2</v>
      </c>
      <c r="L136">
        <f t="shared" si="8"/>
        <v>-1.464917656137686</v>
      </c>
      <c r="M136">
        <v>-1.64</v>
      </c>
    </row>
    <row r="137" spans="1:13" x14ac:dyDescent="0.2">
      <c r="A137" s="1">
        <v>44085</v>
      </c>
      <c r="B137">
        <v>33.908915999999998</v>
      </c>
      <c r="C137">
        <v>34.25996</v>
      </c>
      <c r="D137">
        <v>33.633778</v>
      </c>
      <c r="E137">
        <v>34.222011999999999</v>
      </c>
      <c r="F137">
        <v>33.509112999999999</v>
      </c>
      <c r="G137">
        <v>24109301</v>
      </c>
      <c r="I137">
        <f t="shared" si="6"/>
        <v>1.1781237745867939E-2</v>
      </c>
      <c r="J137">
        <v>0</v>
      </c>
      <c r="K137">
        <f t="shared" si="7"/>
        <v>1.1781237745867939E-2</v>
      </c>
      <c r="L137">
        <f t="shared" si="8"/>
        <v>1.1781237745867938</v>
      </c>
      <c r="M137">
        <v>-0.06</v>
      </c>
    </row>
    <row r="138" spans="1:13" x14ac:dyDescent="0.2">
      <c r="A138" s="1">
        <v>44088</v>
      </c>
      <c r="B138">
        <v>34.497154000000002</v>
      </c>
      <c r="C138">
        <v>35.616698999999997</v>
      </c>
      <c r="D138">
        <v>34.421253</v>
      </c>
      <c r="E138">
        <v>35.113852999999999</v>
      </c>
      <c r="F138">
        <v>34.382378000000003</v>
      </c>
      <c r="G138">
        <v>29565543</v>
      </c>
      <c r="I138">
        <f t="shared" si="6"/>
        <v>2.6060522700198107E-2</v>
      </c>
      <c r="J138">
        <v>0</v>
      </c>
      <c r="K138">
        <f t="shared" si="7"/>
        <v>2.6060522700198107E-2</v>
      </c>
      <c r="L138">
        <f t="shared" si="8"/>
        <v>2.6060522700198105</v>
      </c>
      <c r="M138">
        <v>1.59</v>
      </c>
    </row>
    <row r="139" spans="1:13" x14ac:dyDescent="0.2">
      <c r="A139" s="1">
        <v>44089</v>
      </c>
      <c r="B139">
        <v>35.28463</v>
      </c>
      <c r="C139">
        <v>35.436432000000003</v>
      </c>
      <c r="D139">
        <v>34.924098999999998</v>
      </c>
      <c r="E139">
        <v>35.066414000000002</v>
      </c>
      <c r="F139">
        <v>34.335926000000001</v>
      </c>
      <c r="G139">
        <v>22003726</v>
      </c>
      <c r="I139">
        <f t="shared" si="6"/>
        <v>-1.3510409314911886E-3</v>
      </c>
      <c r="J139">
        <v>0</v>
      </c>
      <c r="K139">
        <f t="shared" si="7"/>
        <v>-1.3510409314911886E-3</v>
      </c>
      <c r="L139">
        <f t="shared" si="8"/>
        <v>-0.13510409314911886</v>
      </c>
      <c r="M139">
        <v>0.56999999999999995</v>
      </c>
    </row>
    <row r="140" spans="1:13" x14ac:dyDescent="0.2">
      <c r="A140" s="1">
        <v>44090</v>
      </c>
      <c r="B140">
        <v>35.370018000000002</v>
      </c>
      <c r="C140">
        <v>35.398482999999999</v>
      </c>
      <c r="D140">
        <v>34.838711000000004</v>
      </c>
      <c r="E140">
        <v>34.895637999999998</v>
      </c>
      <c r="F140">
        <v>34.168709</v>
      </c>
      <c r="G140">
        <v>22208412</v>
      </c>
      <c r="I140">
        <f t="shared" si="6"/>
        <v>-4.8700303000420268E-3</v>
      </c>
      <c r="J140">
        <v>0</v>
      </c>
      <c r="K140">
        <f t="shared" si="7"/>
        <v>-4.8700303000420268E-3</v>
      </c>
      <c r="L140">
        <f t="shared" si="8"/>
        <v>-0.4870030300042027</v>
      </c>
      <c r="M140">
        <v>-0.39</v>
      </c>
    </row>
    <row r="141" spans="1:13" x14ac:dyDescent="0.2">
      <c r="A141" s="1">
        <v>44091</v>
      </c>
      <c r="B141">
        <v>34.895637999999998</v>
      </c>
      <c r="C141">
        <v>35.075901000000002</v>
      </c>
      <c r="D141">
        <v>34.677418000000003</v>
      </c>
      <c r="E141">
        <v>34.933585999999998</v>
      </c>
      <c r="F141">
        <v>34.205863999999998</v>
      </c>
      <c r="G141">
        <v>17894390</v>
      </c>
      <c r="I141">
        <f t="shared" si="6"/>
        <v>1.087398414730814E-3</v>
      </c>
      <c r="J141">
        <v>0</v>
      </c>
      <c r="K141">
        <f t="shared" si="7"/>
        <v>1.087398414730814E-3</v>
      </c>
      <c r="L141">
        <f t="shared" si="8"/>
        <v>0.1087398414730814</v>
      </c>
      <c r="M141">
        <v>-0.85</v>
      </c>
    </row>
    <row r="142" spans="1:13" x14ac:dyDescent="0.2">
      <c r="A142" s="1">
        <v>44092</v>
      </c>
      <c r="B142">
        <v>34.895637999999998</v>
      </c>
      <c r="C142">
        <v>35.170775999999996</v>
      </c>
      <c r="D142">
        <v>34.696396</v>
      </c>
      <c r="E142">
        <v>34.753323000000002</v>
      </c>
      <c r="F142">
        <v>34.029358000000002</v>
      </c>
      <c r="G142">
        <v>31694623</v>
      </c>
      <c r="I142">
        <f t="shared" si="6"/>
        <v>-5.1601093894308968E-3</v>
      </c>
      <c r="J142">
        <v>0</v>
      </c>
      <c r="K142">
        <f t="shared" si="7"/>
        <v>-5.1601093894308968E-3</v>
      </c>
      <c r="L142">
        <f t="shared" si="8"/>
        <v>-0.51601093894308969</v>
      </c>
      <c r="M142">
        <v>-0.88</v>
      </c>
    </row>
    <row r="143" spans="1:13" x14ac:dyDescent="0.2">
      <c r="A143" s="1">
        <v>44095</v>
      </c>
      <c r="B143">
        <v>34.506641000000002</v>
      </c>
      <c r="C143">
        <v>34.611007999999998</v>
      </c>
      <c r="D143">
        <v>33.567363999999998</v>
      </c>
      <c r="E143">
        <v>34.174571999999998</v>
      </c>
      <c r="F143">
        <v>33.462665999999999</v>
      </c>
      <c r="G143">
        <v>26608968</v>
      </c>
      <c r="I143">
        <f t="shared" si="6"/>
        <v>-1.6653032361057276E-2</v>
      </c>
      <c r="J143">
        <v>0</v>
      </c>
      <c r="K143">
        <f t="shared" si="7"/>
        <v>-1.6653032361057276E-2</v>
      </c>
      <c r="L143">
        <f t="shared" si="8"/>
        <v>-1.6653032361057276</v>
      </c>
      <c r="M143">
        <v>-1.08</v>
      </c>
    </row>
    <row r="144" spans="1:13" x14ac:dyDescent="0.2">
      <c r="A144" s="1">
        <v>44096</v>
      </c>
      <c r="B144">
        <v>33.97533</v>
      </c>
      <c r="C144">
        <v>34.468693000000002</v>
      </c>
      <c r="D144">
        <v>33.908915999999998</v>
      </c>
      <c r="E144">
        <v>34.392788000000003</v>
      </c>
      <c r="F144">
        <v>33.676330999999998</v>
      </c>
      <c r="G144">
        <v>22727297</v>
      </c>
      <c r="I144">
        <f t="shared" si="6"/>
        <v>6.3851756461962379E-3</v>
      </c>
      <c r="J144">
        <v>0</v>
      </c>
      <c r="K144">
        <f t="shared" si="7"/>
        <v>6.3851756461962379E-3</v>
      </c>
      <c r="L144">
        <f t="shared" si="8"/>
        <v>0.63851756461962383</v>
      </c>
      <c r="M144">
        <v>1.02</v>
      </c>
    </row>
    <row r="145" spans="1:13" x14ac:dyDescent="0.2">
      <c r="A145" s="1">
        <v>44097</v>
      </c>
      <c r="B145">
        <v>34.478175999999998</v>
      </c>
      <c r="C145">
        <v>34.516128999999999</v>
      </c>
      <c r="D145">
        <v>34.127136</v>
      </c>
      <c r="E145">
        <v>34.155597999999998</v>
      </c>
      <c r="F145">
        <v>33.444083999999997</v>
      </c>
      <c r="G145">
        <v>23102521</v>
      </c>
      <c r="I145">
        <f t="shared" si="6"/>
        <v>-6.8964460528672493E-3</v>
      </c>
      <c r="J145">
        <v>0</v>
      </c>
      <c r="K145">
        <f t="shared" si="7"/>
        <v>-6.8964460528672493E-3</v>
      </c>
      <c r="L145">
        <f t="shared" si="8"/>
        <v>-0.68964460528672489</v>
      </c>
      <c r="M145">
        <v>-2.48</v>
      </c>
    </row>
    <row r="146" spans="1:13" x14ac:dyDescent="0.2">
      <c r="A146" s="1">
        <v>44098</v>
      </c>
      <c r="B146">
        <v>34.108158000000003</v>
      </c>
      <c r="C146">
        <v>34.193545999999998</v>
      </c>
      <c r="D146">
        <v>33.719166000000001</v>
      </c>
      <c r="E146">
        <v>33.927894999999999</v>
      </c>
      <c r="F146">
        <v>33.221127000000003</v>
      </c>
      <c r="G146">
        <v>20859925</v>
      </c>
      <c r="I146">
        <f t="shared" si="6"/>
        <v>-6.6665602203365435E-3</v>
      </c>
      <c r="J146">
        <v>0</v>
      </c>
      <c r="K146">
        <f t="shared" si="7"/>
        <v>-6.6665602203365435E-3</v>
      </c>
      <c r="L146">
        <f t="shared" si="8"/>
        <v>-0.66665602203365437</v>
      </c>
      <c r="M146">
        <v>0.25</v>
      </c>
    </row>
    <row r="147" spans="1:13" x14ac:dyDescent="0.2">
      <c r="A147" s="1">
        <v>44099</v>
      </c>
      <c r="B147">
        <v>33.719166000000001</v>
      </c>
      <c r="C147">
        <v>34.297913000000001</v>
      </c>
      <c r="D147">
        <v>33.700190999999997</v>
      </c>
      <c r="E147">
        <v>34.203037000000002</v>
      </c>
      <c r="F147">
        <v>33.490535999999999</v>
      </c>
      <c r="G147">
        <v>14365598</v>
      </c>
      <c r="I147">
        <f t="shared" si="6"/>
        <v>8.1095683478768187E-3</v>
      </c>
      <c r="J147">
        <v>0</v>
      </c>
      <c r="K147">
        <f t="shared" si="7"/>
        <v>8.1095683478768187E-3</v>
      </c>
      <c r="L147">
        <f t="shared" si="8"/>
        <v>0.81095683478768188</v>
      </c>
      <c r="M147">
        <v>1.72</v>
      </c>
    </row>
    <row r="148" spans="1:13" x14ac:dyDescent="0.2">
      <c r="A148" s="1">
        <v>44102</v>
      </c>
      <c r="B148">
        <v>34.307400000000001</v>
      </c>
      <c r="C148">
        <v>34.705883</v>
      </c>
      <c r="D148">
        <v>34.307400000000001</v>
      </c>
      <c r="E148">
        <v>34.525615999999999</v>
      </c>
      <c r="F148">
        <v>33.806393</v>
      </c>
      <c r="G148">
        <v>15044269</v>
      </c>
      <c r="I148">
        <f t="shared" si="6"/>
        <v>9.4312315574764521E-3</v>
      </c>
      <c r="J148">
        <v>0</v>
      </c>
      <c r="K148">
        <f t="shared" si="7"/>
        <v>9.4312315574764521E-3</v>
      </c>
      <c r="L148">
        <f t="shared" si="8"/>
        <v>0.94312315574764516</v>
      </c>
      <c r="M148">
        <v>1.66</v>
      </c>
    </row>
    <row r="149" spans="1:13" x14ac:dyDescent="0.2">
      <c r="A149" s="1">
        <v>44103</v>
      </c>
      <c r="B149">
        <v>34.563567999999997</v>
      </c>
      <c r="C149">
        <v>34.667931000000003</v>
      </c>
      <c r="D149">
        <v>34.184058999999998</v>
      </c>
      <c r="E149">
        <v>34.316887000000001</v>
      </c>
      <c r="F149">
        <v>33.602012999999999</v>
      </c>
      <c r="G149">
        <v>13512491</v>
      </c>
      <c r="I149">
        <f t="shared" si="6"/>
        <v>-6.0456020847891243E-3</v>
      </c>
      <c r="J149">
        <v>0</v>
      </c>
      <c r="K149">
        <f t="shared" si="7"/>
        <v>-6.0456020847891243E-3</v>
      </c>
      <c r="L149">
        <f t="shared" si="8"/>
        <v>-0.60456020847891245</v>
      </c>
      <c r="M149">
        <v>-0.42</v>
      </c>
    </row>
    <row r="150" spans="1:13" x14ac:dyDescent="0.2">
      <c r="A150" s="1">
        <v>44104</v>
      </c>
      <c r="B150">
        <v>34.411766</v>
      </c>
      <c r="C150">
        <v>35.066414000000002</v>
      </c>
      <c r="D150">
        <v>34.392788000000003</v>
      </c>
      <c r="E150">
        <v>34.819732999999999</v>
      </c>
      <c r="F150">
        <v>34.094383000000001</v>
      </c>
      <c r="G150">
        <v>22629275</v>
      </c>
      <c r="I150">
        <f t="shared" si="6"/>
        <v>1.4652991176451276E-2</v>
      </c>
      <c r="J150">
        <v>0</v>
      </c>
      <c r="K150">
        <f t="shared" si="7"/>
        <v>1.4652991176451276E-2</v>
      </c>
      <c r="L150">
        <f t="shared" si="8"/>
        <v>1.4652991176451275</v>
      </c>
      <c r="M150">
        <v>0.79</v>
      </c>
    </row>
    <row r="151" spans="1:13" x14ac:dyDescent="0.2">
      <c r="A151" s="1">
        <v>44105</v>
      </c>
      <c r="B151">
        <v>35.018974</v>
      </c>
      <c r="C151">
        <v>35.189754000000001</v>
      </c>
      <c r="D151">
        <v>34.307400000000001</v>
      </c>
      <c r="E151">
        <v>34.506641000000002</v>
      </c>
      <c r="F151">
        <v>33.787815000000002</v>
      </c>
      <c r="G151">
        <v>22520396</v>
      </c>
      <c r="I151">
        <f t="shared" si="6"/>
        <v>-8.9917450625224288E-3</v>
      </c>
      <c r="J151">
        <v>0</v>
      </c>
      <c r="K151">
        <f t="shared" si="7"/>
        <v>-8.9917450625224288E-3</v>
      </c>
      <c r="L151">
        <f t="shared" si="8"/>
        <v>-0.89917450625224293</v>
      </c>
      <c r="M151">
        <v>0.79</v>
      </c>
    </row>
    <row r="152" spans="1:13" x14ac:dyDescent="0.2">
      <c r="A152" s="1">
        <v>44106</v>
      </c>
      <c r="B152">
        <v>34.212524000000002</v>
      </c>
      <c r="C152">
        <v>34.781784000000002</v>
      </c>
      <c r="D152">
        <v>34.184058999999998</v>
      </c>
      <c r="E152">
        <v>34.516128999999999</v>
      </c>
      <c r="F152">
        <v>33.797103999999997</v>
      </c>
      <c r="G152">
        <v>21461759</v>
      </c>
      <c r="I152">
        <f t="shared" si="6"/>
        <v>2.7492159525543275E-4</v>
      </c>
      <c r="J152">
        <v>0</v>
      </c>
      <c r="K152">
        <f t="shared" si="7"/>
        <v>2.7492159525543275E-4</v>
      </c>
      <c r="L152">
        <f t="shared" si="8"/>
        <v>2.7492159525543274E-2</v>
      </c>
      <c r="M152">
        <v>-0.96</v>
      </c>
    </row>
    <row r="153" spans="1:13" x14ac:dyDescent="0.2">
      <c r="A153" s="1">
        <v>44109</v>
      </c>
      <c r="B153">
        <v>34.658442999999998</v>
      </c>
      <c r="C153">
        <v>34.990513</v>
      </c>
      <c r="D153">
        <v>34.478175999999998</v>
      </c>
      <c r="E153">
        <v>34.867171999999997</v>
      </c>
      <c r="F153">
        <v>34.140835000000003</v>
      </c>
      <c r="G153">
        <v>19400029</v>
      </c>
      <c r="I153">
        <f t="shared" si="6"/>
        <v>1.0170427620070801E-2</v>
      </c>
      <c r="J153">
        <v>0</v>
      </c>
      <c r="K153">
        <f t="shared" si="7"/>
        <v>1.0170427620070801E-2</v>
      </c>
      <c r="L153">
        <f t="shared" si="8"/>
        <v>1.0170427620070801</v>
      </c>
      <c r="M153">
        <v>1.93</v>
      </c>
    </row>
    <row r="154" spans="1:13" x14ac:dyDescent="0.2">
      <c r="A154" s="1">
        <v>44110</v>
      </c>
      <c r="B154">
        <v>35.104362000000002</v>
      </c>
      <c r="C154">
        <v>35.132828000000003</v>
      </c>
      <c r="D154">
        <v>34.240985999999999</v>
      </c>
      <c r="E154">
        <v>34.316887000000001</v>
      </c>
      <c r="F154">
        <v>33.602012999999999</v>
      </c>
      <c r="G154">
        <v>25233392</v>
      </c>
      <c r="I154">
        <f t="shared" si="6"/>
        <v>-1.5782332213023002E-2</v>
      </c>
      <c r="J154">
        <v>0</v>
      </c>
      <c r="K154">
        <f t="shared" si="7"/>
        <v>-1.5782332213023002E-2</v>
      </c>
      <c r="L154">
        <f t="shared" si="8"/>
        <v>-1.5782332213023003</v>
      </c>
      <c r="M154">
        <v>-1.28</v>
      </c>
    </row>
    <row r="155" spans="1:13" x14ac:dyDescent="0.2">
      <c r="A155" s="1">
        <v>44111</v>
      </c>
      <c r="B155">
        <v>34.402279</v>
      </c>
      <c r="C155">
        <v>34.71537</v>
      </c>
      <c r="D155">
        <v>34.184058999999998</v>
      </c>
      <c r="E155">
        <v>34.601517000000001</v>
      </c>
      <c r="F155">
        <v>33.880713999999998</v>
      </c>
      <c r="G155">
        <v>22160034</v>
      </c>
      <c r="I155">
        <f t="shared" si="6"/>
        <v>8.2941757090564221E-3</v>
      </c>
      <c r="J155">
        <v>0</v>
      </c>
      <c r="K155">
        <f t="shared" si="7"/>
        <v>8.2941757090564221E-3</v>
      </c>
      <c r="L155">
        <f t="shared" si="8"/>
        <v>0.82941757090564217</v>
      </c>
      <c r="M155">
        <v>1.84</v>
      </c>
    </row>
    <row r="156" spans="1:13" x14ac:dyDescent="0.2">
      <c r="A156" s="1">
        <v>44112</v>
      </c>
      <c r="B156">
        <v>34.724857</v>
      </c>
      <c r="C156">
        <v>35.275143</v>
      </c>
      <c r="D156">
        <v>34.639468999999998</v>
      </c>
      <c r="E156">
        <v>35</v>
      </c>
      <c r="F156">
        <v>34.270896999999998</v>
      </c>
      <c r="G156">
        <v>17857395</v>
      </c>
      <c r="I156">
        <f t="shared" si="6"/>
        <v>1.1516374772975575E-2</v>
      </c>
      <c r="J156">
        <v>0</v>
      </c>
      <c r="K156">
        <f t="shared" si="7"/>
        <v>1.1516374772975575E-2</v>
      </c>
      <c r="L156">
        <f t="shared" si="8"/>
        <v>1.1516374772975575</v>
      </c>
      <c r="M156">
        <v>0.8</v>
      </c>
    </row>
    <row r="157" spans="1:13" x14ac:dyDescent="0.2">
      <c r="A157" s="1">
        <v>44113</v>
      </c>
      <c r="B157">
        <v>34.943072999999998</v>
      </c>
      <c r="C157">
        <v>35.218215999999998</v>
      </c>
      <c r="D157">
        <v>34.71537</v>
      </c>
      <c r="E157">
        <v>34.905124999999998</v>
      </c>
      <c r="F157">
        <v>34.177998000000002</v>
      </c>
      <c r="G157">
        <v>23667465</v>
      </c>
      <c r="I157">
        <f t="shared" si="6"/>
        <v>-2.7107256632353575E-3</v>
      </c>
      <c r="J157">
        <v>0</v>
      </c>
      <c r="K157">
        <f t="shared" si="7"/>
        <v>-2.7107256632353575E-3</v>
      </c>
      <c r="L157">
        <f t="shared" si="8"/>
        <v>-0.27107256632353577</v>
      </c>
      <c r="M157">
        <v>0.93</v>
      </c>
    </row>
    <row r="158" spans="1:13" x14ac:dyDescent="0.2">
      <c r="A158" s="1">
        <v>44116</v>
      </c>
      <c r="B158">
        <v>34.819732999999999</v>
      </c>
      <c r="C158">
        <v>35.275143</v>
      </c>
      <c r="D158">
        <v>34.601517000000001</v>
      </c>
      <c r="E158">
        <v>34.933585999999998</v>
      </c>
      <c r="F158">
        <v>34.205863999999998</v>
      </c>
      <c r="G158">
        <v>19413837</v>
      </c>
      <c r="I158">
        <f t="shared" si="6"/>
        <v>8.1531984407032698E-4</v>
      </c>
      <c r="J158">
        <v>0</v>
      </c>
      <c r="K158">
        <f t="shared" si="7"/>
        <v>8.1531984407032698E-4</v>
      </c>
      <c r="L158">
        <f t="shared" si="8"/>
        <v>8.1531984407032701E-2</v>
      </c>
      <c r="M158">
        <v>1.53</v>
      </c>
    </row>
    <row r="159" spans="1:13" x14ac:dyDescent="0.2">
      <c r="A159" s="1">
        <v>44117</v>
      </c>
      <c r="B159">
        <v>34.791271000000002</v>
      </c>
      <c r="C159">
        <v>35.227702999999998</v>
      </c>
      <c r="D159">
        <v>34.753323000000002</v>
      </c>
      <c r="E159">
        <v>35.009487</v>
      </c>
      <c r="F159">
        <v>34.280186</v>
      </c>
      <c r="G159">
        <v>21543233</v>
      </c>
      <c r="I159">
        <f t="shared" si="6"/>
        <v>2.172785344641557E-3</v>
      </c>
      <c r="J159">
        <v>0</v>
      </c>
      <c r="K159">
        <f t="shared" si="7"/>
        <v>2.172785344641557E-3</v>
      </c>
      <c r="L159">
        <f t="shared" si="8"/>
        <v>0.21727853446415571</v>
      </c>
      <c r="M159">
        <v>-0.41</v>
      </c>
    </row>
    <row r="160" spans="1:13" x14ac:dyDescent="0.2">
      <c r="A160" s="1">
        <v>44118</v>
      </c>
      <c r="B160">
        <v>35.113852999999999</v>
      </c>
      <c r="C160">
        <v>35.388992000000002</v>
      </c>
      <c r="D160">
        <v>34.696396</v>
      </c>
      <c r="E160">
        <v>34.971539</v>
      </c>
      <c r="F160">
        <v>34.243026999999998</v>
      </c>
      <c r="G160">
        <v>22124619</v>
      </c>
      <c r="I160">
        <f t="shared" si="6"/>
        <v>-1.0839789492391495E-3</v>
      </c>
      <c r="J160">
        <v>0</v>
      </c>
      <c r="K160">
        <f t="shared" si="7"/>
        <v>-1.0839789492391495E-3</v>
      </c>
      <c r="L160">
        <f t="shared" si="8"/>
        <v>-0.10839789492391495</v>
      </c>
      <c r="M160">
        <v>-0.65</v>
      </c>
    </row>
    <row r="161" spans="1:13" x14ac:dyDescent="0.2">
      <c r="A161" s="1">
        <v>44119</v>
      </c>
      <c r="B161">
        <v>34.753323000000002</v>
      </c>
      <c r="C161">
        <v>34.857684999999996</v>
      </c>
      <c r="D161">
        <v>34.544593999999996</v>
      </c>
      <c r="E161">
        <v>34.677418000000003</v>
      </c>
      <c r="F161">
        <v>33.955036</v>
      </c>
      <c r="G161">
        <v>16089205</v>
      </c>
      <c r="I161">
        <f t="shared" si="6"/>
        <v>-8.4102085951688246E-3</v>
      </c>
      <c r="J161">
        <v>0</v>
      </c>
      <c r="K161">
        <f t="shared" si="7"/>
        <v>-8.4102085951688246E-3</v>
      </c>
      <c r="L161">
        <f t="shared" si="8"/>
        <v>-0.84102085951688244</v>
      </c>
      <c r="M161">
        <v>-0.08</v>
      </c>
    </row>
    <row r="162" spans="1:13" x14ac:dyDescent="0.2">
      <c r="A162" s="1">
        <v>44120</v>
      </c>
      <c r="B162">
        <v>35.170775999999996</v>
      </c>
      <c r="C162">
        <v>36.166984999999997</v>
      </c>
      <c r="D162">
        <v>35.123341000000003</v>
      </c>
      <c r="E162">
        <v>36.005692000000003</v>
      </c>
      <c r="F162">
        <v>35.255637999999998</v>
      </c>
      <c r="G162">
        <v>42993503</v>
      </c>
      <c r="I162">
        <f t="shared" si="6"/>
        <v>3.8303655457764728E-2</v>
      </c>
      <c r="J162">
        <v>0</v>
      </c>
      <c r="K162">
        <f t="shared" si="7"/>
        <v>3.8303655457764728E-2</v>
      </c>
      <c r="L162">
        <f t="shared" si="8"/>
        <v>3.8303655457764729</v>
      </c>
      <c r="M162">
        <v>-0.06</v>
      </c>
    </row>
    <row r="163" spans="1:13" x14ac:dyDescent="0.2">
      <c r="A163" s="1">
        <v>44123</v>
      </c>
      <c r="B163">
        <v>36.451613999999999</v>
      </c>
      <c r="C163">
        <v>36.859585000000003</v>
      </c>
      <c r="D163">
        <v>35.711575000000003</v>
      </c>
      <c r="E163">
        <v>35.863377</v>
      </c>
      <c r="F163">
        <v>35.116287</v>
      </c>
      <c r="G163">
        <v>31931352</v>
      </c>
      <c r="I163">
        <f t="shared" si="6"/>
        <v>-3.9525876683893166E-3</v>
      </c>
      <c r="J163">
        <v>0</v>
      </c>
      <c r="K163">
        <f t="shared" si="7"/>
        <v>-3.9525876683893166E-3</v>
      </c>
      <c r="L163">
        <f t="shared" si="8"/>
        <v>-0.39525876683893169</v>
      </c>
      <c r="M163">
        <v>-1.53</v>
      </c>
    </row>
    <row r="164" spans="1:13" x14ac:dyDescent="0.2">
      <c r="A164" s="1">
        <v>44124</v>
      </c>
      <c r="B164">
        <v>35.929789999999997</v>
      </c>
      <c r="C164">
        <v>35.948768999999999</v>
      </c>
      <c r="D164">
        <v>35.436432000000003</v>
      </c>
      <c r="E164">
        <v>35.56926</v>
      </c>
      <c r="F164">
        <v>34.828296999999999</v>
      </c>
      <c r="G164">
        <v>22384852</v>
      </c>
      <c r="I164">
        <f t="shared" si="6"/>
        <v>-8.2010378830768942E-3</v>
      </c>
      <c r="J164">
        <v>0</v>
      </c>
      <c r="K164">
        <f t="shared" si="7"/>
        <v>-8.2010378830768942E-3</v>
      </c>
      <c r="L164">
        <f t="shared" si="8"/>
        <v>-0.82010378830768937</v>
      </c>
      <c r="M164">
        <v>0.34</v>
      </c>
    </row>
    <row r="165" spans="1:13" x14ac:dyDescent="0.2">
      <c r="A165" s="1">
        <v>44125</v>
      </c>
      <c r="B165">
        <v>35.436432000000003</v>
      </c>
      <c r="C165">
        <v>35.531306999999998</v>
      </c>
      <c r="D165">
        <v>35.161288999999996</v>
      </c>
      <c r="E165">
        <v>35.180267000000001</v>
      </c>
      <c r="F165">
        <v>34.447406999999998</v>
      </c>
      <c r="G165">
        <v>18984859</v>
      </c>
      <c r="I165">
        <f t="shared" si="6"/>
        <v>-1.0936222348167091E-2</v>
      </c>
      <c r="J165">
        <v>0</v>
      </c>
      <c r="K165">
        <f t="shared" si="7"/>
        <v>-1.0936222348167091E-2</v>
      </c>
      <c r="L165">
        <f t="shared" si="8"/>
        <v>-1.0936222348167091</v>
      </c>
      <c r="M165">
        <v>-0.36</v>
      </c>
    </row>
    <row r="166" spans="1:13" x14ac:dyDescent="0.2">
      <c r="A166" s="1">
        <v>44126</v>
      </c>
      <c r="B166">
        <v>35.180267000000001</v>
      </c>
      <c r="C166">
        <v>35.645161000000002</v>
      </c>
      <c r="D166">
        <v>35.132828000000003</v>
      </c>
      <c r="E166">
        <v>35.512332999999998</v>
      </c>
      <c r="F166">
        <v>34.772556000000002</v>
      </c>
      <c r="G166">
        <v>19243616</v>
      </c>
      <c r="I166">
        <f t="shared" si="6"/>
        <v>9.4389978322607353E-3</v>
      </c>
      <c r="J166">
        <v>0</v>
      </c>
      <c r="K166">
        <f t="shared" si="7"/>
        <v>9.4389978322607353E-3</v>
      </c>
      <c r="L166">
        <f t="shared" si="8"/>
        <v>0.94389978322607349</v>
      </c>
      <c r="M166">
        <v>0.67</v>
      </c>
    </row>
    <row r="167" spans="1:13" x14ac:dyDescent="0.2">
      <c r="A167" s="1">
        <v>44127</v>
      </c>
      <c r="B167">
        <v>35.986716999999999</v>
      </c>
      <c r="C167">
        <v>36.318787</v>
      </c>
      <c r="D167">
        <v>35.721062000000003</v>
      </c>
      <c r="E167">
        <v>36.223906999999997</v>
      </c>
      <c r="F167">
        <v>35.469307000000001</v>
      </c>
      <c r="G167">
        <v>30557884</v>
      </c>
      <c r="I167">
        <f t="shared" si="6"/>
        <v>2.003738235406103E-2</v>
      </c>
      <c r="J167">
        <v>0</v>
      </c>
      <c r="K167">
        <f t="shared" si="7"/>
        <v>2.003738235406103E-2</v>
      </c>
      <c r="L167">
        <f t="shared" si="8"/>
        <v>2.0037382354061029</v>
      </c>
      <c r="M167">
        <v>0.38</v>
      </c>
    </row>
    <row r="168" spans="1:13" x14ac:dyDescent="0.2">
      <c r="A168" s="1">
        <v>44130</v>
      </c>
      <c r="B168">
        <v>35.929789999999997</v>
      </c>
      <c r="C168">
        <v>36.072105000000001</v>
      </c>
      <c r="D168">
        <v>35.559772000000002</v>
      </c>
      <c r="E168">
        <v>35.977229999999999</v>
      </c>
      <c r="F168">
        <v>35.227767999999998</v>
      </c>
      <c r="G168">
        <v>33783124</v>
      </c>
      <c r="I168">
        <f t="shared" si="6"/>
        <v>-6.8098031912493537E-3</v>
      </c>
      <c r="J168">
        <v>0</v>
      </c>
      <c r="K168">
        <f t="shared" si="7"/>
        <v>-6.8098031912493537E-3</v>
      </c>
      <c r="L168">
        <f t="shared" si="8"/>
        <v>-0.6809803191249354</v>
      </c>
      <c r="M168">
        <v>-1.85</v>
      </c>
    </row>
    <row r="169" spans="1:13" x14ac:dyDescent="0.2">
      <c r="A169" s="1">
        <v>44131</v>
      </c>
      <c r="B169">
        <v>35.142315000000004</v>
      </c>
      <c r="C169">
        <v>36.166984999999997</v>
      </c>
      <c r="D169">
        <v>34.981026</v>
      </c>
      <c r="E169">
        <v>35.512332999999998</v>
      </c>
      <c r="F169">
        <v>34.772556000000002</v>
      </c>
      <c r="G169">
        <v>36851529</v>
      </c>
      <c r="I169">
        <f t="shared" si="6"/>
        <v>-1.2921965422276993E-2</v>
      </c>
      <c r="J169">
        <v>0</v>
      </c>
      <c r="K169">
        <f t="shared" si="7"/>
        <v>-1.2921965422276993E-2</v>
      </c>
      <c r="L169">
        <f t="shared" si="8"/>
        <v>-1.2921965422276993</v>
      </c>
      <c r="M169">
        <v>-0.23</v>
      </c>
    </row>
    <row r="170" spans="1:13" x14ac:dyDescent="0.2">
      <c r="A170" s="1">
        <v>44132</v>
      </c>
      <c r="B170">
        <v>34.914611999999998</v>
      </c>
      <c r="C170">
        <v>35.227702999999998</v>
      </c>
      <c r="D170">
        <v>33.510437000000003</v>
      </c>
      <c r="E170">
        <v>33.633778</v>
      </c>
      <c r="F170">
        <v>32.933135999999998</v>
      </c>
      <c r="G170">
        <v>33857537</v>
      </c>
      <c r="I170">
        <f t="shared" si="6"/>
        <v>-5.2898613492778732E-2</v>
      </c>
      <c r="J170">
        <v>0</v>
      </c>
      <c r="K170">
        <f t="shared" si="7"/>
        <v>-5.2898613492778732E-2</v>
      </c>
      <c r="L170">
        <f t="shared" si="8"/>
        <v>-5.2898613492778734</v>
      </c>
      <c r="M170">
        <v>-3.41</v>
      </c>
    </row>
    <row r="171" spans="1:13" x14ac:dyDescent="0.2">
      <c r="A171" s="1">
        <v>44133</v>
      </c>
      <c r="B171">
        <v>33.662239</v>
      </c>
      <c r="C171">
        <v>33.814041000000003</v>
      </c>
      <c r="D171">
        <v>32.827323999999997</v>
      </c>
      <c r="E171">
        <v>33.472484999999999</v>
      </c>
      <c r="F171">
        <v>32.775199999999998</v>
      </c>
      <c r="G171">
        <v>27545341</v>
      </c>
      <c r="I171">
        <f t="shared" si="6"/>
        <v>-4.7956562654707232E-3</v>
      </c>
      <c r="J171">
        <v>0</v>
      </c>
      <c r="K171">
        <f t="shared" si="7"/>
        <v>-4.7956562654707232E-3</v>
      </c>
      <c r="L171">
        <f t="shared" si="8"/>
        <v>-0.4795656265470723</v>
      </c>
      <c r="M171">
        <v>1.1299999999999999</v>
      </c>
    </row>
    <row r="172" spans="1:13" x14ac:dyDescent="0.2">
      <c r="A172" s="1">
        <v>44134</v>
      </c>
      <c r="B172">
        <v>33.434536000000001</v>
      </c>
      <c r="C172">
        <v>33.709679000000001</v>
      </c>
      <c r="D172">
        <v>33.055027000000003</v>
      </c>
      <c r="E172">
        <v>33.662239</v>
      </c>
      <c r="F172">
        <v>32.961002000000001</v>
      </c>
      <c r="G172">
        <v>25631067</v>
      </c>
      <c r="I172">
        <f t="shared" si="6"/>
        <v>5.6689814249799384E-3</v>
      </c>
      <c r="J172">
        <v>0</v>
      </c>
      <c r="K172">
        <f t="shared" si="7"/>
        <v>5.6689814249799384E-3</v>
      </c>
      <c r="L172">
        <f t="shared" si="8"/>
        <v>0.56689814249799386</v>
      </c>
      <c r="M172">
        <v>-1.45</v>
      </c>
    </row>
    <row r="173" spans="1:13" x14ac:dyDescent="0.2">
      <c r="A173" s="1">
        <v>44137</v>
      </c>
      <c r="B173">
        <v>34.089184000000003</v>
      </c>
      <c r="C173">
        <v>34.392788000000003</v>
      </c>
      <c r="D173">
        <v>33.719166000000001</v>
      </c>
      <c r="E173">
        <v>34.373814000000003</v>
      </c>
      <c r="F173">
        <v>33.657753</v>
      </c>
      <c r="G173">
        <v>21430666</v>
      </c>
      <c r="I173">
        <f t="shared" si="6"/>
        <v>2.1138647423400509E-2</v>
      </c>
      <c r="J173">
        <v>0</v>
      </c>
      <c r="K173">
        <f t="shared" si="7"/>
        <v>2.1138647423400509E-2</v>
      </c>
      <c r="L173">
        <f t="shared" si="8"/>
        <v>2.1138647423400507</v>
      </c>
      <c r="M173">
        <v>1.17</v>
      </c>
    </row>
    <row r="174" spans="1:13" x14ac:dyDescent="0.2">
      <c r="A174" s="1">
        <v>44138</v>
      </c>
      <c r="B174">
        <v>34.563567999999997</v>
      </c>
      <c r="C174">
        <v>34.743831999999998</v>
      </c>
      <c r="D174">
        <v>34.231498999999999</v>
      </c>
      <c r="E174">
        <v>34.335861000000001</v>
      </c>
      <c r="F174">
        <v>33.62059</v>
      </c>
      <c r="G174">
        <v>21636617</v>
      </c>
      <c r="I174">
        <f t="shared" si="6"/>
        <v>-1.1041438208902303E-3</v>
      </c>
      <c r="J174">
        <v>0</v>
      </c>
      <c r="K174">
        <f t="shared" si="7"/>
        <v>-1.1041438208902303E-3</v>
      </c>
      <c r="L174">
        <f t="shared" si="8"/>
        <v>-0.11041438208902303</v>
      </c>
      <c r="M174">
        <v>1.93</v>
      </c>
    </row>
    <row r="175" spans="1:13" x14ac:dyDescent="0.2">
      <c r="A175" s="1">
        <v>44139</v>
      </c>
      <c r="B175">
        <v>35.161288999999996</v>
      </c>
      <c r="C175">
        <v>36.166984999999997</v>
      </c>
      <c r="D175">
        <v>35.066414000000002</v>
      </c>
      <c r="E175">
        <v>35.417458000000003</v>
      </c>
      <c r="F175">
        <v>34.679656999999999</v>
      </c>
      <c r="G175">
        <v>40870536</v>
      </c>
      <c r="I175">
        <f t="shared" si="6"/>
        <v>3.1500547729828625E-2</v>
      </c>
      <c r="J175">
        <v>0</v>
      </c>
      <c r="K175">
        <f t="shared" si="7"/>
        <v>3.1500547729828625E-2</v>
      </c>
      <c r="L175">
        <f t="shared" si="8"/>
        <v>3.1500547729828625</v>
      </c>
      <c r="M175">
        <v>2.25</v>
      </c>
    </row>
    <row r="176" spans="1:13" x14ac:dyDescent="0.2">
      <c r="A176" s="1">
        <v>44140</v>
      </c>
      <c r="B176">
        <v>35.341557000000002</v>
      </c>
      <c r="C176">
        <v>35.388992000000002</v>
      </c>
      <c r="D176">
        <v>34.525615999999999</v>
      </c>
      <c r="E176">
        <v>34.525615999999999</v>
      </c>
      <c r="F176">
        <v>34.154063999999998</v>
      </c>
      <c r="G176">
        <v>33926995</v>
      </c>
      <c r="I176">
        <f t="shared" si="6"/>
        <v>-1.5155657393035942E-2</v>
      </c>
      <c r="J176">
        <v>0</v>
      </c>
      <c r="K176">
        <f t="shared" si="7"/>
        <v>-1.5155657393035942E-2</v>
      </c>
      <c r="L176">
        <f t="shared" si="8"/>
        <v>-1.5155657393035942</v>
      </c>
      <c r="M176">
        <v>2.13</v>
      </c>
    </row>
    <row r="177" spans="1:13" x14ac:dyDescent="0.2">
      <c r="A177" s="1">
        <v>44141</v>
      </c>
      <c r="B177">
        <v>34.525615999999999</v>
      </c>
      <c r="C177">
        <v>34.838711000000004</v>
      </c>
      <c r="D177">
        <v>34.240985999999999</v>
      </c>
      <c r="E177">
        <v>34.535102999999999</v>
      </c>
      <c r="F177">
        <v>34.163448000000002</v>
      </c>
      <c r="G177">
        <v>23870676</v>
      </c>
      <c r="I177">
        <f t="shared" si="6"/>
        <v>2.7475500426550349E-4</v>
      </c>
      <c r="J177">
        <v>0</v>
      </c>
      <c r="K177">
        <f t="shared" si="7"/>
        <v>2.7475500426550349E-4</v>
      </c>
      <c r="L177">
        <f t="shared" si="8"/>
        <v>2.7475500426550347E-2</v>
      </c>
      <c r="M177">
        <v>0.01</v>
      </c>
    </row>
    <row r="178" spans="1:13" x14ac:dyDescent="0.2">
      <c r="A178" s="1">
        <v>44144</v>
      </c>
      <c r="B178">
        <v>39.71537</v>
      </c>
      <c r="C178">
        <v>39.838711000000004</v>
      </c>
      <c r="D178">
        <v>36.413662000000002</v>
      </c>
      <c r="E178">
        <v>37.191650000000003</v>
      </c>
      <c r="F178">
        <v>36.791409000000002</v>
      </c>
      <c r="G178">
        <v>230153864</v>
      </c>
      <c r="I178">
        <f t="shared" si="6"/>
        <v>7.692317824594283E-2</v>
      </c>
      <c r="J178">
        <v>0</v>
      </c>
      <c r="K178">
        <f t="shared" si="7"/>
        <v>7.692317824594283E-2</v>
      </c>
      <c r="L178">
        <f t="shared" si="8"/>
        <v>7.6923178245942827</v>
      </c>
      <c r="M178">
        <v>0.82</v>
      </c>
    </row>
    <row r="179" spans="1:13" x14ac:dyDescent="0.2">
      <c r="A179" s="1">
        <v>44145</v>
      </c>
      <c r="B179">
        <v>38.377609</v>
      </c>
      <c r="C179">
        <v>38.462997000000001</v>
      </c>
      <c r="D179">
        <v>36.489562999999997</v>
      </c>
      <c r="E179">
        <v>36.698292000000002</v>
      </c>
      <c r="F179">
        <v>36.303359999999998</v>
      </c>
      <c r="G179">
        <v>80091668</v>
      </c>
      <c r="I179">
        <f t="shared" si="6"/>
        <v>-1.3265297885166717E-2</v>
      </c>
      <c r="J179">
        <v>0</v>
      </c>
      <c r="K179">
        <f t="shared" si="7"/>
        <v>-1.3265297885166717E-2</v>
      </c>
      <c r="L179">
        <f t="shared" si="8"/>
        <v>-1.3265297885166716</v>
      </c>
      <c r="M179">
        <v>-0.17</v>
      </c>
    </row>
    <row r="180" spans="1:13" x14ac:dyDescent="0.2">
      <c r="A180" s="1">
        <v>44146</v>
      </c>
      <c r="B180">
        <v>36.888046000000003</v>
      </c>
      <c r="C180">
        <v>38.140414999999997</v>
      </c>
      <c r="D180">
        <v>35.958255999999999</v>
      </c>
      <c r="E180">
        <v>36.527515000000001</v>
      </c>
      <c r="F180">
        <v>36.134417999999997</v>
      </c>
      <c r="G180">
        <v>58980997</v>
      </c>
      <c r="I180">
        <f t="shared" si="6"/>
        <v>-4.6536188385868761E-3</v>
      </c>
      <c r="J180">
        <v>0</v>
      </c>
      <c r="K180">
        <f t="shared" si="7"/>
        <v>-4.6536188385868761E-3</v>
      </c>
      <c r="L180">
        <f t="shared" si="8"/>
        <v>-0.4653618838586876</v>
      </c>
      <c r="M180">
        <v>0.88</v>
      </c>
    </row>
    <row r="181" spans="1:13" x14ac:dyDescent="0.2">
      <c r="A181" s="1">
        <v>44147</v>
      </c>
      <c r="B181">
        <v>36.318787</v>
      </c>
      <c r="C181">
        <v>36.375712999999998</v>
      </c>
      <c r="D181">
        <v>35.332068999999997</v>
      </c>
      <c r="E181">
        <v>35.626185999999997</v>
      </c>
      <c r="F181">
        <v>35.242789999999999</v>
      </c>
      <c r="G181">
        <v>46767877</v>
      </c>
      <c r="I181">
        <f t="shared" si="6"/>
        <v>-2.4675310945924112E-2</v>
      </c>
      <c r="J181">
        <v>0</v>
      </c>
      <c r="K181">
        <f t="shared" si="7"/>
        <v>-2.4675310945924112E-2</v>
      </c>
      <c r="L181">
        <f t="shared" si="8"/>
        <v>-2.4675310945924114</v>
      </c>
      <c r="M181">
        <v>-0.94</v>
      </c>
    </row>
    <row r="182" spans="1:13" x14ac:dyDescent="0.2">
      <c r="A182" s="1">
        <v>44148</v>
      </c>
      <c r="B182">
        <v>35.929789999999997</v>
      </c>
      <c r="C182">
        <v>36.679316999999998</v>
      </c>
      <c r="D182">
        <v>35.777988000000001</v>
      </c>
      <c r="E182">
        <v>36.641365</v>
      </c>
      <c r="F182">
        <v>36.247044000000002</v>
      </c>
      <c r="G182">
        <v>40175634</v>
      </c>
      <c r="I182">
        <f t="shared" si="6"/>
        <v>2.8495303578405771E-2</v>
      </c>
      <c r="J182">
        <v>0</v>
      </c>
      <c r="K182">
        <f t="shared" si="7"/>
        <v>2.8495303578405771E-2</v>
      </c>
      <c r="L182">
        <f t="shared" si="8"/>
        <v>2.8495303578405773</v>
      </c>
      <c r="M182">
        <v>1.31</v>
      </c>
    </row>
    <row r="183" spans="1:13" x14ac:dyDescent="0.2">
      <c r="A183" s="1">
        <v>44151</v>
      </c>
      <c r="B183">
        <v>35.920302999999997</v>
      </c>
      <c r="C183">
        <v>36.005692000000003</v>
      </c>
      <c r="D183">
        <v>34.962048000000003</v>
      </c>
      <c r="E183">
        <v>35.417458000000003</v>
      </c>
      <c r="F183">
        <v>35.036307999999998</v>
      </c>
      <c r="G183">
        <v>75530167</v>
      </c>
      <c r="I183">
        <f t="shared" si="6"/>
        <v>-3.3402337580962581E-2</v>
      </c>
      <c r="J183">
        <v>0</v>
      </c>
      <c r="K183">
        <f t="shared" si="7"/>
        <v>-3.3402337580962581E-2</v>
      </c>
      <c r="L183">
        <f t="shared" si="8"/>
        <v>-3.3402337580962582</v>
      </c>
      <c r="M183">
        <v>1.22</v>
      </c>
    </row>
    <row r="184" spans="1:13" x14ac:dyDescent="0.2">
      <c r="A184" s="1">
        <v>44152</v>
      </c>
      <c r="B184">
        <v>36.490001999999997</v>
      </c>
      <c r="C184">
        <v>36.5</v>
      </c>
      <c r="D184">
        <v>35.82</v>
      </c>
      <c r="E184">
        <v>36.040000999999997</v>
      </c>
      <c r="F184">
        <v>35.652152999999998</v>
      </c>
      <c r="G184">
        <v>46984500</v>
      </c>
      <c r="I184">
        <f t="shared" si="6"/>
        <v>1.7577337201168577E-2</v>
      </c>
      <c r="J184">
        <v>0</v>
      </c>
      <c r="K184">
        <f t="shared" si="7"/>
        <v>1.7577337201168577E-2</v>
      </c>
      <c r="L184">
        <f t="shared" si="8"/>
        <v>1.7577337201168577</v>
      </c>
      <c r="M184">
        <v>-0.19</v>
      </c>
    </row>
    <row r="185" spans="1:13" x14ac:dyDescent="0.2">
      <c r="A185" s="1">
        <v>44153</v>
      </c>
      <c r="B185">
        <v>36.93</v>
      </c>
      <c r="C185">
        <v>37.419998</v>
      </c>
      <c r="D185">
        <v>36.299999</v>
      </c>
      <c r="E185">
        <v>36.32</v>
      </c>
      <c r="F185">
        <v>35.929138000000002</v>
      </c>
      <c r="G185">
        <v>63442700</v>
      </c>
      <c r="I185">
        <f t="shared" si="6"/>
        <v>7.7690960206527604E-3</v>
      </c>
      <c r="J185">
        <v>0</v>
      </c>
      <c r="K185">
        <f t="shared" si="7"/>
        <v>7.7690960206527604E-3</v>
      </c>
      <c r="L185">
        <f t="shared" si="8"/>
        <v>0.77690960206527604</v>
      </c>
      <c r="M185">
        <v>-0.93</v>
      </c>
    </row>
    <row r="186" spans="1:13" x14ac:dyDescent="0.2">
      <c r="A186" s="1">
        <v>44154</v>
      </c>
      <c r="B186">
        <v>36.599997999999999</v>
      </c>
      <c r="C186">
        <v>36.630001</v>
      </c>
      <c r="D186">
        <v>35.860000999999997</v>
      </c>
      <c r="E186">
        <v>36.189999</v>
      </c>
      <c r="F186">
        <v>35.800536999999998</v>
      </c>
      <c r="G186">
        <v>43261800</v>
      </c>
      <c r="I186">
        <f t="shared" si="6"/>
        <v>-3.5792954453848377E-3</v>
      </c>
      <c r="J186">
        <v>0</v>
      </c>
      <c r="K186">
        <f t="shared" si="7"/>
        <v>-3.5792954453848377E-3</v>
      </c>
      <c r="L186">
        <f t="shared" si="8"/>
        <v>-0.35792954453848375</v>
      </c>
      <c r="M186">
        <v>0.59</v>
      </c>
    </row>
    <row r="187" spans="1:13" x14ac:dyDescent="0.2">
      <c r="A187" s="1">
        <v>44155</v>
      </c>
      <c r="B187">
        <v>36.700001</v>
      </c>
      <c r="C187">
        <v>37.310001</v>
      </c>
      <c r="D187">
        <v>36.439999</v>
      </c>
      <c r="E187">
        <v>36.700001</v>
      </c>
      <c r="F187">
        <v>36.305050000000001</v>
      </c>
      <c r="G187">
        <v>60633800</v>
      </c>
      <c r="I187">
        <f t="shared" si="6"/>
        <v>1.4092330514483704E-2</v>
      </c>
      <c r="J187">
        <v>0</v>
      </c>
      <c r="K187">
        <f t="shared" si="7"/>
        <v>1.4092330514483704E-2</v>
      </c>
      <c r="L187">
        <f t="shared" si="8"/>
        <v>1.4092330514483704</v>
      </c>
      <c r="M187">
        <v>-0.51</v>
      </c>
    </row>
    <row r="188" spans="1:13" x14ac:dyDescent="0.2">
      <c r="A188" s="1">
        <v>44158</v>
      </c>
      <c r="B188">
        <v>37.029998999999997</v>
      </c>
      <c r="C188">
        <v>37.090000000000003</v>
      </c>
      <c r="D188">
        <v>36.209999000000003</v>
      </c>
      <c r="E188">
        <v>36.520000000000003</v>
      </c>
      <c r="F188">
        <v>36.126987</v>
      </c>
      <c r="G188">
        <v>43673100</v>
      </c>
      <c r="I188">
        <f t="shared" si="6"/>
        <v>-4.9046344792253865E-3</v>
      </c>
      <c r="J188">
        <v>0</v>
      </c>
      <c r="K188">
        <f t="shared" si="7"/>
        <v>-4.9046344792253865E-3</v>
      </c>
      <c r="L188">
        <f t="shared" si="8"/>
        <v>-0.49046344792253865</v>
      </c>
      <c r="M188">
        <v>0.83</v>
      </c>
    </row>
    <row r="189" spans="1:13" x14ac:dyDescent="0.2">
      <c r="A189" s="1">
        <v>44159</v>
      </c>
      <c r="B189">
        <v>36.130001</v>
      </c>
      <c r="C189">
        <v>36.740001999999997</v>
      </c>
      <c r="D189">
        <v>36.020000000000003</v>
      </c>
      <c r="E189">
        <v>36.599997999999999</v>
      </c>
      <c r="F189">
        <v>36.206122999999998</v>
      </c>
      <c r="G189">
        <v>42485300</v>
      </c>
      <c r="I189">
        <f t="shared" si="6"/>
        <v>2.190495432126635E-3</v>
      </c>
      <c r="J189">
        <v>0</v>
      </c>
      <c r="K189">
        <f t="shared" si="7"/>
        <v>2.190495432126635E-3</v>
      </c>
      <c r="L189">
        <f t="shared" si="8"/>
        <v>0.21904954321266351</v>
      </c>
      <c r="M189">
        <v>1.56</v>
      </c>
    </row>
    <row r="190" spans="1:13" x14ac:dyDescent="0.2">
      <c r="A190" s="1">
        <v>44160</v>
      </c>
      <c r="B190">
        <v>36.529998999999997</v>
      </c>
      <c r="C190">
        <v>36.560001</v>
      </c>
      <c r="D190">
        <v>36.240001999999997</v>
      </c>
      <c r="E190">
        <v>36.529998999999997</v>
      </c>
      <c r="F190">
        <v>36.136875000000003</v>
      </c>
      <c r="G190">
        <v>26955800</v>
      </c>
      <c r="I190">
        <f t="shared" si="6"/>
        <v>-1.9126046718670941E-3</v>
      </c>
      <c r="J190">
        <v>0</v>
      </c>
      <c r="K190">
        <f t="shared" si="7"/>
        <v>-1.9126046718670941E-3</v>
      </c>
      <c r="L190">
        <f t="shared" si="8"/>
        <v>-0.19126046718670942</v>
      </c>
      <c r="M190">
        <v>0.03</v>
      </c>
    </row>
    <row r="191" spans="1:13" x14ac:dyDescent="0.2">
      <c r="A191" s="1">
        <v>44162</v>
      </c>
      <c r="B191">
        <v>36.779998999999997</v>
      </c>
      <c r="C191">
        <v>37.259998000000003</v>
      </c>
      <c r="D191">
        <v>36.75</v>
      </c>
      <c r="E191">
        <v>37.229999999999997</v>
      </c>
      <c r="F191">
        <v>36.829346000000001</v>
      </c>
      <c r="G191">
        <v>25277000</v>
      </c>
      <c r="I191">
        <f t="shared" si="6"/>
        <v>1.9162448330133624E-2</v>
      </c>
      <c r="J191">
        <v>0</v>
      </c>
      <c r="K191">
        <f t="shared" si="7"/>
        <v>1.9162448330133624E-2</v>
      </c>
      <c r="L191">
        <f t="shared" si="8"/>
        <v>1.9162448330133623</v>
      </c>
      <c r="M191">
        <v>0.43</v>
      </c>
    </row>
    <row r="192" spans="1:13" x14ac:dyDescent="0.2">
      <c r="A192" s="1">
        <v>44165</v>
      </c>
      <c r="B192">
        <v>37.950001</v>
      </c>
      <c r="C192">
        <v>38.799999</v>
      </c>
      <c r="D192">
        <v>37.599997999999999</v>
      </c>
      <c r="E192">
        <v>38.310001</v>
      </c>
      <c r="F192">
        <v>37.897723999999997</v>
      </c>
      <c r="G192">
        <v>65425900</v>
      </c>
      <c r="I192">
        <f t="shared" si="6"/>
        <v>2.9008877866036384E-2</v>
      </c>
      <c r="J192">
        <v>0</v>
      </c>
      <c r="K192">
        <f t="shared" si="7"/>
        <v>2.9008877866036384E-2</v>
      </c>
      <c r="L192">
        <f t="shared" si="8"/>
        <v>2.9008877866036382</v>
      </c>
      <c r="M192">
        <v>-0.53</v>
      </c>
    </row>
    <row r="193" spans="1:13" x14ac:dyDescent="0.2">
      <c r="A193" s="1">
        <v>44166</v>
      </c>
      <c r="B193">
        <v>39.400002000000001</v>
      </c>
      <c r="C193">
        <v>40.5</v>
      </c>
      <c r="D193">
        <v>39.009998000000003</v>
      </c>
      <c r="E193">
        <v>39.409999999999997</v>
      </c>
      <c r="F193">
        <v>38.985886000000001</v>
      </c>
      <c r="G193">
        <v>72660800</v>
      </c>
      <c r="I193">
        <f t="shared" si="6"/>
        <v>2.8713122719454184E-2</v>
      </c>
      <c r="J193">
        <v>0</v>
      </c>
      <c r="K193">
        <f t="shared" si="7"/>
        <v>2.8713122719454184E-2</v>
      </c>
      <c r="L193">
        <f t="shared" si="8"/>
        <v>2.8713122719454183</v>
      </c>
      <c r="M193">
        <v>0.98</v>
      </c>
    </row>
    <row r="194" spans="1:13" x14ac:dyDescent="0.2">
      <c r="A194" s="1">
        <v>44167</v>
      </c>
      <c r="B194">
        <v>40.470001000000003</v>
      </c>
      <c r="C194">
        <v>41.41</v>
      </c>
      <c r="D194">
        <v>40.299999</v>
      </c>
      <c r="E194">
        <v>40.799999</v>
      </c>
      <c r="F194">
        <v>40.360923999999997</v>
      </c>
      <c r="G194">
        <v>84347500</v>
      </c>
      <c r="I194">
        <f t="shared" si="6"/>
        <v>3.5270148791795998E-2</v>
      </c>
      <c r="J194">
        <v>0</v>
      </c>
      <c r="K194">
        <f t="shared" si="7"/>
        <v>3.5270148791795998E-2</v>
      </c>
      <c r="L194">
        <f t="shared" si="8"/>
        <v>3.5270148791795997</v>
      </c>
      <c r="M194">
        <v>0.11</v>
      </c>
    </row>
    <row r="195" spans="1:13" x14ac:dyDescent="0.2">
      <c r="A195" s="1">
        <v>44168</v>
      </c>
      <c r="B195">
        <v>40.98</v>
      </c>
      <c r="C195">
        <v>41.029998999999997</v>
      </c>
      <c r="D195">
        <v>39.520000000000003</v>
      </c>
      <c r="E195">
        <v>40.090000000000003</v>
      </c>
      <c r="F195">
        <v>39.658566</v>
      </c>
      <c r="G195">
        <v>68570100</v>
      </c>
      <c r="I195">
        <f t="shared" si="6"/>
        <v>-1.7401930639645336E-2</v>
      </c>
      <c r="J195">
        <v>0</v>
      </c>
      <c r="K195">
        <f t="shared" si="7"/>
        <v>-1.7401930639645336E-2</v>
      </c>
      <c r="L195">
        <f t="shared" si="8"/>
        <v>-1.7401930639645335</v>
      </c>
      <c r="M195">
        <v>0.18</v>
      </c>
    </row>
    <row r="196" spans="1:13" x14ac:dyDescent="0.2">
      <c r="A196" s="1">
        <v>44169</v>
      </c>
      <c r="B196">
        <v>39.889999000000003</v>
      </c>
      <c r="C196">
        <v>40.450001</v>
      </c>
      <c r="D196">
        <v>39.889999000000003</v>
      </c>
      <c r="E196">
        <v>40.340000000000003</v>
      </c>
      <c r="F196">
        <v>39.905875999999999</v>
      </c>
      <c r="G196">
        <v>35368100</v>
      </c>
      <c r="I196">
        <f t="shared" ref="I196:I252" si="9">(F196-F195)/F195</f>
        <v>6.235979384630266E-3</v>
      </c>
      <c r="J196">
        <v>0</v>
      </c>
      <c r="K196">
        <f t="shared" ref="K196:K252" si="10">I196-J196</f>
        <v>6.235979384630266E-3</v>
      </c>
      <c r="L196">
        <f t="shared" ref="L196:L252" si="11">100*K196</f>
        <v>0.62359793846302658</v>
      </c>
      <c r="M196">
        <v>1.02</v>
      </c>
    </row>
    <row r="197" spans="1:13" x14ac:dyDescent="0.2">
      <c r="A197" s="1">
        <v>44172</v>
      </c>
      <c r="B197">
        <v>40.659999999999997</v>
      </c>
      <c r="C197">
        <v>41.400002000000001</v>
      </c>
      <c r="D197">
        <v>40.369999</v>
      </c>
      <c r="E197">
        <v>41.25</v>
      </c>
      <c r="F197">
        <v>40.806083999999998</v>
      </c>
      <c r="G197">
        <v>48253700</v>
      </c>
      <c r="I197">
        <f t="shared" si="9"/>
        <v>2.255828189312269E-2</v>
      </c>
      <c r="J197">
        <v>0</v>
      </c>
      <c r="K197">
        <f t="shared" si="10"/>
        <v>2.255828189312269E-2</v>
      </c>
      <c r="L197">
        <f t="shared" si="11"/>
        <v>2.2558281893122691</v>
      </c>
      <c r="M197">
        <v>0.03</v>
      </c>
    </row>
    <row r="198" spans="1:13" x14ac:dyDescent="0.2">
      <c r="A198" s="1">
        <v>44173</v>
      </c>
      <c r="B198">
        <v>41.400002000000001</v>
      </c>
      <c r="C198">
        <v>42.77</v>
      </c>
      <c r="D198">
        <v>41.349997999999999</v>
      </c>
      <c r="E198">
        <v>42.560001</v>
      </c>
      <c r="F198">
        <v>42.101985999999997</v>
      </c>
      <c r="G198">
        <v>87039300</v>
      </c>
      <c r="I198">
        <f t="shared" si="9"/>
        <v>3.1757568307706228E-2</v>
      </c>
      <c r="J198">
        <v>0</v>
      </c>
      <c r="K198">
        <f t="shared" si="10"/>
        <v>3.1757568307706228E-2</v>
      </c>
      <c r="L198">
        <f t="shared" si="11"/>
        <v>3.1757568307706228</v>
      </c>
      <c r="M198">
        <v>0.47</v>
      </c>
    </row>
    <row r="199" spans="1:13" x14ac:dyDescent="0.2">
      <c r="A199" s="1">
        <v>44174</v>
      </c>
      <c r="B199">
        <v>43.07</v>
      </c>
      <c r="C199">
        <v>43.080002</v>
      </c>
      <c r="D199">
        <v>41.130001</v>
      </c>
      <c r="E199">
        <v>41.849997999999999</v>
      </c>
      <c r="F199">
        <v>41.399624000000003</v>
      </c>
      <c r="G199">
        <v>86118500</v>
      </c>
      <c r="I199">
        <f t="shared" si="9"/>
        <v>-1.6682395932581275E-2</v>
      </c>
      <c r="J199">
        <v>0</v>
      </c>
      <c r="K199">
        <f t="shared" si="10"/>
        <v>-1.6682395932581275E-2</v>
      </c>
      <c r="L199">
        <f t="shared" si="11"/>
        <v>-1.6682395932581275</v>
      </c>
      <c r="M199">
        <v>-1.03</v>
      </c>
    </row>
    <row r="200" spans="1:13" x14ac:dyDescent="0.2">
      <c r="A200" s="1">
        <v>44175</v>
      </c>
      <c r="B200">
        <v>41.82</v>
      </c>
      <c r="C200">
        <v>42.220001000000003</v>
      </c>
      <c r="D200">
        <v>41.450001</v>
      </c>
      <c r="E200">
        <v>41.73</v>
      </c>
      <c r="F200">
        <v>41.280918</v>
      </c>
      <c r="G200">
        <v>57749200</v>
      </c>
      <c r="I200">
        <f t="shared" si="9"/>
        <v>-2.8673207273574048E-3</v>
      </c>
      <c r="J200">
        <v>0</v>
      </c>
      <c r="K200">
        <f t="shared" si="10"/>
        <v>-2.8673207273574048E-3</v>
      </c>
      <c r="L200">
        <f t="shared" si="11"/>
        <v>-0.28673207273574047</v>
      </c>
      <c r="M200">
        <v>0.24</v>
      </c>
    </row>
    <row r="201" spans="1:13" x14ac:dyDescent="0.2">
      <c r="A201" s="1">
        <v>44176</v>
      </c>
      <c r="B201">
        <v>41.970001000000003</v>
      </c>
      <c r="C201">
        <v>42.07</v>
      </c>
      <c r="D201">
        <v>40.689999</v>
      </c>
      <c r="E201">
        <v>41.119999</v>
      </c>
      <c r="F201">
        <v>40.677483000000002</v>
      </c>
      <c r="G201">
        <v>60737000</v>
      </c>
      <c r="I201">
        <f t="shared" si="9"/>
        <v>-1.4617770854805059E-2</v>
      </c>
      <c r="J201">
        <v>0</v>
      </c>
      <c r="K201">
        <f t="shared" si="10"/>
        <v>-1.4617770854805059E-2</v>
      </c>
      <c r="L201">
        <f t="shared" si="11"/>
        <v>-1.4617770854805059</v>
      </c>
      <c r="M201">
        <v>-0.2</v>
      </c>
    </row>
    <row r="202" spans="1:13" x14ac:dyDescent="0.2">
      <c r="A202" s="1">
        <v>44179</v>
      </c>
      <c r="B202">
        <v>41.619999</v>
      </c>
      <c r="C202">
        <v>41.66</v>
      </c>
      <c r="D202">
        <v>39.07</v>
      </c>
      <c r="E202">
        <v>39.209999000000003</v>
      </c>
      <c r="F202">
        <v>38.788035999999998</v>
      </c>
      <c r="G202">
        <v>94809700</v>
      </c>
      <c r="I202">
        <f t="shared" si="9"/>
        <v>-4.6449457062031199E-2</v>
      </c>
      <c r="J202">
        <v>0</v>
      </c>
      <c r="K202">
        <f t="shared" si="10"/>
        <v>-4.6449457062031199E-2</v>
      </c>
      <c r="L202">
        <f t="shared" si="11"/>
        <v>-4.6449457062031199</v>
      </c>
      <c r="M202">
        <v>-0.28000000000000003</v>
      </c>
    </row>
    <row r="203" spans="1:13" x14ac:dyDescent="0.2">
      <c r="A203" s="1">
        <v>44180</v>
      </c>
      <c r="B203">
        <v>39.060001</v>
      </c>
      <c r="C203">
        <v>39.18</v>
      </c>
      <c r="D203">
        <v>38.209999000000003</v>
      </c>
      <c r="E203">
        <v>38.709999000000003</v>
      </c>
      <c r="F203">
        <v>38.293415000000003</v>
      </c>
      <c r="G203">
        <v>66003300</v>
      </c>
      <c r="I203">
        <f t="shared" si="9"/>
        <v>-1.2751895971221516E-2</v>
      </c>
      <c r="J203">
        <v>0</v>
      </c>
      <c r="K203">
        <f t="shared" si="10"/>
        <v>-1.2751895971221516E-2</v>
      </c>
      <c r="L203">
        <f t="shared" si="11"/>
        <v>-1.2751895971221516</v>
      </c>
      <c r="M203">
        <v>1.28</v>
      </c>
    </row>
    <row r="204" spans="1:13" x14ac:dyDescent="0.2">
      <c r="A204" s="1">
        <v>44181</v>
      </c>
      <c r="B204">
        <v>38.18</v>
      </c>
      <c r="C204">
        <v>38.470001000000003</v>
      </c>
      <c r="D204">
        <v>37.740001999999997</v>
      </c>
      <c r="E204">
        <v>37.840000000000003</v>
      </c>
      <c r="F204">
        <v>37.432780999999999</v>
      </c>
      <c r="G204">
        <v>56515300</v>
      </c>
      <c r="I204">
        <f t="shared" si="9"/>
        <v>-2.2474725745927973E-2</v>
      </c>
      <c r="J204">
        <v>0</v>
      </c>
      <c r="K204">
        <f t="shared" si="10"/>
        <v>-2.2474725745927973E-2</v>
      </c>
      <c r="L204">
        <f t="shared" si="11"/>
        <v>-2.2474725745927975</v>
      </c>
      <c r="M204">
        <v>0.17</v>
      </c>
    </row>
    <row r="205" spans="1:13" x14ac:dyDescent="0.2">
      <c r="A205" s="1">
        <v>44182</v>
      </c>
      <c r="B205">
        <v>37.830002</v>
      </c>
      <c r="C205">
        <v>38.119999</v>
      </c>
      <c r="D205">
        <v>37.310001</v>
      </c>
      <c r="E205">
        <v>38.029998999999997</v>
      </c>
      <c r="F205">
        <v>37.620735000000003</v>
      </c>
      <c r="G205">
        <v>52036400</v>
      </c>
      <c r="I205">
        <f t="shared" si="9"/>
        <v>5.0211070345001843E-3</v>
      </c>
      <c r="J205">
        <v>0</v>
      </c>
      <c r="K205">
        <f t="shared" si="10"/>
        <v>5.0211070345001843E-3</v>
      </c>
      <c r="L205">
        <f t="shared" si="11"/>
        <v>0.5021107034500184</v>
      </c>
      <c r="M205">
        <v>0.79</v>
      </c>
    </row>
    <row r="206" spans="1:13" x14ac:dyDescent="0.2">
      <c r="A206" s="1">
        <v>44183</v>
      </c>
      <c r="B206">
        <v>37.990001999999997</v>
      </c>
      <c r="C206">
        <v>38.090000000000003</v>
      </c>
      <c r="D206">
        <v>37.5</v>
      </c>
      <c r="E206">
        <v>37.68</v>
      </c>
      <c r="F206">
        <v>37.274501999999998</v>
      </c>
      <c r="G206">
        <v>60259200</v>
      </c>
      <c r="I206">
        <f t="shared" si="9"/>
        <v>-9.2032492188152386E-3</v>
      </c>
      <c r="J206">
        <v>0</v>
      </c>
      <c r="K206">
        <f t="shared" si="10"/>
        <v>-9.2032492188152386E-3</v>
      </c>
      <c r="L206">
        <f t="shared" si="11"/>
        <v>-0.92032492188152382</v>
      </c>
      <c r="M206">
        <v>-0.12</v>
      </c>
    </row>
    <row r="207" spans="1:13" x14ac:dyDescent="0.2">
      <c r="A207" s="1">
        <v>44186</v>
      </c>
      <c r="B207">
        <v>37.279998999999997</v>
      </c>
      <c r="C207">
        <v>37.400002000000001</v>
      </c>
      <c r="D207">
        <v>36.909999999999997</v>
      </c>
      <c r="E207">
        <v>37.380001</v>
      </c>
      <c r="F207">
        <v>36.977733999999998</v>
      </c>
      <c r="G207">
        <v>40891800</v>
      </c>
      <c r="I207">
        <f t="shared" si="9"/>
        <v>-7.9616891997644976E-3</v>
      </c>
      <c r="J207">
        <v>0</v>
      </c>
      <c r="K207">
        <f t="shared" si="10"/>
        <v>-7.9616891997644976E-3</v>
      </c>
      <c r="L207">
        <f t="shared" si="11"/>
        <v>-0.79616891997644978</v>
      </c>
      <c r="M207">
        <v>-0.23</v>
      </c>
    </row>
    <row r="208" spans="1:13" x14ac:dyDescent="0.2">
      <c r="A208" s="1">
        <v>44187</v>
      </c>
      <c r="B208">
        <v>37.209999000000003</v>
      </c>
      <c r="C208">
        <v>37.330002</v>
      </c>
      <c r="D208">
        <v>36.599997999999999</v>
      </c>
      <c r="E208">
        <v>36.740001999999997</v>
      </c>
      <c r="F208">
        <v>36.344619999999999</v>
      </c>
      <c r="G208">
        <v>33634400</v>
      </c>
      <c r="I208">
        <f t="shared" si="9"/>
        <v>-1.7121492625805548E-2</v>
      </c>
      <c r="J208">
        <v>0</v>
      </c>
      <c r="K208">
        <f t="shared" si="10"/>
        <v>-1.7121492625805548E-2</v>
      </c>
      <c r="L208">
        <f t="shared" si="11"/>
        <v>-1.7121492625805548</v>
      </c>
      <c r="M208">
        <v>0.06</v>
      </c>
    </row>
    <row r="209" spans="1:13" x14ac:dyDescent="0.2">
      <c r="A209" s="1">
        <v>44188</v>
      </c>
      <c r="B209">
        <v>37.009998000000003</v>
      </c>
      <c r="C209">
        <v>37.650002000000001</v>
      </c>
      <c r="D209">
        <v>36.880001</v>
      </c>
      <c r="E209">
        <v>37.439999</v>
      </c>
      <c r="F209">
        <v>37.037083000000003</v>
      </c>
      <c r="G209">
        <v>36182000</v>
      </c>
      <c r="I209">
        <f t="shared" si="9"/>
        <v>1.9052696107429479E-2</v>
      </c>
      <c r="J209">
        <v>0</v>
      </c>
      <c r="K209">
        <f t="shared" si="10"/>
        <v>1.9052696107429479E-2</v>
      </c>
      <c r="L209">
        <f t="shared" si="11"/>
        <v>1.9052696107429479</v>
      </c>
      <c r="M209">
        <v>0.1</v>
      </c>
    </row>
    <row r="210" spans="1:13" x14ac:dyDescent="0.2">
      <c r="A210" s="1">
        <v>44189</v>
      </c>
      <c r="B210">
        <v>37.400002000000001</v>
      </c>
      <c r="C210">
        <v>37.57</v>
      </c>
      <c r="D210">
        <v>37.18</v>
      </c>
      <c r="E210">
        <v>37.270000000000003</v>
      </c>
      <c r="F210">
        <v>36.868915999999999</v>
      </c>
      <c r="G210">
        <v>14790100</v>
      </c>
      <c r="I210">
        <f t="shared" si="9"/>
        <v>-4.54050336523543E-3</v>
      </c>
      <c r="J210">
        <v>0</v>
      </c>
      <c r="K210">
        <f t="shared" si="10"/>
        <v>-4.54050336523543E-3</v>
      </c>
      <c r="L210">
        <f t="shared" si="11"/>
        <v>-0.45405033652354299</v>
      </c>
      <c r="M210">
        <v>0.21</v>
      </c>
    </row>
    <row r="211" spans="1:13" x14ac:dyDescent="0.2">
      <c r="A211" s="1">
        <v>44193</v>
      </c>
      <c r="B211">
        <v>37.360000999999997</v>
      </c>
      <c r="C211">
        <v>37.580002</v>
      </c>
      <c r="D211">
        <v>36.68</v>
      </c>
      <c r="E211">
        <v>36.82</v>
      </c>
      <c r="F211">
        <v>36.423755999999997</v>
      </c>
      <c r="G211">
        <v>26993700</v>
      </c>
      <c r="I211">
        <f t="shared" si="9"/>
        <v>-1.2074127701503384E-2</v>
      </c>
      <c r="J211">
        <v>0</v>
      </c>
      <c r="K211">
        <f t="shared" si="10"/>
        <v>-1.2074127701503384E-2</v>
      </c>
      <c r="L211">
        <f t="shared" si="11"/>
        <v>-1.2074127701503383</v>
      </c>
      <c r="M211">
        <v>0.46</v>
      </c>
    </row>
    <row r="212" spans="1:13" x14ac:dyDescent="0.2">
      <c r="A212" s="1">
        <v>44194</v>
      </c>
      <c r="B212">
        <v>36.900002000000001</v>
      </c>
      <c r="C212">
        <v>37.200001</v>
      </c>
      <c r="D212">
        <v>36.790000999999997</v>
      </c>
      <c r="E212">
        <v>37.049999</v>
      </c>
      <c r="F212">
        <v>36.651279000000002</v>
      </c>
      <c r="G212">
        <v>23152100</v>
      </c>
      <c r="I212">
        <f t="shared" si="9"/>
        <v>6.2465551328645249E-3</v>
      </c>
      <c r="J212">
        <v>0</v>
      </c>
      <c r="K212">
        <f t="shared" si="10"/>
        <v>6.2465551328645249E-3</v>
      </c>
      <c r="L212">
        <f t="shared" si="11"/>
        <v>0.62465551328645252</v>
      </c>
      <c r="M212">
        <v>-0.4</v>
      </c>
    </row>
    <row r="213" spans="1:13" x14ac:dyDescent="0.2">
      <c r="A213" s="1">
        <v>44195</v>
      </c>
      <c r="B213">
        <v>37.029998999999997</v>
      </c>
      <c r="C213">
        <v>37.240001999999997</v>
      </c>
      <c r="D213">
        <v>36.700001</v>
      </c>
      <c r="E213">
        <v>36.740001999999997</v>
      </c>
      <c r="F213">
        <v>36.344619999999999</v>
      </c>
      <c r="G213">
        <v>24889800</v>
      </c>
      <c r="I213">
        <f t="shared" si="9"/>
        <v>-8.3669385725939696E-3</v>
      </c>
      <c r="J213">
        <v>0</v>
      </c>
      <c r="K213">
        <f t="shared" si="10"/>
        <v>-8.3669385725939696E-3</v>
      </c>
      <c r="L213">
        <f t="shared" si="11"/>
        <v>-0.83669385725939693</v>
      </c>
      <c r="M213">
        <v>0.27</v>
      </c>
    </row>
    <row r="214" spans="1:13" x14ac:dyDescent="0.2">
      <c r="A214" s="1">
        <v>44196</v>
      </c>
      <c r="B214">
        <v>36.659999999999997</v>
      </c>
      <c r="C214">
        <v>36.919998</v>
      </c>
      <c r="D214">
        <v>36.290000999999997</v>
      </c>
      <c r="E214">
        <v>36.810001</v>
      </c>
      <c r="F214">
        <v>36.413868000000001</v>
      </c>
      <c r="G214">
        <v>30796500</v>
      </c>
      <c r="I214">
        <f t="shared" si="9"/>
        <v>1.9053163852036906E-3</v>
      </c>
      <c r="J214">
        <v>0</v>
      </c>
      <c r="K214">
        <f t="shared" si="10"/>
        <v>1.9053163852036906E-3</v>
      </c>
      <c r="L214">
        <f t="shared" si="11"/>
        <v>0.19053163852036906</v>
      </c>
      <c r="M214">
        <v>0.39</v>
      </c>
    </row>
    <row r="215" spans="1:13" x14ac:dyDescent="0.2">
      <c r="A215" s="1">
        <v>44200</v>
      </c>
      <c r="B215">
        <v>36.869999</v>
      </c>
      <c r="C215">
        <v>36.939999</v>
      </c>
      <c r="D215">
        <v>36.270000000000003</v>
      </c>
      <c r="E215">
        <v>36.810001</v>
      </c>
      <c r="F215">
        <v>36.413868000000001</v>
      </c>
      <c r="G215">
        <v>33565700</v>
      </c>
      <c r="I215">
        <f t="shared" si="9"/>
        <v>0</v>
      </c>
      <c r="J215">
        <v>0</v>
      </c>
      <c r="K215">
        <f t="shared" si="10"/>
        <v>0</v>
      </c>
      <c r="L215">
        <f t="shared" si="11"/>
        <v>0</v>
      </c>
      <c r="M215">
        <v>-1.41</v>
      </c>
    </row>
    <row r="216" spans="1:13" x14ac:dyDescent="0.2">
      <c r="A216" s="1">
        <v>44201</v>
      </c>
      <c r="B216">
        <v>36.720001000000003</v>
      </c>
      <c r="C216">
        <v>37.369999</v>
      </c>
      <c r="D216">
        <v>36.599997999999999</v>
      </c>
      <c r="E216">
        <v>37.189999</v>
      </c>
      <c r="F216">
        <v>36.789776000000003</v>
      </c>
      <c r="G216">
        <v>29909400</v>
      </c>
      <c r="I216">
        <f t="shared" si="9"/>
        <v>1.0323209827640463E-2</v>
      </c>
      <c r="J216">
        <v>0</v>
      </c>
      <c r="K216">
        <f t="shared" si="10"/>
        <v>1.0323209827640463E-2</v>
      </c>
      <c r="L216">
        <f t="shared" si="11"/>
        <v>1.0323209827640463</v>
      </c>
      <c r="M216">
        <v>0.86</v>
      </c>
    </row>
    <row r="217" spans="1:13" x14ac:dyDescent="0.2">
      <c r="A217" s="1">
        <v>44202</v>
      </c>
      <c r="B217">
        <v>36.830002</v>
      </c>
      <c r="C217">
        <v>37.479999999999997</v>
      </c>
      <c r="D217">
        <v>36.770000000000003</v>
      </c>
      <c r="E217">
        <v>36.869999</v>
      </c>
      <c r="F217">
        <v>36.473216999999998</v>
      </c>
      <c r="G217">
        <v>34962500</v>
      </c>
      <c r="I217">
        <f t="shared" si="9"/>
        <v>-8.6045373040598318E-3</v>
      </c>
      <c r="J217">
        <v>0</v>
      </c>
      <c r="K217">
        <f t="shared" si="10"/>
        <v>-8.6045373040598318E-3</v>
      </c>
      <c r="L217">
        <f t="shared" si="11"/>
        <v>-0.86045373040598316</v>
      </c>
      <c r="M217">
        <v>0.79</v>
      </c>
    </row>
    <row r="218" spans="1:13" x14ac:dyDescent="0.2">
      <c r="A218" s="1">
        <v>44203</v>
      </c>
      <c r="B218">
        <v>37.040000999999997</v>
      </c>
      <c r="C218">
        <v>37.150002000000001</v>
      </c>
      <c r="D218">
        <v>36.669998</v>
      </c>
      <c r="E218">
        <v>37.060001</v>
      </c>
      <c r="F218">
        <v>36.661175</v>
      </c>
      <c r="G218">
        <v>27809500</v>
      </c>
      <c r="I218">
        <f t="shared" si="9"/>
        <v>5.1533156507692166E-3</v>
      </c>
      <c r="J218">
        <v>0</v>
      </c>
      <c r="K218">
        <f t="shared" si="10"/>
        <v>5.1533156507692166E-3</v>
      </c>
      <c r="L218">
        <f t="shared" si="11"/>
        <v>0.51533156507692168</v>
      </c>
      <c r="M218">
        <v>1.76</v>
      </c>
    </row>
    <row r="219" spans="1:13" x14ac:dyDescent="0.2">
      <c r="A219" s="1">
        <v>44204</v>
      </c>
      <c r="B219">
        <v>37.159999999999997</v>
      </c>
      <c r="C219">
        <v>37.529998999999997</v>
      </c>
      <c r="D219">
        <v>36.900002000000001</v>
      </c>
      <c r="E219">
        <v>37.130001</v>
      </c>
      <c r="F219">
        <v>36.730423000000002</v>
      </c>
      <c r="G219">
        <v>33462400</v>
      </c>
      <c r="I219">
        <f t="shared" si="9"/>
        <v>1.8888647186022203E-3</v>
      </c>
      <c r="J219">
        <v>0</v>
      </c>
      <c r="K219">
        <f t="shared" si="10"/>
        <v>1.8888647186022203E-3</v>
      </c>
      <c r="L219">
        <f t="shared" si="11"/>
        <v>0.18888647186022203</v>
      </c>
      <c r="M219">
        <v>0.51</v>
      </c>
    </row>
    <row r="220" spans="1:13" x14ac:dyDescent="0.2">
      <c r="A220" s="1">
        <v>44207</v>
      </c>
      <c r="B220">
        <v>37.220001000000003</v>
      </c>
      <c r="C220">
        <v>37.830002</v>
      </c>
      <c r="D220">
        <v>37.150002000000001</v>
      </c>
      <c r="E220">
        <v>37.770000000000003</v>
      </c>
      <c r="F220">
        <v>37.363532999999997</v>
      </c>
      <c r="G220">
        <v>47326600</v>
      </c>
      <c r="I220">
        <f t="shared" si="9"/>
        <v>1.7236665093674389E-2</v>
      </c>
      <c r="J220">
        <v>0</v>
      </c>
      <c r="K220">
        <f t="shared" si="10"/>
        <v>1.7236665093674389E-2</v>
      </c>
      <c r="L220">
        <f t="shared" si="11"/>
        <v>1.723666509367439</v>
      </c>
      <c r="M220">
        <v>-0.51</v>
      </c>
    </row>
    <row r="221" spans="1:13" x14ac:dyDescent="0.2">
      <c r="A221" s="1">
        <v>44208</v>
      </c>
      <c r="B221">
        <v>37.700001</v>
      </c>
      <c r="C221">
        <v>37.790000999999997</v>
      </c>
      <c r="D221">
        <v>36.82</v>
      </c>
      <c r="E221">
        <v>37.18</v>
      </c>
      <c r="F221">
        <v>36.779884000000003</v>
      </c>
      <c r="G221">
        <v>47831100</v>
      </c>
      <c r="I221">
        <f t="shared" si="9"/>
        <v>-1.5620819369517175E-2</v>
      </c>
      <c r="J221">
        <v>0</v>
      </c>
      <c r="K221">
        <f t="shared" si="10"/>
        <v>-1.5620819369517175E-2</v>
      </c>
      <c r="L221">
        <f t="shared" si="11"/>
        <v>-1.5620819369517176</v>
      </c>
      <c r="M221">
        <v>0.38</v>
      </c>
    </row>
    <row r="222" spans="1:13" x14ac:dyDescent="0.2">
      <c r="A222" s="1">
        <v>44209</v>
      </c>
      <c r="B222">
        <v>37</v>
      </c>
      <c r="C222">
        <v>37.169998</v>
      </c>
      <c r="D222">
        <v>36.639999000000003</v>
      </c>
      <c r="E222">
        <v>36.860000999999997</v>
      </c>
      <c r="F222">
        <v>36.463326000000002</v>
      </c>
      <c r="G222">
        <v>31027900</v>
      </c>
      <c r="I222">
        <f t="shared" si="9"/>
        <v>-8.6068243173360887E-3</v>
      </c>
      <c r="J222">
        <v>0</v>
      </c>
      <c r="K222">
        <f t="shared" si="10"/>
        <v>-8.6068243173360887E-3</v>
      </c>
      <c r="L222">
        <f t="shared" si="11"/>
        <v>-0.86068243173360892</v>
      </c>
      <c r="M222">
        <v>7.0000000000000007E-2</v>
      </c>
    </row>
    <row r="223" spans="1:13" x14ac:dyDescent="0.2">
      <c r="A223" s="1">
        <v>44210</v>
      </c>
      <c r="B223">
        <v>36.779998999999997</v>
      </c>
      <c r="C223">
        <v>36.959999000000003</v>
      </c>
      <c r="D223">
        <v>36.610000999999997</v>
      </c>
      <c r="E223">
        <v>36.75</v>
      </c>
      <c r="F223">
        <v>36.354511000000002</v>
      </c>
      <c r="G223">
        <v>30272000</v>
      </c>
      <c r="I223">
        <f t="shared" si="9"/>
        <v>-2.9842313342452599E-3</v>
      </c>
      <c r="J223">
        <v>0</v>
      </c>
      <c r="K223">
        <f t="shared" si="10"/>
        <v>-2.9842313342452599E-3</v>
      </c>
      <c r="L223">
        <f t="shared" si="11"/>
        <v>-0.29842313342452598</v>
      </c>
      <c r="M223">
        <v>-0.11</v>
      </c>
    </row>
    <row r="224" spans="1:13" x14ac:dyDescent="0.2">
      <c r="A224" s="1">
        <v>44211</v>
      </c>
      <c r="B224">
        <v>36.68</v>
      </c>
      <c r="C224">
        <v>36.779998999999997</v>
      </c>
      <c r="D224">
        <v>36.400002000000001</v>
      </c>
      <c r="E224">
        <v>36.700001</v>
      </c>
      <c r="F224">
        <v>36.305050000000001</v>
      </c>
      <c r="G224">
        <v>34287800</v>
      </c>
      <c r="I224">
        <f t="shared" si="9"/>
        <v>-1.3605189188214046E-3</v>
      </c>
      <c r="J224">
        <v>0</v>
      </c>
      <c r="K224">
        <f t="shared" si="10"/>
        <v>-1.3605189188214046E-3</v>
      </c>
      <c r="L224">
        <f t="shared" si="11"/>
        <v>-0.13605189188214045</v>
      </c>
      <c r="M224">
        <v>-0.86</v>
      </c>
    </row>
    <row r="225" spans="1:13" x14ac:dyDescent="0.2">
      <c r="A225" s="1">
        <v>44215</v>
      </c>
      <c r="B225">
        <v>36.759998000000003</v>
      </c>
      <c r="C225">
        <v>37</v>
      </c>
      <c r="D225">
        <v>36.619999</v>
      </c>
      <c r="E225">
        <v>36.729999999999997</v>
      </c>
      <c r="F225">
        <v>36.334724000000001</v>
      </c>
      <c r="G225">
        <v>33451300</v>
      </c>
      <c r="I225">
        <f t="shared" si="9"/>
        <v>8.1735185600901184E-4</v>
      </c>
      <c r="J225">
        <v>0</v>
      </c>
      <c r="K225">
        <f t="shared" si="10"/>
        <v>8.1735185600901184E-4</v>
      </c>
      <c r="L225">
        <f t="shared" si="11"/>
        <v>8.1735185600901178E-2</v>
      </c>
      <c r="M225">
        <v>0.91</v>
      </c>
    </row>
    <row r="226" spans="1:13" x14ac:dyDescent="0.2">
      <c r="A226" s="1">
        <v>44216</v>
      </c>
      <c r="B226">
        <v>36.790000999999997</v>
      </c>
      <c r="C226">
        <v>36.810001</v>
      </c>
      <c r="D226">
        <v>36.459999000000003</v>
      </c>
      <c r="E226">
        <v>36.5</v>
      </c>
      <c r="F226">
        <v>36.107201000000003</v>
      </c>
      <c r="G226">
        <v>35400100</v>
      </c>
      <c r="I226">
        <f t="shared" si="9"/>
        <v>-6.2618612432558431E-3</v>
      </c>
      <c r="J226">
        <v>0</v>
      </c>
      <c r="K226">
        <f t="shared" si="10"/>
        <v>-6.2618612432558431E-3</v>
      </c>
      <c r="L226">
        <f t="shared" si="11"/>
        <v>-0.62618612432558429</v>
      </c>
      <c r="M226">
        <v>1.26</v>
      </c>
    </row>
    <row r="227" spans="1:13" x14ac:dyDescent="0.2">
      <c r="A227" s="1">
        <v>44217</v>
      </c>
      <c r="B227">
        <v>36.389999000000003</v>
      </c>
      <c r="C227">
        <v>36.590000000000003</v>
      </c>
      <c r="D227">
        <v>36.150002000000001</v>
      </c>
      <c r="E227">
        <v>36.479999999999997</v>
      </c>
      <c r="F227">
        <v>36.087418</v>
      </c>
      <c r="G227">
        <v>33864100</v>
      </c>
      <c r="I227">
        <f t="shared" si="9"/>
        <v>-5.4789624928290289E-4</v>
      </c>
      <c r="J227">
        <v>0</v>
      </c>
      <c r="K227">
        <f t="shared" si="10"/>
        <v>-5.4789624928290289E-4</v>
      </c>
      <c r="L227">
        <f t="shared" si="11"/>
        <v>-5.4789624928290287E-2</v>
      </c>
      <c r="M227">
        <v>-0.04</v>
      </c>
    </row>
    <row r="228" spans="1:13" x14ac:dyDescent="0.2">
      <c r="A228" s="1">
        <v>44218</v>
      </c>
      <c r="B228">
        <v>36.32</v>
      </c>
      <c r="C228">
        <v>36.830002</v>
      </c>
      <c r="D228">
        <v>36.25</v>
      </c>
      <c r="E228">
        <v>36.549999</v>
      </c>
      <c r="F228">
        <v>36.156661999999997</v>
      </c>
      <c r="G228">
        <v>26271200</v>
      </c>
      <c r="I228">
        <f t="shared" si="9"/>
        <v>1.9187851012227486E-3</v>
      </c>
      <c r="J228">
        <v>0</v>
      </c>
      <c r="K228">
        <f t="shared" si="10"/>
        <v>1.9187851012227486E-3</v>
      </c>
      <c r="L228">
        <f t="shared" si="11"/>
        <v>0.19187851012227486</v>
      </c>
      <c r="M228">
        <v>-7.0000000000000007E-2</v>
      </c>
    </row>
    <row r="229" spans="1:13" x14ac:dyDescent="0.2">
      <c r="A229" s="1">
        <v>44221</v>
      </c>
      <c r="B229">
        <v>36.549999</v>
      </c>
      <c r="C229">
        <v>37.290000999999997</v>
      </c>
      <c r="D229">
        <v>36.32</v>
      </c>
      <c r="E229">
        <v>37.279998999999997</v>
      </c>
      <c r="F229">
        <v>36.878807000000002</v>
      </c>
      <c r="G229">
        <v>31728500</v>
      </c>
      <c r="I229">
        <f t="shared" si="9"/>
        <v>1.9972667830896688E-2</v>
      </c>
      <c r="J229">
        <v>0</v>
      </c>
      <c r="K229">
        <f t="shared" si="10"/>
        <v>1.9972667830896688E-2</v>
      </c>
      <c r="L229">
        <f t="shared" si="11"/>
        <v>1.9972667830896689</v>
      </c>
      <c r="M229">
        <v>0.28000000000000003</v>
      </c>
    </row>
    <row r="230" spans="1:13" x14ac:dyDescent="0.2">
      <c r="A230" s="1">
        <v>44222</v>
      </c>
      <c r="B230">
        <v>37.270000000000003</v>
      </c>
      <c r="C230">
        <v>37.599997999999999</v>
      </c>
      <c r="D230">
        <v>37.159999999999997</v>
      </c>
      <c r="E230">
        <v>37.310001</v>
      </c>
      <c r="F230">
        <v>36.908484999999999</v>
      </c>
      <c r="G230">
        <v>27718700</v>
      </c>
      <c r="I230">
        <f t="shared" si="9"/>
        <v>8.0474403632408667E-4</v>
      </c>
      <c r="J230">
        <v>0</v>
      </c>
      <c r="K230">
        <f t="shared" si="10"/>
        <v>8.0474403632408667E-4</v>
      </c>
      <c r="L230">
        <f t="shared" si="11"/>
        <v>8.0474403632408667E-2</v>
      </c>
      <c r="M230">
        <v>-0.32</v>
      </c>
    </row>
    <row r="231" spans="1:13" x14ac:dyDescent="0.2">
      <c r="A231" s="1">
        <v>44223</v>
      </c>
      <c r="B231">
        <v>36.990001999999997</v>
      </c>
      <c r="C231">
        <v>37.040000999999997</v>
      </c>
      <c r="D231">
        <v>36.169998</v>
      </c>
      <c r="E231">
        <v>36.240001999999997</v>
      </c>
      <c r="F231">
        <v>35.850002000000003</v>
      </c>
      <c r="G231">
        <v>50561200</v>
      </c>
      <c r="I231">
        <f t="shared" si="9"/>
        <v>-2.8678581632380615E-2</v>
      </c>
      <c r="J231">
        <v>0</v>
      </c>
      <c r="K231">
        <f t="shared" si="10"/>
        <v>-2.8678581632380615E-2</v>
      </c>
      <c r="L231">
        <f t="shared" si="11"/>
        <v>-2.8678581632380613</v>
      </c>
      <c r="M231">
        <v>-2.5299999999999998</v>
      </c>
    </row>
    <row r="232" spans="1:13" x14ac:dyDescent="0.2">
      <c r="A232" s="1">
        <v>44224</v>
      </c>
      <c r="B232">
        <v>35.950001</v>
      </c>
      <c r="C232">
        <v>36.330002</v>
      </c>
      <c r="D232">
        <v>35.840000000000003</v>
      </c>
      <c r="E232">
        <v>35.860000999999997</v>
      </c>
      <c r="F232">
        <v>35.860000999999997</v>
      </c>
      <c r="G232">
        <v>39466700</v>
      </c>
      <c r="I232">
        <f t="shared" si="9"/>
        <v>2.7891211833107929E-4</v>
      </c>
      <c r="J232">
        <v>0</v>
      </c>
      <c r="K232">
        <f t="shared" si="10"/>
        <v>2.7891211833107929E-4</v>
      </c>
      <c r="L232">
        <f t="shared" si="11"/>
        <v>2.7891211833107929E-2</v>
      </c>
      <c r="M232">
        <v>0.92</v>
      </c>
    </row>
    <row r="233" spans="1:13" x14ac:dyDescent="0.2">
      <c r="A233" s="1">
        <v>44225</v>
      </c>
      <c r="B233">
        <v>36.880001</v>
      </c>
      <c r="C233">
        <v>36.880001</v>
      </c>
      <c r="D233">
        <v>35.619999</v>
      </c>
      <c r="E233">
        <v>35.900002000000001</v>
      </c>
      <c r="F233">
        <v>35.900002000000001</v>
      </c>
      <c r="G233">
        <v>60026600</v>
      </c>
      <c r="I233">
        <f t="shared" si="9"/>
        <v>1.1154768233275769E-3</v>
      </c>
      <c r="J233">
        <v>0</v>
      </c>
      <c r="K233">
        <f t="shared" si="10"/>
        <v>1.1154768233275769E-3</v>
      </c>
      <c r="L233">
        <f t="shared" si="11"/>
        <v>0.11154768233275769</v>
      </c>
      <c r="M233">
        <v>-1.84</v>
      </c>
    </row>
    <row r="234" spans="1:13" x14ac:dyDescent="0.2">
      <c r="A234" s="1">
        <v>44228</v>
      </c>
      <c r="B234">
        <v>35.93</v>
      </c>
      <c r="C234">
        <v>36.189999</v>
      </c>
      <c r="D234">
        <v>35.720001000000003</v>
      </c>
      <c r="E234">
        <v>35.799999</v>
      </c>
      <c r="F234">
        <v>35.799999</v>
      </c>
      <c r="G234">
        <v>40395800</v>
      </c>
      <c r="I234">
        <f t="shared" si="9"/>
        <v>-2.7855987306073396E-3</v>
      </c>
      <c r="J234">
        <v>0</v>
      </c>
      <c r="K234">
        <f t="shared" si="10"/>
        <v>-2.7855987306073396E-3</v>
      </c>
      <c r="L234">
        <f t="shared" si="11"/>
        <v>-0.27855987306073399</v>
      </c>
      <c r="M234">
        <v>1.73</v>
      </c>
    </row>
    <row r="235" spans="1:13" x14ac:dyDescent="0.2">
      <c r="A235" s="1">
        <v>44229</v>
      </c>
      <c r="B235">
        <v>35.759998000000003</v>
      </c>
      <c r="C235">
        <v>35.779998999999997</v>
      </c>
      <c r="D235">
        <v>34.270000000000003</v>
      </c>
      <c r="E235">
        <v>34.990001999999997</v>
      </c>
      <c r="F235">
        <v>34.990001999999997</v>
      </c>
      <c r="G235">
        <v>84062400</v>
      </c>
      <c r="I235">
        <f t="shared" si="9"/>
        <v>-2.2625615157140164E-2</v>
      </c>
      <c r="J235">
        <v>0</v>
      </c>
      <c r="K235">
        <f t="shared" si="10"/>
        <v>-2.2625615157140164E-2</v>
      </c>
      <c r="L235">
        <f t="shared" si="11"/>
        <v>-2.2625615157140162</v>
      </c>
      <c r="M235">
        <v>1.48</v>
      </c>
    </row>
    <row r="236" spans="1:13" x14ac:dyDescent="0.2">
      <c r="A236" s="1">
        <v>44230</v>
      </c>
      <c r="B236">
        <v>34.990001999999997</v>
      </c>
      <c r="C236">
        <v>35.290000999999997</v>
      </c>
      <c r="D236">
        <v>34.779998999999997</v>
      </c>
      <c r="E236">
        <v>34.840000000000003</v>
      </c>
      <c r="F236">
        <v>34.840000000000003</v>
      </c>
      <c r="G236">
        <v>38524200</v>
      </c>
      <c r="I236">
        <f t="shared" si="9"/>
        <v>-4.2869960396113597E-3</v>
      </c>
      <c r="J236">
        <v>0</v>
      </c>
      <c r="K236">
        <f t="shared" si="10"/>
        <v>-4.2869960396113597E-3</v>
      </c>
      <c r="L236">
        <f t="shared" si="11"/>
        <v>-0.42869960396113599</v>
      </c>
      <c r="M236">
        <v>0.16</v>
      </c>
    </row>
    <row r="237" spans="1:13" x14ac:dyDescent="0.2">
      <c r="A237" s="1">
        <v>44231</v>
      </c>
      <c r="B237">
        <v>34.810001</v>
      </c>
      <c r="C237">
        <v>35.080002</v>
      </c>
      <c r="D237">
        <v>34.700001</v>
      </c>
      <c r="E237">
        <v>34.889999000000003</v>
      </c>
      <c r="F237">
        <v>34.889999000000003</v>
      </c>
      <c r="G237">
        <v>34284900</v>
      </c>
      <c r="I237">
        <f t="shared" si="9"/>
        <v>1.4351033295063053E-3</v>
      </c>
      <c r="J237">
        <v>0</v>
      </c>
      <c r="K237">
        <f t="shared" si="10"/>
        <v>1.4351033295063053E-3</v>
      </c>
      <c r="L237">
        <f t="shared" si="11"/>
        <v>0.14351033295063054</v>
      </c>
      <c r="M237">
        <v>1.23</v>
      </c>
    </row>
    <row r="238" spans="1:13" x14ac:dyDescent="0.2">
      <c r="A238" s="1">
        <v>44232</v>
      </c>
      <c r="B238">
        <v>34.919998</v>
      </c>
      <c r="C238">
        <v>35.080002</v>
      </c>
      <c r="D238">
        <v>34.779998999999997</v>
      </c>
      <c r="E238">
        <v>34.919998</v>
      </c>
      <c r="F238">
        <v>34.919998</v>
      </c>
      <c r="G238">
        <v>31645100</v>
      </c>
      <c r="I238">
        <f t="shared" si="9"/>
        <v>8.5981659099493106E-4</v>
      </c>
      <c r="J238">
        <v>0</v>
      </c>
      <c r="K238">
        <f t="shared" si="10"/>
        <v>8.5981659099493106E-4</v>
      </c>
      <c r="L238">
        <f t="shared" si="11"/>
        <v>8.598165909949311E-2</v>
      </c>
      <c r="M238">
        <v>0.57999999999999996</v>
      </c>
    </row>
    <row r="239" spans="1:13" x14ac:dyDescent="0.2">
      <c r="A239" s="1">
        <v>44235</v>
      </c>
      <c r="B239">
        <v>34.959999000000003</v>
      </c>
      <c r="C239">
        <v>35.009998000000003</v>
      </c>
      <c r="D239">
        <v>34.740001999999997</v>
      </c>
      <c r="E239">
        <v>34.82</v>
      </c>
      <c r="F239">
        <v>34.82</v>
      </c>
      <c r="G239">
        <v>31633900</v>
      </c>
      <c r="I239">
        <f t="shared" si="9"/>
        <v>-2.8636313209410656E-3</v>
      </c>
      <c r="J239">
        <v>0</v>
      </c>
      <c r="K239">
        <f t="shared" si="10"/>
        <v>-2.8636313209410656E-3</v>
      </c>
      <c r="L239">
        <f t="shared" si="11"/>
        <v>-0.28636313209410658</v>
      </c>
      <c r="M239">
        <v>0.96</v>
      </c>
    </row>
    <row r="240" spans="1:13" x14ac:dyDescent="0.2">
      <c r="A240" s="1">
        <v>44236</v>
      </c>
      <c r="B240">
        <v>34.799999</v>
      </c>
      <c r="C240">
        <v>35.060001</v>
      </c>
      <c r="D240">
        <v>34.759998000000003</v>
      </c>
      <c r="E240">
        <v>34.970001000000003</v>
      </c>
      <c r="F240">
        <v>34.970001000000003</v>
      </c>
      <c r="G240">
        <v>30170200</v>
      </c>
      <c r="I240">
        <f t="shared" si="9"/>
        <v>4.3078977599081891E-3</v>
      </c>
      <c r="J240">
        <v>0</v>
      </c>
      <c r="K240">
        <f t="shared" si="10"/>
        <v>4.3078977599081891E-3</v>
      </c>
      <c r="L240">
        <f t="shared" si="11"/>
        <v>0.43078977599081891</v>
      </c>
      <c r="M240">
        <v>0.05</v>
      </c>
    </row>
    <row r="241" spans="1:13" x14ac:dyDescent="0.2">
      <c r="A241" s="1">
        <v>44237</v>
      </c>
      <c r="B241">
        <v>35</v>
      </c>
      <c r="C241">
        <v>35.080002</v>
      </c>
      <c r="D241">
        <v>34.700001</v>
      </c>
      <c r="E241">
        <v>34.740001999999997</v>
      </c>
      <c r="F241">
        <v>34.740001999999997</v>
      </c>
      <c r="G241">
        <v>29039900</v>
      </c>
      <c r="I241">
        <f t="shared" si="9"/>
        <v>-6.5770372726042092E-3</v>
      </c>
      <c r="J241">
        <v>0</v>
      </c>
      <c r="K241">
        <f t="shared" si="10"/>
        <v>-6.5770372726042092E-3</v>
      </c>
      <c r="L241">
        <f t="shared" si="11"/>
        <v>-0.65770372726042092</v>
      </c>
      <c r="M241">
        <v>-7.0000000000000007E-2</v>
      </c>
    </row>
    <row r="242" spans="1:13" x14ac:dyDescent="0.2">
      <c r="A242" s="1">
        <v>44238</v>
      </c>
      <c r="B242">
        <v>34.799999</v>
      </c>
      <c r="C242">
        <v>34.810001</v>
      </c>
      <c r="D242">
        <v>34.279998999999997</v>
      </c>
      <c r="E242">
        <v>34.43</v>
      </c>
      <c r="F242">
        <v>34.43</v>
      </c>
      <c r="G242">
        <v>30845500</v>
      </c>
      <c r="I242">
        <f t="shared" si="9"/>
        <v>-8.9234882600178686E-3</v>
      </c>
      <c r="J242">
        <v>0</v>
      </c>
      <c r="K242">
        <f t="shared" si="10"/>
        <v>-8.9234882600178686E-3</v>
      </c>
      <c r="L242">
        <f t="shared" si="11"/>
        <v>-0.89234882600178689</v>
      </c>
      <c r="M242">
        <v>0.19</v>
      </c>
    </row>
    <row r="243" spans="1:13" x14ac:dyDescent="0.2">
      <c r="A243" s="1">
        <v>44239</v>
      </c>
      <c r="B243">
        <v>34.439999</v>
      </c>
      <c r="C243">
        <v>34.950001</v>
      </c>
      <c r="D243">
        <v>34.360000999999997</v>
      </c>
      <c r="E243">
        <v>34.720001000000003</v>
      </c>
      <c r="F243">
        <v>34.720001000000003</v>
      </c>
      <c r="G243">
        <v>25513100</v>
      </c>
      <c r="I243">
        <f t="shared" si="9"/>
        <v>8.4229160615743176E-3</v>
      </c>
      <c r="J243">
        <v>0</v>
      </c>
      <c r="K243">
        <f t="shared" si="10"/>
        <v>8.4229160615743176E-3</v>
      </c>
      <c r="L243">
        <f t="shared" si="11"/>
        <v>0.8422916061574317</v>
      </c>
      <c r="M243">
        <v>0.49</v>
      </c>
    </row>
    <row r="244" spans="1:13" x14ac:dyDescent="0.2">
      <c r="A244" s="1">
        <v>44243</v>
      </c>
      <c r="B244">
        <v>34.849997999999999</v>
      </c>
      <c r="C244">
        <v>34.860000999999997</v>
      </c>
      <c r="D244">
        <v>34.560001</v>
      </c>
      <c r="E244">
        <v>34.689999</v>
      </c>
      <c r="F244">
        <v>34.689999</v>
      </c>
      <c r="G244">
        <v>28730300</v>
      </c>
      <c r="I244">
        <f t="shared" si="9"/>
        <v>-8.6411287833785459E-4</v>
      </c>
      <c r="J244">
        <v>0</v>
      </c>
      <c r="K244">
        <f t="shared" si="10"/>
        <v>-8.6411287833785459E-4</v>
      </c>
      <c r="L244">
        <f t="shared" si="11"/>
        <v>-8.6411287833785461E-2</v>
      </c>
      <c r="M244">
        <v>-0.14000000000000001</v>
      </c>
    </row>
    <row r="245" spans="1:13" x14ac:dyDescent="0.2">
      <c r="A245" s="1">
        <v>44244</v>
      </c>
      <c r="B245">
        <v>34.57</v>
      </c>
      <c r="C245">
        <v>35</v>
      </c>
      <c r="D245">
        <v>34.459999000000003</v>
      </c>
      <c r="E245">
        <v>34.889999000000003</v>
      </c>
      <c r="F245">
        <v>34.889999000000003</v>
      </c>
      <c r="G245">
        <v>26389400</v>
      </c>
      <c r="I245">
        <f t="shared" si="9"/>
        <v>5.7653504112237892E-3</v>
      </c>
      <c r="J245">
        <v>0</v>
      </c>
      <c r="K245">
        <f t="shared" si="10"/>
        <v>5.7653504112237892E-3</v>
      </c>
      <c r="L245">
        <f t="shared" si="11"/>
        <v>0.57653504112237897</v>
      </c>
      <c r="M245">
        <v>-0.2</v>
      </c>
    </row>
    <row r="246" spans="1:13" x14ac:dyDescent="0.2">
      <c r="A246" s="1">
        <v>44245</v>
      </c>
      <c r="B246">
        <v>34.779998999999997</v>
      </c>
      <c r="C246">
        <v>34.880001</v>
      </c>
      <c r="D246">
        <v>34.520000000000003</v>
      </c>
      <c r="E246">
        <v>34.560001</v>
      </c>
      <c r="F246">
        <v>34.560001</v>
      </c>
      <c r="G246">
        <v>24052500</v>
      </c>
      <c r="I246">
        <f t="shared" si="9"/>
        <v>-9.4582404545211739E-3</v>
      </c>
      <c r="J246">
        <v>0</v>
      </c>
      <c r="K246">
        <f t="shared" si="10"/>
        <v>-9.4582404545211739E-3</v>
      </c>
      <c r="L246">
        <f t="shared" si="11"/>
        <v>-0.9458240454521174</v>
      </c>
      <c r="M246">
        <v>-0.63</v>
      </c>
    </row>
    <row r="247" spans="1:13" x14ac:dyDescent="0.2">
      <c r="A247" s="1">
        <v>44246</v>
      </c>
      <c r="B247">
        <v>34.659999999999997</v>
      </c>
      <c r="C247">
        <v>34.68</v>
      </c>
      <c r="D247">
        <v>34.400002000000001</v>
      </c>
      <c r="E247">
        <v>34.439999</v>
      </c>
      <c r="F247">
        <v>34.439999</v>
      </c>
      <c r="G247">
        <v>28145300</v>
      </c>
      <c r="I247">
        <f t="shared" si="9"/>
        <v>-3.4722799921215134E-3</v>
      </c>
      <c r="J247">
        <v>0</v>
      </c>
      <c r="K247">
        <f t="shared" si="10"/>
        <v>-3.4722799921215134E-3</v>
      </c>
      <c r="L247">
        <f t="shared" si="11"/>
        <v>-0.34722799921215136</v>
      </c>
      <c r="M247">
        <v>0.16</v>
      </c>
    </row>
    <row r="248" spans="1:13" x14ac:dyDescent="0.2">
      <c r="A248" s="1">
        <v>44249</v>
      </c>
      <c r="B248">
        <v>34.330002</v>
      </c>
      <c r="C248">
        <v>34.369999</v>
      </c>
      <c r="D248">
        <v>34.040000999999997</v>
      </c>
      <c r="E248">
        <v>34.259998000000003</v>
      </c>
      <c r="F248">
        <v>34.259998000000003</v>
      </c>
      <c r="G248">
        <v>34322500</v>
      </c>
      <c r="I248">
        <f t="shared" si="9"/>
        <v>-5.2265100239984675E-3</v>
      </c>
      <c r="J248">
        <v>0</v>
      </c>
      <c r="K248">
        <f t="shared" si="10"/>
        <v>-5.2265100239984675E-3</v>
      </c>
      <c r="L248">
        <f t="shared" si="11"/>
        <v>-0.52265100239984674</v>
      </c>
      <c r="M248">
        <v>-1.1200000000000001</v>
      </c>
    </row>
    <row r="249" spans="1:13" x14ac:dyDescent="0.2">
      <c r="A249" s="1">
        <v>44250</v>
      </c>
      <c r="B249">
        <v>34</v>
      </c>
      <c r="C249">
        <v>34.189999</v>
      </c>
      <c r="D249">
        <v>33.68</v>
      </c>
      <c r="E249">
        <v>33.909999999999997</v>
      </c>
      <c r="F249">
        <v>33.909999999999997</v>
      </c>
      <c r="G249">
        <v>37624200</v>
      </c>
      <c r="I249">
        <f t="shared" si="9"/>
        <v>-1.0215937549091697E-2</v>
      </c>
      <c r="J249">
        <v>0</v>
      </c>
      <c r="K249">
        <f t="shared" si="10"/>
        <v>-1.0215937549091697E-2</v>
      </c>
      <c r="L249">
        <f t="shared" si="11"/>
        <v>-1.0215937549091696</v>
      </c>
      <c r="M249">
        <v>-0.15</v>
      </c>
    </row>
    <row r="250" spans="1:13" x14ac:dyDescent="0.2">
      <c r="A250" s="1">
        <v>44251</v>
      </c>
      <c r="B250">
        <v>33.869999</v>
      </c>
      <c r="C250">
        <v>34.049999</v>
      </c>
      <c r="D250">
        <v>33.669998</v>
      </c>
      <c r="E250">
        <v>33.75</v>
      </c>
      <c r="F250">
        <v>33.75</v>
      </c>
      <c r="G250">
        <v>30686100</v>
      </c>
      <c r="I250">
        <f t="shared" si="9"/>
        <v>-4.7183721616041461E-3</v>
      </c>
      <c r="J250">
        <v>0</v>
      </c>
      <c r="K250">
        <f t="shared" si="10"/>
        <v>-4.7183721616041461E-3</v>
      </c>
      <c r="L250">
        <f t="shared" si="11"/>
        <v>-0.47183721616041463</v>
      </c>
      <c r="M250">
        <v>1.1499999999999999</v>
      </c>
    </row>
    <row r="251" spans="1:13" x14ac:dyDescent="0.2">
      <c r="A251" s="1">
        <v>44252</v>
      </c>
      <c r="B251">
        <v>33.82</v>
      </c>
      <c r="C251">
        <v>34.110000999999997</v>
      </c>
      <c r="D251">
        <v>33.540000999999997</v>
      </c>
      <c r="E251">
        <v>33.82</v>
      </c>
      <c r="F251">
        <v>33.82</v>
      </c>
      <c r="G251">
        <v>37506100</v>
      </c>
      <c r="I251">
        <f t="shared" si="9"/>
        <v>2.0740740740740823E-3</v>
      </c>
      <c r="J251">
        <v>0</v>
      </c>
      <c r="K251">
        <f t="shared" si="10"/>
        <v>2.0740740740740823E-3</v>
      </c>
      <c r="L251">
        <f t="shared" si="11"/>
        <v>0.20740740740740823</v>
      </c>
      <c r="M251">
        <v>-2.73</v>
      </c>
    </row>
    <row r="252" spans="1:13" x14ac:dyDescent="0.2">
      <c r="A252" s="1">
        <v>44253</v>
      </c>
      <c r="B252">
        <v>33.840000000000003</v>
      </c>
      <c r="C252">
        <v>33.900002000000001</v>
      </c>
      <c r="D252">
        <v>33.360000999999997</v>
      </c>
      <c r="E252">
        <v>33.490001999999997</v>
      </c>
      <c r="F252">
        <v>33.490001999999997</v>
      </c>
      <c r="G252">
        <v>41418100</v>
      </c>
      <c r="I252">
        <f t="shared" si="9"/>
        <v>-9.7574807806032927E-3</v>
      </c>
      <c r="J252">
        <v>0</v>
      </c>
      <c r="K252">
        <f t="shared" si="10"/>
        <v>-9.7574807806032927E-3</v>
      </c>
      <c r="L252">
        <f t="shared" si="11"/>
        <v>-0.97574807806032926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2021-04-29T17:00:29Z</dcterms:created>
  <dcterms:modified xsi:type="dcterms:W3CDTF">2021-04-29T17:00:29Z</dcterms:modified>
</cp:coreProperties>
</file>