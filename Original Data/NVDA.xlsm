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xiaohongyu/Desktop/CAPM OLS/"/>
    </mc:Choice>
  </mc:AlternateContent>
  <xr:revisionPtr revIDLastSave="0" documentId="13_ncr:1_{CF6DE4B4-9421-2B48-96C1-9A1BA192A457}" xr6:coauthVersionLast="46" xr6:coauthVersionMax="46" xr10:uidLastSave="{00000000-0000-0000-0000-000000000000}"/>
  <bookViews>
    <workbookView xWindow="1580" yWindow="1960" windowWidth="26840" windowHeight="14780" activeTab="2" xr2:uid="{00000000-000D-0000-FFFF-FFFF00000000}"/>
  </bookViews>
  <sheets>
    <sheet name="Sheet2" sheetId="2" r:id="rId1"/>
    <sheet name="Sheet1" sheetId="3" r:id="rId2"/>
    <sheet name="NVDA" sheetId="1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52" i="1" l="1"/>
  <c r="K252" i="1" s="1"/>
  <c r="L252" i="1" s="1"/>
  <c r="I251" i="1"/>
  <c r="K251" i="1" s="1"/>
  <c r="L251" i="1" s="1"/>
  <c r="I250" i="1"/>
  <c r="K250" i="1" s="1"/>
  <c r="L250" i="1" s="1"/>
  <c r="I249" i="1"/>
  <c r="K249" i="1" s="1"/>
  <c r="L249" i="1" s="1"/>
  <c r="I248" i="1"/>
  <c r="K248" i="1" s="1"/>
  <c r="L248" i="1" s="1"/>
  <c r="I247" i="1"/>
  <c r="K247" i="1" s="1"/>
  <c r="L247" i="1" s="1"/>
  <c r="I246" i="1"/>
  <c r="K246" i="1" s="1"/>
  <c r="L246" i="1" s="1"/>
  <c r="I245" i="1"/>
  <c r="K245" i="1" s="1"/>
  <c r="L245" i="1" s="1"/>
  <c r="I244" i="1"/>
  <c r="K244" i="1" s="1"/>
  <c r="L244" i="1" s="1"/>
  <c r="I243" i="1"/>
  <c r="K243" i="1" s="1"/>
  <c r="L243" i="1" s="1"/>
  <c r="I242" i="1"/>
  <c r="K242" i="1" s="1"/>
  <c r="L242" i="1" s="1"/>
  <c r="I241" i="1"/>
  <c r="K241" i="1" s="1"/>
  <c r="L241" i="1" s="1"/>
  <c r="I240" i="1"/>
  <c r="K240" i="1" s="1"/>
  <c r="L240" i="1" s="1"/>
  <c r="I239" i="1"/>
  <c r="K239" i="1" s="1"/>
  <c r="L239" i="1" s="1"/>
  <c r="I238" i="1"/>
  <c r="K238" i="1" s="1"/>
  <c r="L238" i="1" s="1"/>
  <c r="I237" i="1"/>
  <c r="K237" i="1" s="1"/>
  <c r="L237" i="1" s="1"/>
  <c r="I236" i="1"/>
  <c r="K236" i="1" s="1"/>
  <c r="L236" i="1" s="1"/>
  <c r="I235" i="1"/>
  <c r="K235" i="1" s="1"/>
  <c r="L235" i="1" s="1"/>
  <c r="I234" i="1"/>
  <c r="K234" i="1" s="1"/>
  <c r="L234" i="1" s="1"/>
  <c r="I233" i="1"/>
  <c r="K233" i="1" s="1"/>
  <c r="L233" i="1" s="1"/>
  <c r="I232" i="1"/>
  <c r="K232" i="1" s="1"/>
  <c r="L232" i="1" s="1"/>
  <c r="I231" i="1"/>
  <c r="K231" i="1" s="1"/>
  <c r="L231" i="1" s="1"/>
  <c r="I230" i="1"/>
  <c r="K230" i="1" s="1"/>
  <c r="L230" i="1" s="1"/>
  <c r="I229" i="1"/>
  <c r="K229" i="1" s="1"/>
  <c r="L229" i="1" s="1"/>
  <c r="I228" i="1"/>
  <c r="K228" i="1" s="1"/>
  <c r="L228" i="1" s="1"/>
  <c r="I227" i="1"/>
  <c r="K227" i="1" s="1"/>
  <c r="L227" i="1" s="1"/>
  <c r="I226" i="1"/>
  <c r="K226" i="1" s="1"/>
  <c r="L226" i="1" s="1"/>
  <c r="I225" i="1"/>
  <c r="K225" i="1" s="1"/>
  <c r="L225" i="1" s="1"/>
  <c r="I224" i="1"/>
  <c r="K224" i="1" s="1"/>
  <c r="L224" i="1" s="1"/>
  <c r="I223" i="1"/>
  <c r="K223" i="1" s="1"/>
  <c r="L223" i="1" s="1"/>
  <c r="I222" i="1"/>
  <c r="K222" i="1" s="1"/>
  <c r="L222" i="1" s="1"/>
  <c r="I221" i="1"/>
  <c r="K221" i="1" s="1"/>
  <c r="L221" i="1" s="1"/>
  <c r="I220" i="1"/>
  <c r="K220" i="1" s="1"/>
  <c r="L220" i="1" s="1"/>
  <c r="I219" i="1"/>
  <c r="K219" i="1" s="1"/>
  <c r="L219" i="1" s="1"/>
  <c r="I218" i="1"/>
  <c r="K218" i="1" s="1"/>
  <c r="L218" i="1" s="1"/>
  <c r="I217" i="1"/>
  <c r="K217" i="1" s="1"/>
  <c r="L217" i="1" s="1"/>
  <c r="I216" i="1"/>
  <c r="K216" i="1" s="1"/>
  <c r="L216" i="1" s="1"/>
  <c r="I215" i="1"/>
  <c r="K215" i="1" s="1"/>
  <c r="L215" i="1" s="1"/>
  <c r="I214" i="1"/>
  <c r="K214" i="1" s="1"/>
  <c r="L214" i="1" s="1"/>
  <c r="I213" i="1"/>
  <c r="K213" i="1" s="1"/>
  <c r="L213" i="1" s="1"/>
  <c r="I212" i="1"/>
  <c r="K212" i="1" s="1"/>
  <c r="L212" i="1" s="1"/>
  <c r="I211" i="1"/>
  <c r="K211" i="1" s="1"/>
  <c r="L211" i="1" s="1"/>
  <c r="I210" i="1"/>
  <c r="K210" i="1" s="1"/>
  <c r="L210" i="1" s="1"/>
  <c r="I209" i="1"/>
  <c r="K209" i="1" s="1"/>
  <c r="L209" i="1" s="1"/>
  <c r="I208" i="1"/>
  <c r="K208" i="1" s="1"/>
  <c r="L208" i="1" s="1"/>
  <c r="I207" i="1"/>
  <c r="K207" i="1" s="1"/>
  <c r="L207" i="1" s="1"/>
  <c r="I206" i="1"/>
  <c r="K206" i="1" s="1"/>
  <c r="L206" i="1" s="1"/>
  <c r="I205" i="1"/>
  <c r="K205" i="1" s="1"/>
  <c r="L205" i="1" s="1"/>
  <c r="I204" i="1"/>
  <c r="K204" i="1" s="1"/>
  <c r="L204" i="1" s="1"/>
  <c r="I203" i="1"/>
  <c r="K203" i="1" s="1"/>
  <c r="L203" i="1" s="1"/>
  <c r="I202" i="1"/>
  <c r="K202" i="1" s="1"/>
  <c r="L202" i="1" s="1"/>
  <c r="I201" i="1"/>
  <c r="K201" i="1" s="1"/>
  <c r="L201" i="1" s="1"/>
  <c r="I200" i="1"/>
  <c r="K200" i="1" s="1"/>
  <c r="L200" i="1" s="1"/>
  <c r="I199" i="1"/>
  <c r="K199" i="1" s="1"/>
  <c r="L199" i="1" s="1"/>
  <c r="I198" i="1"/>
  <c r="K198" i="1" s="1"/>
  <c r="L198" i="1" s="1"/>
  <c r="I197" i="1"/>
  <c r="K197" i="1" s="1"/>
  <c r="L197" i="1" s="1"/>
  <c r="I196" i="1"/>
  <c r="K196" i="1" s="1"/>
  <c r="L196" i="1" s="1"/>
  <c r="I195" i="1"/>
  <c r="K195" i="1" s="1"/>
  <c r="L195" i="1" s="1"/>
  <c r="I194" i="1"/>
  <c r="K194" i="1" s="1"/>
  <c r="L194" i="1" s="1"/>
  <c r="I193" i="1"/>
  <c r="K193" i="1" s="1"/>
  <c r="L193" i="1" s="1"/>
  <c r="I192" i="1"/>
  <c r="K192" i="1" s="1"/>
  <c r="L192" i="1" s="1"/>
  <c r="I191" i="1"/>
  <c r="K191" i="1" s="1"/>
  <c r="L191" i="1" s="1"/>
  <c r="I190" i="1"/>
  <c r="K190" i="1" s="1"/>
  <c r="L190" i="1" s="1"/>
  <c r="I189" i="1"/>
  <c r="K189" i="1" s="1"/>
  <c r="L189" i="1" s="1"/>
  <c r="I188" i="1"/>
  <c r="K188" i="1" s="1"/>
  <c r="L188" i="1" s="1"/>
  <c r="I187" i="1"/>
  <c r="K187" i="1" s="1"/>
  <c r="L187" i="1" s="1"/>
  <c r="I186" i="1"/>
  <c r="K186" i="1" s="1"/>
  <c r="L186" i="1" s="1"/>
  <c r="I185" i="1"/>
  <c r="K185" i="1" s="1"/>
  <c r="L185" i="1" s="1"/>
  <c r="I184" i="1"/>
  <c r="K184" i="1" s="1"/>
  <c r="L184" i="1" s="1"/>
  <c r="I183" i="1"/>
  <c r="K183" i="1" s="1"/>
  <c r="L183" i="1" s="1"/>
  <c r="I182" i="1"/>
  <c r="K182" i="1" s="1"/>
  <c r="L182" i="1" s="1"/>
  <c r="I181" i="1"/>
  <c r="K181" i="1" s="1"/>
  <c r="L181" i="1" s="1"/>
  <c r="I180" i="1"/>
  <c r="K180" i="1" s="1"/>
  <c r="L180" i="1" s="1"/>
  <c r="I179" i="1"/>
  <c r="K179" i="1" s="1"/>
  <c r="L179" i="1" s="1"/>
  <c r="I178" i="1"/>
  <c r="K178" i="1" s="1"/>
  <c r="L178" i="1" s="1"/>
  <c r="I177" i="1"/>
  <c r="K177" i="1" s="1"/>
  <c r="L177" i="1" s="1"/>
  <c r="I176" i="1"/>
  <c r="K176" i="1" s="1"/>
  <c r="L176" i="1" s="1"/>
  <c r="I175" i="1"/>
  <c r="K175" i="1" s="1"/>
  <c r="L175" i="1" s="1"/>
  <c r="I174" i="1"/>
  <c r="K174" i="1" s="1"/>
  <c r="L174" i="1" s="1"/>
  <c r="I173" i="1"/>
  <c r="K173" i="1" s="1"/>
  <c r="L173" i="1" s="1"/>
  <c r="I172" i="1"/>
  <c r="K172" i="1" s="1"/>
  <c r="L172" i="1" s="1"/>
  <c r="I171" i="1"/>
  <c r="K171" i="1" s="1"/>
  <c r="L171" i="1" s="1"/>
  <c r="I170" i="1"/>
  <c r="K170" i="1" s="1"/>
  <c r="L170" i="1" s="1"/>
  <c r="I169" i="1"/>
  <c r="K169" i="1" s="1"/>
  <c r="L169" i="1" s="1"/>
  <c r="I168" i="1"/>
  <c r="K168" i="1" s="1"/>
  <c r="L168" i="1" s="1"/>
  <c r="I167" i="1"/>
  <c r="K167" i="1" s="1"/>
  <c r="L167" i="1" s="1"/>
  <c r="I166" i="1"/>
  <c r="K166" i="1" s="1"/>
  <c r="L166" i="1" s="1"/>
  <c r="I165" i="1"/>
  <c r="K165" i="1" s="1"/>
  <c r="L165" i="1" s="1"/>
  <c r="I164" i="1"/>
  <c r="K164" i="1" s="1"/>
  <c r="L164" i="1" s="1"/>
  <c r="I163" i="1"/>
  <c r="K163" i="1" s="1"/>
  <c r="L163" i="1" s="1"/>
  <c r="I162" i="1"/>
  <c r="K162" i="1" s="1"/>
  <c r="L162" i="1" s="1"/>
  <c r="I161" i="1"/>
  <c r="K161" i="1" s="1"/>
  <c r="L161" i="1" s="1"/>
  <c r="I160" i="1"/>
  <c r="K160" i="1" s="1"/>
  <c r="L160" i="1" s="1"/>
  <c r="I159" i="1"/>
  <c r="K159" i="1" s="1"/>
  <c r="L159" i="1" s="1"/>
  <c r="I158" i="1"/>
  <c r="K158" i="1" s="1"/>
  <c r="L158" i="1" s="1"/>
  <c r="I157" i="1"/>
  <c r="K157" i="1" s="1"/>
  <c r="L157" i="1" s="1"/>
  <c r="I156" i="1"/>
  <c r="K156" i="1" s="1"/>
  <c r="L156" i="1" s="1"/>
  <c r="I155" i="1"/>
  <c r="K155" i="1" s="1"/>
  <c r="L155" i="1" s="1"/>
  <c r="I154" i="1"/>
  <c r="K154" i="1" s="1"/>
  <c r="L154" i="1" s="1"/>
  <c r="I153" i="1"/>
  <c r="K153" i="1" s="1"/>
  <c r="L153" i="1" s="1"/>
  <c r="I152" i="1"/>
  <c r="K152" i="1" s="1"/>
  <c r="L152" i="1" s="1"/>
  <c r="I151" i="1"/>
  <c r="K151" i="1" s="1"/>
  <c r="L151" i="1" s="1"/>
  <c r="I150" i="1"/>
  <c r="K150" i="1" s="1"/>
  <c r="L150" i="1" s="1"/>
  <c r="I149" i="1"/>
  <c r="K149" i="1" s="1"/>
  <c r="L149" i="1" s="1"/>
  <c r="I148" i="1"/>
  <c r="K148" i="1" s="1"/>
  <c r="L148" i="1" s="1"/>
  <c r="I147" i="1"/>
  <c r="K147" i="1" s="1"/>
  <c r="L147" i="1" s="1"/>
  <c r="I146" i="1"/>
  <c r="K146" i="1" s="1"/>
  <c r="L146" i="1" s="1"/>
  <c r="I145" i="1"/>
  <c r="K145" i="1" s="1"/>
  <c r="L145" i="1" s="1"/>
  <c r="I144" i="1"/>
  <c r="K144" i="1" s="1"/>
  <c r="L144" i="1" s="1"/>
  <c r="I143" i="1"/>
  <c r="K143" i="1" s="1"/>
  <c r="L143" i="1" s="1"/>
  <c r="I142" i="1"/>
  <c r="K142" i="1" s="1"/>
  <c r="L142" i="1" s="1"/>
  <c r="I141" i="1"/>
  <c r="K141" i="1" s="1"/>
  <c r="L141" i="1" s="1"/>
  <c r="I140" i="1"/>
  <c r="K140" i="1" s="1"/>
  <c r="L140" i="1" s="1"/>
  <c r="I139" i="1"/>
  <c r="K139" i="1" s="1"/>
  <c r="L139" i="1" s="1"/>
  <c r="I138" i="1"/>
  <c r="K138" i="1" s="1"/>
  <c r="L138" i="1" s="1"/>
  <c r="I137" i="1"/>
  <c r="K137" i="1" s="1"/>
  <c r="L137" i="1" s="1"/>
  <c r="I136" i="1"/>
  <c r="K136" i="1" s="1"/>
  <c r="L136" i="1" s="1"/>
  <c r="I135" i="1"/>
  <c r="K135" i="1" s="1"/>
  <c r="L135" i="1" s="1"/>
  <c r="I134" i="1"/>
  <c r="K134" i="1" s="1"/>
  <c r="L134" i="1" s="1"/>
  <c r="I133" i="1"/>
  <c r="K133" i="1" s="1"/>
  <c r="L133" i="1" s="1"/>
  <c r="I132" i="1"/>
  <c r="K132" i="1" s="1"/>
  <c r="L132" i="1" s="1"/>
  <c r="I131" i="1"/>
  <c r="K131" i="1" s="1"/>
  <c r="L131" i="1" s="1"/>
  <c r="I130" i="1"/>
  <c r="K130" i="1" s="1"/>
  <c r="L130" i="1" s="1"/>
  <c r="I129" i="1"/>
  <c r="K129" i="1" s="1"/>
  <c r="L129" i="1" s="1"/>
  <c r="I128" i="1"/>
  <c r="K128" i="1" s="1"/>
  <c r="L128" i="1" s="1"/>
  <c r="I127" i="1"/>
  <c r="K127" i="1" s="1"/>
  <c r="L127" i="1" s="1"/>
  <c r="I126" i="1"/>
  <c r="K126" i="1" s="1"/>
  <c r="L126" i="1" s="1"/>
  <c r="I125" i="1"/>
  <c r="K125" i="1" s="1"/>
  <c r="L125" i="1" s="1"/>
  <c r="I124" i="1"/>
  <c r="K124" i="1" s="1"/>
  <c r="L124" i="1" s="1"/>
  <c r="I123" i="1"/>
  <c r="K123" i="1" s="1"/>
  <c r="L123" i="1" s="1"/>
  <c r="I122" i="1"/>
  <c r="K122" i="1" s="1"/>
  <c r="L122" i="1" s="1"/>
  <c r="I121" i="1"/>
  <c r="K121" i="1" s="1"/>
  <c r="L121" i="1" s="1"/>
  <c r="I120" i="1"/>
  <c r="K120" i="1" s="1"/>
  <c r="L120" i="1" s="1"/>
  <c r="I119" i="1"/>
  <c r="K119" i="1" s="1"/>
  <c r="L119" i="1" s="1"/>
  <c r="I118" i="1"/>
  <c r="K118" i="1" s="1"/>
  <c r="L118" i="1" s="1"/>
  <c r="I117" i="1"/>
  <c r="K117" i="1" s="1"/>
  <c r="L117" i="1" s="1"/>
  <c r="I116" i="1"/>
  <c r="K116" i="1" s="1"/>
  <c r="L116" i="1" s="1"/>
  <c r="I115" i="1"/>
  <c r="K115" i="1" s="1"/>
  <c r="L115" i="1" s="1"/>
  <c r="I114" i="1"/>
  <c r="K114" i="1" s="1"/>
  <c r="L114" i="1" s="1"/>
  <c r="I113" i="1"/>
  <c r="K113" i="1" s="1"/>
  <c r="L113" i="1" s="1"/>
  <c r="I112" i="1"/>
  <c r="K112" i="1" s="1"/>
  <c r="L112" i="1" s="1"/>
  <c r="I111" i="1"/>
  <c r="K111" i="1" s="1"/>
  <c r="L111" i="1" s="1"/>
  <c r="I110" i="1"/>
  <c r="K110" i="1" s="1"/>
  <c r="L110" i="1" s="1"/>
  <c r="I109" i="1"/>
  <c r="K109" i="1" s="1"/>
  <c r="L109" i="1" s="1"/>
  <c r="I108" i="1"/>
  <c r="K108" i="1" s="1"/>
  <c r="L108" i="1" s="1"/>
  <c r="I107" i="1"/>
  <c r="K107" i="1" s="1"/>
  <c r="L107" i="1" s="1"/>
  <c r="I106" i="1"/>
  <c r="K106" i="1" s="1"/>
  <c r="L106" i="1" s="1"/>
  <c r="I105" i="1"/>
  <c r="K105" i="1" s="1"/>
  <c r="L105" i="1" s="1"/>
  <c r="I104" i="1"/>
  <c r="K104" i="1" s="1"/>
  <c r="L104" i="1" s="1"/>
  <c r="I103" i="1"/>
  <c r="K103" i="1" s="1"/>
  <c r="L103" i="1" s="1"/>
  <c r="I102" i="1"/>
  <c r="K102" i="1" s="1"/>
  <c r="L102" i="1" s="1"/>
  <c r="I101" i="1"/>
  <c r="K101" i="1" s="1"/>
  <c r="L101" i="1" s="1"/>
  <c r="I100" i="1"/>
  <c r="K100" i="1" s="1"/>
  <c r="L100" i="1" s="1"/>
  <c r="I99" i="1"/>
  <c r="K99" i="1" s="1"/>
  <c r="L99" i="1" s="1"/>
  <c r="I98" i="1"/>
  <c r="K98" i="1" s="1"/>
  <c r="L98" i="1" s="1"/>
  <c r="I97" i="1"/>
  <c r="K97" i="1" s="1"/>
  <c r="L97" i="1" s="1"/>
  <c r="I96" i="1"/>
  <c r="K96" i="1" s="1"/>
  <c r="L96" i="1" s="1"/>
  <c r="I95" i="1"/>
  <c r="K95" i="1" s="1"/>
  <c r="L95" i="1" s="1"/>
  <c r="I94" i="1"/>
  <c r="K94" i="1" s="1"/>
  <c r="L94" i="1" s="1"/>
  <c r="I93" i="1"/>
  <c r="K93" i="1" s="1"/>
  <c r="L93" i="1" s="1"/>
  <c r="I92" i="1"/>
  <c r="K92" i="1" s="1"/>
  <c r="L92" i="1" s="1"/>
  <c r="I91" i="1"/>
  <c r="K91" i="1" s="1"/>
  <c r="L91" i="1" s="1"/>
  <c r="I90" i="1"/>
  <c r="K90" i="1" s="1"/>
  <c r="L90" i="1" s="1"/>
  <c r="I89" i="1"/>
  <c r="K89" i="1" s="1"/>
  <c r="L89" i="1" s="1"/>
  <c r="I88" i="1"/>
  <c r="K88" i="1" s="1"/>
  <c r="L88" i="1" s="1"/>
  <c r="I87" i="1"/>
  <c r="K87" i="1" s="1"/>
  <c r="L87" i="1" s="1"/>
  <c r="I86" i="1"/>
  <c r="K86" i="1" s="1"/>
  <c r="L86" i="1" s="1"/>
  <c r="I85" i="1"/>
  <c r="K85" i="1" s="1"/>
  <c r="L85" i="1" s="1"/>
  <c r="I84" i="1"/>
  <c r="K84" i="1" s="1"/>
  <c r="L84" i="1" s="1"/>
  <c r="I83" i="1"/>
  <c r="K83" i="1" s="1"/>
  <c r="L83" i="1" s="1"/>
  <c r="I82" i="1"/>
  <c r="K82" i="1" s="1"/>
  <c r="L82" i="1" s="1"/>
  <c r="I81" i="1"/>
  <c r="K81" i="1" s="1"/>
  <c r="L81" i="1" s="1"/>
  <c r="I80" i="1"/>
  <c r="K80" i="1" s="1"/>
  <c r="L80" i="1" s="1"/>
  <c r="I79" i="1"/>
  <c r="K79" i="1" s="1"/>
  <c r="L79" i="1" s="1"/>
  <c r="I78" i="1"/>
  <c r="K78" i="1" s="1"/>
  <c r="L78" i="1" s="1"/>
  <c r="I77" i="1"/>
  <c r="K77" i="1" s="1"/>
  <c r="L77" i="1" s="1"/>
  <c r="I76" i="1"/>
  <c r="K76" i="1" s="1"/>
  <c r="L76" i="1" s="1"/>
  <c r="I75" i="1"/>
  <c r="K75" i="1" s="1"/>
  <c r="L75" i="1" s="1"/>
  <c r="I74" i="1"/>
  <c r="K74" i="1" s="1"/>
  <c r="L74" i="1" s="1"/>
  <c r="I73" i="1"/>
  <c r="K73" i="1" s="1"/>
  <c r="L73" i="1" s="1"/>
  <c r="I72" i="1"/>
  <c r="K72" i="1" s="1"/>
  <c r="L72" i="1" s="1"/>
  <c r="I71" i="1"/>
  <c r="K71" i="1" s="1"/>
  <c r="L71" i="1" s="1"/>
  <c r="I70" i="1"/>
  <c r="K70" i="1" s="1"/>
  <c r="L70" i="1" s="1"/>
  <c r="I69" i="1"/>
  <c r="K69" i="1" s="1"/>
  <c r="L69" i="1" s="1"/>
  <c r="I68" i="1"/>
  <c r="K68" i="1" s="1"/>
  <c r="L68" i="1" s="1"/>
  <c r="I67" i="1"/>
  <c r="K67" i="1" s="1"/>
  <c r="L67" i="1" s="1"/>
  <c r="I66" i="1"/>
  <c r="K66" i="1" s="1"/>
  <c r="L66" i="1" s="1"/>
  <c r="I65" i="1"/>
  <c r="K65" i="1" s="1"/>
  <c r="L65" i="1" s="1"/>
  <c r="I64" i="1"/>
  <c r="K64" i="1" s="1"/>
  <c r="L64" i="1" s="1"/>
  <c r="I63" i="1"/>
  <c r="K63" i="1" s="1"/>
  <c r="L63" i="1" s="1"/>
  <c r="I62" i="1"/>
  <c r="K62" i="1" s="1"/>
  <c r="L62" i="1" s="1"/>
  <c r="I61" i="1"/>
  <c r="K61" i="1" s="1"/>
  <c r="L61" i="1" s="1"/>
  <c r="I60" i="1"/>
  <c r="K60" i="1" s="1"/>
  <c r="L60" i="1" s="1"/>
  <c r="I59" i="1"/>
  <c r="K59" i="1" s="1"/>
  <c r="L59" i="1" s="1"/>
  <c r="I58" i="1"/>
  <c r="K58" i="1" s="1"/>
  <c r="L58" i="1" s="1"/>
  <c r="I57" i="1"/>
  <c r="K57" i="1" s="1"/>
  <c r="L57" i="1" s="1"/>
  <c r="I56" i="1"/>
  <c r="K56" i="1" s="1"/>
  <c r="L56" i="1" s="1"/>
  <c r="I55" i="1"/>
  <c r="K55" i="1" s="1"/>
  <c r="L55" i="1" s="1"/>
  <c r="I54" i="1"/>
  <c r="K54" i="1" s="1"/>
  <c r="L54" i="1" s="1"/>
  <c r="I53" i="1"/>
  <c r="K53" i="1" s="1"/>
  <c r="L53" i="1" s="1"/>
  <c r="I52" i="1"/>
  <c r="K52" i="1" s="1"/>
  <c r="L52" i="1" s="1"/>
  <c r="I51" i="1"/>
  <c r="K51" i="1" s="1"/>
  <c r="L51" i="1" s="1"/>
  <c r="I50" i="1"/>
  <c r="K50" i="1" s="1"/>
  <c r="L50" i="1" s="1"/>
  <c r="I49" i="1"/>
  <c r="K49" i="1" s="1"/>
  <c r="L49" i="1" s="1"/>
  <c r="I48" i="1"/>
  <c r="K48" i="1" s="1"/>
  <c r="L48" i="1" s="1"/>
  <c r="I47" i="1"/>
  <c r="K47" i="1" s="1"/>
  <c r="L47" i="1" s="1"/>
  <c r="I46" i="1"/>
  <c r="K46" i="1" s="1"/>
  <c r="L46" i="1" s="1"/>
  <c r="I45" i="1"/>
  <c r="K45" i="1" s="1"/>
  <c r="L45" i="1" s="1"/>
  <c r="I44" i="1"/>
  <c r="K44" i="1" s="1"/>
  <c r="L44" i="1" s="1"/>
  <c r="I43" i="1"/>
  <c r="K43" i="1" s="1"/>
  <c r="L43" i="1" s="1"/>
  <c r="I42" i="1"/>
  <c r="K42" i="1" s="1"/>
  <c r="L42" i="1" s="1"/>
  <c r="I41" i="1"/>
  <c r="K41" i="1" s="1"/>
  <c r="L41" i="1" s="1"/>
  <c r="I40" i="1"/>
  <c r="K40" i="1" s="1"/>
  <c r="L40" i="1" s="1"/>
  <c r="I39" i="1"/>
  <c r="K39" i="1" s="1"/>
  <c r="L39" i="1" s="1"/>
  <c r="I38" i="1"/>
  <c r="K38" i="1" s="1"/>
  <c r="L38" i="1" s="1"/>
  <c r="I37" i="1"/>
  <c r="K37" i="1" s="1"/>
  <c r="L37" i="1" s="1"/>
  <c r="I36" i="1"/>
  <c r="K36" i="1" s="1"/>
  <c r="L36" i="1" s="1"/>
  <c r="I35" i="1"/>
  <c r="K35" i="1" s="1"/>
  <c r="L35" i="1" s="1"/>
  <c r="I34" i="1"/>
  <c r="K34" i="1" s="1"/>
  <c r="L34" i="1" s="1"/>
  <c r="I33" i="1"/>
  <c r="K33" i="1" s="1"/>
  <c r="L33" i="1" s="1"/>
  <c r="I32" i="1"/>
  <c r="K32" i="1" s="1"/>
  <c r="L32" i="1" s="1"/>
  <c r="I31" i="1"/>
  <c r="K31" i="1" s="1"/>
  <c r="L31" i="1" s="1"/>
  <c r="I30" i="1"/>
  <c r="K30" i="1" s="1"/>
  <c r="L30" i="1" s="1"/>
  <c r="I29" i="1"/>
  <c r="K29" i="1" s="1"/>
  <c r="L29" i="1" s="1"/>
  <c r="I28" i="1"/>
  <c r="K28" i="1" s="1"/>
  <c r="L28" i="1" s="1"/>
  <c r="I27" i="1"/>
  <c r="K27" i="1" s="1"/>
  <c r="L27" i="1" s="1"/>
  <c r="I26" i="1"/>
  <c r="K26" i="1" s="1"/>
  <c r="L26" i="1" s="1"/>
  <c r="I25" i="1"/>
  <c r="K25" i="1" s="1"/>
  <c r="L25" i="1" s="1"/>
  <c r="I24" i="1"/>
  <c r="K24" i="1" s="1"/>
  <c r="L24" i="1" s="1"/>
  <c r="I23" i="1"/>
  <c r="K23" i="1" s="1"/>
  <c r="L23" i="1" s="1"/>
  <c r="I22" i="1"/>
  <c r="K22" i="1" s="1"/>
  <c r="L22" i="1" s="1"/>
  <c r="I21" i="1"/>
  <c r="K21" i="1" s="1"/>
  <c r="L21" i="1" s="1"/>
  <c r="I20" i="1"/>
  <c r="K20" i="1" s="1"/>
  <c r="L20" i="1" s="1"/>
  <c r="I19" i="1"/>
  <c r="K19" i="1" s="1"/>
  <c r="L19" i="1" s="1"/>
  <c r="I18" i="1"/>
  <c r="K18" i="1" s="1"/>
  <c r="L18" i="1" s="1"/>
  <c r="I17" i="1"/>
  <c r="K17" i="1" s="1"/>
  <c r="L17" i="1" s="1"/>
  <c r="I16" i="1"/>
  <c r="K16" i="1" s="1"/>
  <c r="L16" i="1" s="1"/>
  <c r="I15" i="1"/>
  <c r="K15" i="1" s="1"/>
  <c r="L15" i="1" s="1"/>
  <c r="I14" i="1"/>
  <c r="K14" i="1" s="1"/>
  <c r="L14" i="1" s="1"/>
  <c r="I13" i="1"/>
  <c r="K13" i="1" s="1"/>
  <c r="L13" i="1" s="1"/>
  <c r="I12" i="1"/>
  <c r="K12" i="1" s="1"/>
  <c r="L12" i="1" s="1"/>
  <c r="I11" i="1"/>
  <c r="K11" i="1" s="1"/>
  <c r="L11" i="1" s="1"/>
  <c r="I10" i="1"/>
  <c r="K10" i="1" s="1"/>
  <c r="L10" i="1" s="1"/>
  <c r="I9" i="1"/>
  <c r="K9" i="1" s="1"/>
  <c r="L9" i="1" s="1"/>
  <c r="I8" i="1"/>
  <c r="K8" i="1" s="1"/>
  <c r="L8" i="1" s="1"/>
  <c r="I7" i="1"/>
  <c r="K7" i="1" s="1"/>
  <c r="L7" i="1" s="1"/>
  <c r="I6" i="1"/>
  <c r="K6" i="1" s="1"/>
  <c r="L6" i="1" s="1"/>
  <c r="I5" i="1"/>
  <c r="K5" i="1" s="1"/>
  <c r="L5" i="1" s="1"/>
  <c r="I4" i="1"/>
  <c r="K4" i="1" s="1"/>
  <c r="L4" i="1" s="1"/>
  <c r="I3" i="1"/>
  <c r="K3" i="1" s="1"/>
  <c r="L3" i="1" s="1"/>
</calcChain>
</file>

<file path=xl/sharedStrings.xml><?xml version="1.0" encoding="utf-8"?>
<sst xmlns="http://schemas.openxmlformats.org/spreadsheetml/2006/main" count="64" uniqueCount="37">
  <si>
    <t>Date</t>
  </si>
  <si>
    <t>Open</t>
  </si>
  <si>
    <t>High</t>
  </si>
  <si>
    <t>Low</t>
  </si>
  <si>
    <t>Close</t>
  </si>
  <si>
    <t>Adj Close</t>
  </si>
  <si>
    <t>Volume</t>
  </si>
  <si>
    <t>Mkt-RF</t>
  </si>
  <si>
    <t>NVDA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</si>
  <si>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</si>
  <si>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</si>
  <si>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</si>
  <si>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</si>
  <si>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</si>
  <si>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</si>
  <si>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</si>
  <si>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</si>
  <si>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</si>
  <si>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</si>
  <si>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</si>
  <si>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</si>
  <si>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</si>
  <si>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</si>
  <si>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</si>
  <si>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</si>
  <si>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</si>
  <si>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</si>
  <si>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</si>
  <si>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</si>
  <si>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</si>
  <si>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</si>
  <si>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</si>
  <si>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</si>
  <si>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X Variable 1</t>
  </si>
  <si>
    <t>Daily Return</t>
  </si>
  <si>
    <t>RF rate</t>
  </si>
  <si>
    <t>Excess Return for NVDA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</si>
</sst>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14" fontId="0" fillId="0" borderId="0" xfId="0" applyNumberFormat="1"/>
    <xf numFmtId="0" fontId="0" fillId="0" borderId="0" xfId="0" applyFill="1" applyBorder="1" applyAlignment="1"/>
    <xf numFmtId="0" fontId="0" fillId="0" borderId="10" xfId="0" applyFill="1" applyBorder="1" applyAlignment="1"/>
    <xf numFmtId="0" fontId="18" fillId="0" borderId="11" xfId="0" applyFont="1" applyFill="1" applyBorder="1" applyAlignment="1">
      <alignment horizontal="center"/>
    </xf>
    <xf numFmtId="0" fontId="18" fillId="0" borderId="11" xfId="0" applyFont="1" applyFill="1" applyBorder="1" applyAlignment="1">
      <alignment horizontal="centerContinuous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18"/>
  <sheetViews>
    <sheetView workbookViewId="0">
      <selection activeCell="M12" sqref="M12"/>
    </sheetView>
  </sheetViews>
  <sheetFormatPr baseColWidth="10" defaultRowHeight="16" x14ac:dyDescent="0.2"/>
  <sheetData>
    <row r="1" spans="1:9" x14ac:dyDescent="0.2">
      <c r="A1" t="s">
        <v>9</v>
      </c>
    </row>
    <row r="2" spans="1:9" ht="17" thickBot="1" x14ac:dyDescent="0.25"/>
    <row r="3" spans="1:9" x14ac:dyDescent="0.2">
      <c r="A3" s="5" t="s">
        <v>10</v>
      </c>
      <c r="B3" s="5"/>
    </row>
    <row r="4" spans="1:9" x14ac:dyDescent="0.2">
      <c r="A4" s="2" t="s">
        <v>11</v>
      </c>
      <c r="B4" s="2">
        <v>0.80005372879298642</v>
      </c>
    </row>
    <row r="5" spans="1:9" x14ac:dyDescent="0.2">
      <c r="A5" s="2" t="s">
        <v>12</v>
      </c>
      <c r="B5" s="2">
        <v>0.64008596895556147</v>
      </c>
    </row>
    <row r="6" spans="1:9" x14ac:dyDescent="0.2">
      <c r="A6" s="2" t="s">
        <v>13</v>
      </c>
      <c r="B6" s="2">
        <v>0.63863470270135003</v>
      </c>
    </row>
    <row r="7" spans="1:9" x14ac:dyDescent="0.2">
      <c r="A7" s="2" t="s">
        <v>14</v>
      </c>
      <c r="B7" s="2">
        <v>2.1898981896780021</v>
      </c>
    </row>
    <row r="8" spans="1:9" ht="17" thickBot="1" x14ac:dyDescent="0.25">
      <c r="A8" s="3" t="s">
        <v>15</v>
      </c>
      <c r="B8" s="3">
        <v>250</v>
      </c>
    </row>
    <row r="10" spans="1:9" ht="17" thickBot="1" x14ac:dyDescent="0.25">
      <c r="A10" t="s">
        <v>16</v>
      </c>
    </row>
    <row r="11" spans="1:9" x14ac:dyDescent="0.2">
      <c r="A11" s="4"/>
      <c r="B11" s="4" t="s">
        <v>21</v>
      </c>
      <c r="C11" s="4" t="s">
        <v>22</v>
      </c>
      <c r="D11" s="4" t="s">
        <v>23</v>
      </c>
      <c r="E11" s="4" t="s">
        <v>24</v>
      </c>
      <c r="F11" s="4" t="s">
        <v>25</v>
      </c>
    </row>
    <row r="12" spans="1:9" x14ac:dyDescent="0.2">
      <c r="A12" s="2" t="s">
        <v>17</v>
      </c>
      <c r="B12" s="2">
        <v>1</v>
      </c>
      <c r="C12" s="2">
        <v>2115.1397136149126</v>
      </c>
      <c r="D12" s="2">
        <v>2115.1397136149126</v>
      </c>
      <c r="E12" s="2">
        <v>441.05343667854794</v>
      </c>
      <c r="F12" s="2">
        <v>5.8726523356152547E-57</v>
      </c>
    </row>
    <row r="13" spans="1:9" x14ac:dyDescent="0.2">
      <c r="A13" s="2" t="s">
        <v>18</v>
      </c>
      <c r="B13" s="2">
        <v>248</v>
      </c>
      <c r="C13" s="2">
        <v>1189.3222121264375</v>
      </c>
      <c r="D13" s="2">
        <v>4.7956540811549901</v>
      </c>
      <c r="E13" s="2"/>
      <c r="F13" s="2"/>
    </row>
    <row r="14" spans="1:9" ht="17" thickBot="1" x14ac:dyDescent="0.25">
      <c r="A14" s="3" t="s">
        <v>19</v>
      </c>
      <c r="B14" s="3">
        <v>249</v>
      </c>
      <c r="C14" s="3">
        <v>3304.4619257413501</v>
      </c>
      <c r="D14" s="3"/>
      <c r="E14" s="3"/>
      <c r="F14" s="3"/>
    </row>
    <row r="15" spans="1:9" ht="17" thickBot="1" x14ac:dyDescent="0.25"/>
    <row r="16" spans="1:9" x14ac:dyDescent="0.2">
      <c r="A16" s="4"/>
      <c r="B16" s="4" t="s">
        <v>26</v>
      </c>
      <c r="C16" s="4" t="s">
        <v>14</v>
      </c>
      <c r="D16" s="4" t="s">
        <v>27</v>
      </c>
      <c r="E16" s="4" t="s">
        <v>28</v>
      </c>
      <c r="F16" s="4" t="s">
        <v>29</v>
      </c>
      <c r="G16" s="4" t="s">
        <v>30</v>
      </c>
      <c r="H16" s="4" t="s">
        <v>31</v>
      </c>
      <c r="I16" s="4" t="s">
        <v>32</v>
      </c>
    </row>
    <row r="17" spans="1:9" x14ac:dyDescent="0.2">
      <c r="A17" s="2" t="s">
        <v>20</v>
      </c>
      <c r="B17" s="2">
        <v>0.10631247018558143</v>
      </c>
      <c r="C17" s="2">
        <v>0.13877988487328177</v>
      </c>
      <c r="D17" s="2">
        <v>0.76605100431272199</v>
      </c>
      <c r="E17" s="2">
        <v>0.44437445791280039</v>
      </c>
      <c r="F17" s="2">
        <v>-0.16702501227386773</v>
      </c>
      <c r="G17" s="2">
        <v>0.3796499526450306</v>
      </c>
      <c r="H17" s="2">
        <v>-0.16702501227386773</v>
      </c>
      <c r="I17" s="2">
        <v>0.3796499526450306</v>
      </c>
    </row>
    <row r="18" spans="1:9" ht="17" thickBot="1" x14ac:dyDescent="0.25">
      <c r="A18" s="3" t="s">
        <v>33</v>
      </c>
      <c r="B18" s="3">
        <v>1.3563531390826347</v>
      </c>
      <c r="C18" s="3">
        <v>6.458433194311218E-2</v>
      </c>
      <c r="D18" s="3">
        <v>21.001272263330854</v>
      </c>
      <c r="E18" s="3">
        <v>5.8726523356129965E-57</v>
      </c>
      <c r="F18" s="3">
        <v>1.2291494112817745</v>
      </c>
      <c r="G18" s="3">
        <v>1.4835568668834949</v>
      </c>
      <c r="H18" s="3">
        <v>1.2291494112817745</v>
      </c>
      <c r="I18" s="3">
        <v>1.4835568668834949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617DA-8A0A-EF47-8577-725EAC065D62}">
  <dimension ref="A1:I18"/>
  <sheetViews>
    <sheetView workbookViewId="0">
      <selection activeCell="M10" sqref="M10"/>
    </sheetView>
  </sheetViews>
  <sheetFormatPr baseColWidth="10" defaultRowHeight="16" x14ac:dyDescent="0.2"/>
  <sheetData>
    <row r="1" spans="1:9" x14ac:dyDescent="0.2">
      <c r="A1" t="s">
        <v>9</v>
      </c>
    </row>
    <row r="2" spans="1:9" ht="17" thickBot="1" x14ac:dyDescent="0.25"/>
    <row r="3" spans="1:9" x14ac:dyDescent="0.2">
      <c r="A3" s="5" t="s">
        <v>10</v>
      </c>
      <c r="B3" s="5"/>
    </row>
    <row r="4" spans="1:9" x14ac:dyDescent="0.2">
      <c r="A4" s="2" t="s">
        <v>11</v>
      </c>
      <c r="B4" s="2">
        <v>0.66107014005100995</v>
      </c>
    </row>
    <row r="5" spans="1:9" x14ac:dyDescent="0.2">
      <c r="A5" s="2" t="s">
        <v>12</v>
      </c>
      <c r="B5" s="2">
        <v>0.43701373006706185</v>
      </c>
    </row>
    <row r="6" spans="1:9" x14ac:dyDescent="0.2">
      <c r="A6" s="2" t="s">
        <v>13</v>
      </c>
      <c r="B6" s="2">
        <v>0.43453361434048504</v>
      </c>
    </row>
    <row r="7" spans="1:9" x14ac:dyDescent="0.2">
      <c r="A7" s="2" t="s">
        <v>14</v>
      </c>
      <c r="B7" s="2">
        <v>2.1710312710010191</v>
      </c>
    </row>
    <row r="8" spans="1:9" ht="17" thickBot="1" x14ac:dyDescent="0.25">
      <c r="A8" s="3" t="s">
        <v>15</v>
      </c>
      <c r="B8" s="3">
        <v>229</v>
      </c>
    </row>
    <row r="10" spans="1:9" ht="17" thickBot="1" x14ac:dyDescent="0.25">
      <c r="A10" t="s">
        <v>16</v>
      </c>
    </row>
    <row r="11" spans="1:9" x14ac:dyDescent="0.2">
      <c r="A11" s="4"/>
      <c r="B11" s="4" t="s">
        <v>21</v>
      </c>
      <c r="C11" s="4" t="s">
        <v>22</v>
      </c>
      <c r="D11" s="4" t="s">
        <v>23</v>
      </c>
      <c r="E11" s="4" t="s">
        <v>24</v>
      </c>
      <c r="F11" s="4" t="s">
        <v>25</v>
      </c>
    </row>
    <row r="12" spans="1:9" x14ac:dyDescent="0.2">
      <c r="A12" s="2" t="s">
        <v>17</v>
      </c>
      <c r="B12" s="2">
        <v>1</v>
      </c>
      <c r="C12" s="2">
        <v>830.52994084902048</v>
      </c>
      <c r="D12" s="2">
        <v>830.52994084902048</v>
      </c>
      <c r="E12" s="2">
        <v>176.20699122385312</v>
      </c>
      <c r="F12" s="2">
        <v>3.822011066218496E-30</v>
      </c>
    </row>
    <row r="13" spans="1:9" x14ac:dyDescent="0.2">
      <c r="A13" s="2" t="s">
        <v>18</v>
      </c>
      <c r="B13" s="2">
        <v>227</v>
      </c>
      <c r="C13" s="2">
        <v>1069.9365289837963</v>
      </c>
      <c r="D13" s="2">
        <v>4.7133767796643005</v>
      </c>
      <c r="E13" s="2"/>
      <c r="F13" s="2"/>
    </row>
    <row r="14" spans="1:9" ht="17" thickBot="1" x14ac:dyDescent="0.25">
      <c r="A14" s="3" t="s">
        <v>19</v>
      </c>
      <c r="B14" s="3">
        <v>228</v>
      </c>
      <c r="C14" s="3">
        <v>1900.4664698328168</v>
      </c>
      <c r="D14" s="3"/>
      <c r="E14" s="3"/>
      <c r="F14" s="3"/>
    </row>
    <row r="15" spans="1:9" ht="17" thickBot="1" x14ac:dyDescent="0.25"/>
    <row r="16" spans="1:9" x14ac:dyDescent="0.2">
      <c r="A16" s="4"/>
      <c r="B16" s="4" t="s">
        <v>26</v>
      </c>
      <c r="C16" s="4" t="s">
        <v>14</v>
      </c>
      <c r="D16" s="4" t="s">
        <v>27</v>
      </c>
      <c r="E16" s="4" t="s">
        <v>28</v>
      </c>
      <c r="F16" s="4" t="s">
        <v>29</v>
      </c>
      <c r="G16" s="4" t="s">
        <v>30</v>
      </c>
      <c r="H16" s="4" t="s">
        <v>31</v>
      </c>
      <c r="I16" s="4" t="s">
        <v>32</v>
      </c>
    </row>
    <row r="17" spans="1:9" x14ac:dyDescent="0.2">
      <c r="A17" s="2" t="s">
        <v>20</v>
      </c>
      <c r="B17" s="2">
        <v>6.8473965152668848E-2</v>
      </c>
      <c r="C17" s="2">
        <v>0.14516678724049131</v>
      </c>
      <c r="D17" s="2">
        <v>0.47169167585992722</v>
      </c>
      <c r="E17" s="2">
        <v>0.63759993910783663</v>
      </c>
      <c r="F17" s="2">
        <v>-0.21757276335428266</v>
      </c>
      <c r="G17" s="2">
        <v>0.35452069365962036</v>
      </c>
      <c r="H17" s="2">
        <v>-0.21757276335428266</v>
      </c>
      <c r="I17" s="2">
        <v>0.35452069365962036</v>
      </c>
    </row>
    <row r="18" spans="1:9" ht="17" thickBot="1" x14ac:dyDescent="0.25">
      <c r="A18" s="3" t="s">
        <v>33</v>
      </c>
      <c r="B18" s="3">
        <v>1.374318872786896</v>
      </c>
      <c r="C18" s="3">
        <v>0.10353231921167104</v>
      </c>
      <c r="D18" s="3">
        <v>13.274298144303245</v>
      </c>
      <c r="E18" s="3">
        <v>3.8220110662189878E-30</v>
      </c>
      <c r="F18" s="3">
        <v>1.1703115942061975</v>
      </c>
      <c r="G18" s="3">
        <v>1.5783261513675946</v>
      </c>
      <c r="H18" s="3">
        <v>1.1703115942061975</v>
      </c>
      <c r="I18" s="3">
        <v>1.5783261513675946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252"/>
  <sheetViews>
    <sheetView tabSelected="1" workbookViewId="0">
      <selection activeCell="Q10" sqref="Q10"/>
    </sheetView>
  </sheetViews>
  <sheetFormatPr baseColWidth="10" defaultRowHeight="16" x14ac:dyDescent="0.2"/>
  <cols>
    <col min="9" max="9" width="12.83203125" bestFit="1" customWidth="1"/>
    <col min="11" max="11" width="20.16406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s="6" t="s">
        <v>34</v>
      </c>
      <c r="J1" s="6" t="s">
        <v>35</v>
      </c>
      <c r="K1" s="6" t="s">
        <v>36</v>
      </c>
      <c r="L1" s="6" t="s">
        <v>8</v>
      </c>
      <c r="M1" s="6" t="s">
        <v>7</v>
      </c>
    </row>
    <row r="2" spans="1:13" x14ac:dyDescent="0.2">
      <c r="A2" s="1">
        <v>43892</v>
      </c>
      <c r="B2">
        <v>276.89999399999999</v>
      </c>
      <c r="C2">
        <v>277.58999599999999</v>
      </c>
      <c r="D2">
        <v>261</v>
      </c>
      <c r="E2">
        <v>276.42999300000002</v>
      </c>
      <c r="F2">
        <v>276.139679</v>
      </c>
      <c r="G2">
        <v>22268600</v>
      </c>
      <c r="J2">
        <v>6.0000000000000001E-3</v>
      </c>
      <c r="M2">
        <v>4.3099999999999996</v>
      </c>
    </row>
    <row r="3" spans="1:13" x14ac:dyDescent="0.2">
      <c r="A3" s="1">
        <v>43893</v>
      </c>
      <c r="B3">
        <v>278.67001299999998</v>
      </c>
      <c r="C3">
        <v>281.07000699999998</v>
      </c>
      <c r="D3">
        <v>262.459991</v>
      </c>
      <c r="E3">
        <v>265.89001500000001</v>
      </c>
      <c r="F3">
        <v>265.61077899999998</v>
      </c>
      <c r="G3">
        <v>16319800</v>
      </c>
      <c r="I3">
        <f>(F3-F2)/F2</f>
        <v>-3.8128892009032939E-2</v>
      </c>
      <c r="J3">
        <v>6.0000000000000001E-3</v>
      </c>
      <c r="K3">
        <f>I3-J3</f>
        <v>-4.4128892009032937E-2</v>
      </c>
      <c r="L3">
        <f>100*K3</f>
        <v>-4.4128892009032938</v>
      </c>
      <c r="M3">
        <v>-2.79</v>
      </c>
    </row>
    <row r="4" spans="1:13" x14ac:dyDescent="0.2">
      <c r="A4" s="1">
        <v>43894</v>
      </c>
      <c r="B4">
        <v>270.20001200000002</v>
      </c>
      <c r="C4">
        <v>284.89001500000001</v>
      </c>
      <c r="D4">
        <v>267.20001200000002</v>
      </c>
      <c r="E4">
        <v>284.51001000000002</v>
      </c>
      <c r="F4">
        <v>284.21124300000002</v>
      </c>
      <c r="G4">
        <v>14935200</v>
      </c>
      <c r="I4">
        <f>(F4-F3)/F3</f>
        <v>7.0029025441019646E-2</v>
      </c>
      <c r="J4">
        <v>6.0000000000000001E-3</v>
      </c>
      <c r="K4">
        <f t="shared" ref="K4:K67" si="0">I4-J4</f>
        <v>6.4029025441019641E-2</v>
      </c>
      <c r="L4">
        <f t="shared" ref="L4:L67" si="1">100*K4</f>
        <v>6.4029025441019645</v>
      </c>
      <c r="M4">
        <v>4.03</v>
      </c>
    </row>
    <row r="5" spans="1:13" x14ac:dyDescent="0.2">
      <c r="A5" s="1">
        <v>43895</v>
      </c>
      <c r="B5">
        <v>276.5</v>
      </c>
      <c r="C5">
        <v>283.20001200000002</v>
      </c>
      <c r="D5">
        <v>271.5</v>
      </c>
      <c r="E5">
        <v>273.290009</v>
      </c>
      <c r="F5">
        <v>273.00299100000001</v>
      </c>
      <c r="G5">
        <v>13508200</v>
      </c>
      <c r="I5">
        <f t="shared" ref="I5:I68" si="2">(F5-F4)/F4</f>
        <v>-3.9436342776911236E-2</v>
      </c>
      <c r="J5">
        <v>6.0000000000000001E-3</v>
      </c>
      <c r="K5">
        <f t="shared" si="0"/>
        <v>-4.5436342776911234E-2</v>
      </c>
      <c r="L5">
        <f t="shared" si="1"/>
        <v>-4.5436342776911234</v>
      </c>
      <c r="M5">
        <v>-3.38</v>
      </c>
    </row>
    <row r="6" spans="1:13" x14ac:dyDescent="0.2">
      <c r="A6" s="1">
        <v>43896</v>
      </c>
      <c r="B6">
        <v>266.07998700000002</v>
      </c>
      <c r="C6">
        <v>268.39001500000001</v>
      </c>
      <c r="D6">
        <v>258</v>
      </c>
      <c r="E6">
        <v>266.040009</v>
      </c>
      <c r="F6">
        <v>265.76062000000002</v>
      </c>
      <c r="G6">
        <v>12885300</v>
      </c>
      <c r="I6">
        <f t="shared" si="2"/>
        <v>-2.6528540853971785E-2</v>
      </c>
      <c r="J6">
        <v>6.0000000000000001E-3</v>
      </c>
      <c r="K6">
        <f t="shared" si="0"/>
        <v>-3.2528540853971784E-2</v>
      </c>
      <c r="L6">
        <f t="shared" si="1"/>
        <v>-3.2528540853971784</v>
      </c>
      <c r="M6">
        <v>-1.78</v>
      </c>
    </row>
    <row r="7" spans="1:13" x14ac:dyDescent="0.2">
      <c r="A7" s="1">
        <v>43899</v>
      </c>
      <c r="B7">
        <v>239.89999399999999</v>
      </c>
      <c r="C7">
        <v>259.39999399999999</v>
      </c>
      <c r="D7">
        <v>238.179993</v>
      </c>
      <c r="E7">
        <v>245.44000199999999</v>
      </c>
      <c r="F7">
        <v>245.18223599999999</v>
      </c>
      <c r="G7">
        <v>15354000</v>
      </c>
      <c r="I7">
        <f t="shared" si="2"/>
        <v>-7.7432028868686512E-2</v>
      </c>
      <c r="J7">
        <v>6.0000000000000001E-3</v>
      </c>
      <c r="K7">
        <f t="shared" si="0"/>
        <v>-8.3432028868686517E-2</v>
      </c>
      <c r="L7">
        <f t="shared" si="1"/>
        <v>-8.3432028868686512</v>
      </c>
      <c r="M7">
        <v>-7.79</v>
      </c>
    </row>
    <row r="8" spans="1:13" x14ac:dyDescent="0.2">
      <c r="A8" s="1">
        <v>43900</v>
      </c>
      <c r="B8">
        <v>256.540009</v>
      </c>
      <c r="C8">
        <v>261.07998700000002</v>
      </c>
      <c r="D8">
        <v>245.990005</v>
      </c>
      <c r="E8">
        <v>261.07998700000002</v>
      </c>
      <c r="F8">
        <v>260.80578600000001</v>
      </c>
      <c r="G8">
        <v>14516200</v>
      </c>
      <c r="I8">
        <f t="shared" si="2"/>
        <v>6.3722193968408156E-2</v>
      </c>
      <c r="J8">
        <v>6.0000000000000001E-3</v>
      </c>
      <c r="K8">
        <f t="shared" si="0"/>
        <v>5.7722193968408157E-2</v>
      </c>
      <c r="L8">
        <f t="shared" si="1"/>
        <v>5.772219396840816</v>
      </c>
      <c r="M8">
        <v>4.74</v>
      </c>
    </row>
    <row r="9" spans="1:13" x14ac:dyDescent="0.2">
      <c r="A9" s="1">
        <v>43901</v>
      </c>
      <c r="B9">
        <v>255.46000699999999</v>
      </c>
      <c r="C9">
        <v>256.60000600000001</v>
      </c>
      <c r="D9">
        <v>242.570007</v>
      </c>
      <c r="E9">
        <v>246.470001</v>
      </c>
      <c r="F9">
        <v>246.211151</v>
      </c>
      <c r="G9">
        <v>12499100</v>
      </c>
      <c r="I9">
        <f t="shared" si="2"/>
        <v>-5.5959782272621862E-2</v>
      </c>
      <c r="J9">
        <v>6.0000000000000001E-3</v>
      </c>
      <c r="K9">
        <f t="shared" si="0"/>
        <v>-6.1959782272621861E-2</v>
      </c>
      <c r="L9">
        <f t="shared" si="1"/>
        <v>-6.1959782272621862</v>
      </c>
      <c r="M9">
        <v>-5.05</v>
      </c>
    </row>
    <row r="10" spans="1:13" x14ac:dyDescent="0.2">
      <c r="A10" s="1">
        <v>43902</v>
      </c>
      <c r="B10">
        <v>225.46000699999999</v>
      </c>
      <c r="C10">
        <v>236.11999499999999</v>
      </c>
      <c r="D10">
        <v>215.800003</v>
      </c>
      <c r="E10">
        <v>216.30999800000001</v>
      </c>
      <c r="F10">
        <v>216.082809</v>
      </c>
      <c r="G10">
        <v>20413500</v>
      </c>
      <c r="I10">
        <f t="shared" si="2"/>
        <v>-0.12236790201269156</v>
      </c>
      <c r="J10">
        <v>6.0000000000000001E-3</v>
      </c>
      <c r="K10">
        <f t="shared" si="0"/>
        <v>-0.12836790201269155</v>
      </c>
      <c r="L10">
        <f t="shared" si="1"/>
        <v>-12.836790201269155</v>
      </c>
      <c r="M10">
        <v>-9.6300000000000008</v>
      </c>
    </row>
    <row r="11" spans="1:13" x14ac:dyDescent="0.2">
      <c r="A11" s="1">
        <v>43903</v>
      </c>
      <c r="B11">
        <v>230.5</v>
      </c>
      <c r="C11">
        <v>241.020004</v>
      </c>
      <c r="D11">
        <v>219.61000100000001</v>
      </c>
      <c r="E11">
        <v>240.83999600000001</v>
      </c>
      <c r="F11">
        <v>240.587051</v>
      </c>
      <c r="G11">
        <v>15870900</v>
      </c>
      <c r="I11">
        <f t="shared" si="2"/>
        <v>0.11340208928883373</v>
      </c>
      <c r="J11">
        <v>6.0000000000000001E-3</v>
      </c>
      <c r="K11">
        <f t="shared" si="0"/>
        <v>0.10740208928883373</v>
      </c>
      <c r="L11">
        <f t="shared" si="1"/>
        <v>10.740208928883373</v>
      </c>
      <c r="M11">
        <v>8.9600000000000009</v>
      </c>
    </row>
    <row r="12" spans="1:13" x14ac:dyDescent="0.2">
      <c r="A12" s="1">
        <v>43906</v>
      </c>
      <c r="B12">
        <v>212.41000399999999</v>
      </c>
      <c r="C12">
        <v>226.10000600000001</v>
      </c>
      <c r="D12">
        <v>194</v>
      </c>
      <c r="E12">
        <v>196.39999399999999</v>
      </c>
      <c r="F12">
        <v>196.19371000000001</v>
      </c>
      <c r="G12">
        <v>18174300</v>
      </c>
      <c r="I12">
        <f t="shared" si="2"/>
        <v>-0.18452090756954326</v>
      </c>
      <c r="J12">
        <v>6.0000000000000001E-3</v>
      </c>
      <c r="K12">
        <f t="shared" si="0"/>
        <v>-0.19052090756954326</v>
      </c>
      <c r="L12">
        <f t="shared" si="1"/>
        <v>-19.052090756954325</v>
      </c>
      <c r="M12">
        <v>-12</v>
      </c>
    </row>
    <row r="13" spans="1:13" x14ac:dyDescent="0.2">
      <c r="A13" s="1">
        <v>43907</v>
      </c>
      <c r="B13">
        <v>200.91000399999999</v>
      </c>
      <c r="C13">
        <v>220.86000100000001</v>
      </c>
      <c r="D13">
        <v>191</v>
      </c>
      <c r="E13">
        <v>217.270004</v>
      </c>
      <c r="F13">
        <v>217.04182399999999</v>
      </c>
      <c r="G13">
        <v>20840800</v>
      </c>
      <c r="I13">
        <f t="shared" si="2"/>
        <v>0.10626290720533284</v>
      </c>
      <c r="J13">
        <v>6.0000000000000001E-3</v>
      </c>
      <c r="K13">
        <f t="shared" si="0"/>
        <v>0.10026290720533283</v>
      </c>
      <c r="L13">
        <f t="shared" si="1"/>
        <v>10.026290720533284</v>
      </c>
      <c r="M13">
        <v>5.87</v>
      </c>
    </row>
    <row r="14" spans="1:13" x14ac:dyDescent="0.2">
      <c r="A14" s="1">
        <v>43908</v>
      </c>
      <c r="B14">
        <v>200.10000600000001</v>
      </c>
      <c r="C14">
        <v>209.94000199999999</v>
      </c>
      <c r="D14">
        <v>180.679993</v>
      </c>
      <c r="E14">
        <v>202.820007</v>
      </c>
      <c r="F14">
        <v>202.60699500000001</v>
      </c>
      <c r="G14">
        <v>21856700</v>
      </c>
      <c r="I14">
        <f t="shared" si="2"/>
        <v>-6.6507130902106595E-2</v>
      </c>
      <c r="J14">
        <v>6.0000000000000001E-3</v>
      </c>
      <c r="K14">
        <f t="shared" si="0"/>
        <v>-7.2507130902106601E-2</v>
      </c>
      <c r="L14">
        <f t="shared" si="1"/>
        <v>-7.2507130902106605</v>
      </c>
      <c r="M14">
        <v>-5.56</v>
      </c>
    </row>
    <row r="15" spans="1:13" x14ac:dyDescent="0.2">
      <c r="A15" s="1">
        <v>43909</v>
      </c>
      <c r="B15">
        <v>201.96000699999999</v>
      </c>
      <c r="C15">
        <v>216.729996</v>
      </c>
      <c r="D15">
        <v>193.38999899999999</v>
      </c>
      <c r="E15">
        <v>212.970001</v>
      </c>
      <c r="F15">
        <v>212.74632299999999</v>
      </c>
      <c r="G15">
        <v>19137800</v>
      </c>
      <c r="I15">
        <f t="shared" si="2"/>
        <v>5.0044313623031508E-2</v>
      </c>
      <c r="J15">
        <v>6.0000000000000001E-3</v>
      </c>
      <c r="K15">
        <f t="shared" si="0"/>
        <v>4.404431362303151E-2</v>
      </c>
      <c r="L15">
        <f t="shared" si="1"/>
        <v>4.4044313623031508</v>
      </c>
      <c r="M15">
        <v>1.31</v>
      </c>
    </row>
    <row r="16" spans="1:13" x14ac:dyDescent="0.2">
      <c r="A16" s="1">
        <v>43910</v>
      </c>
      <c r="B16">
        <v>219</v>
      </c>
      <c r="C16">
        <v>230.320007</v>
      </c>
      <c r="D16">
        <v>205.13000500000001</v>
      </c>
      <c r="E16">
        <v>205.75</v>
      </c>
      <c r="F16">
        <v>205.53391999999999</v>
      </c>
      <c r="G16">
        <v>20115900</v>
      </c>
      <c r="I16">
        <f t="shared" si="2"/>
        <v>-3.3901422587689072E-2</v>
      </c>
      <c r="J16">
        <v>6.0000000000000001E-3</v>
      </c>
      <c r="K16">
        <f t="shared" si="0"/>
        <v>-3.990142258768907E-2</v>
      </c>
      <c r="L16">
        <f t="shared" si="1"/>
        <v>-3.9901422587689068</v>
      </c>
      <c r="M16">
        <v>-4.1500000000000004</v>
      </c>
    </row>
    <row r="17" spans="1:13" x14ac:dyDescent="0.2">
      <c r="A17" s="1">
        <v>43913</v>
      </c>
      <c r="B17">
        <v>205.71000699999999</v>
      </c>
      <c r="C17">
        <v>216.479996</v>
      </c>
      <c r="D17">
        <v>198.520004</v>
      </c>
      <c r="E17">
        <v>212.69000199999999</v>
      </c>
      <c r="F17">
        <v>212.46662900000001</v>
      </c>
      <c r="G17">
        <v>16096900</v>
      </c>
      <c r="I17">
        <f t="shared" si="2"/>
        <v>3.3730242677218518E-2</v>
      </c>
      <c r="J17">
        <v>6.0000000000000001E-3</v>
      </c>
      <c r="K17">
        <f t="shared" si="0"/>
        <v>2.773024267721852E-2</v>
      </c>
      <c r="L17">
        <f t="shared" si="1"/>
        <v>2.7730242677218522</v>
      </c>
      <c r="M17">
        <v>-2.5499999999999998</v>
      </c>
    </row>
    <row r="18" spans="1:13" x14ac:dyDescent="0.2">
      <c r="A18" s="1">
        <v>43914</v>
      </c>
      <c r="B18">
        <v>229</v>
      </c>
      <c r="C18">
        <v>252.66000399999999</v>
      </c>
      <c r="D18">
        <v>228.050003</v>
      </c>
      <c r="E18">
        <v>249.179993</v>
      </c>
      <c r="F18">
        <v>248.91830400000001</v>
      </c>
      <c r="G18">
        <v>27541100</v>
      </c>
      <c r="I18">
        <f t="shared" si="2"/>
        <v>0.17156423656535724</v>
      </c>
      <c r="J18">
        <v>6.0000000000000001E-3</v>
      </c>
      <c r="K18">
        <f t="shared" si="0"/>
        <v>0.16556423656535724</v>
      </c>
      <c r="L18">
        <f t="shared" si="1"/>
        <v>16.556423656535724</v>
      </c>
      <c r="M18">
        <v>9.34</v>
      </c>
    </row>
    <row r="19" spans="1:13" x14ac:dyDescent="0.2">
      <c r="A19" s="1">
        <v>43915</v>
      </c>
      <c r="B19">
        <v>253.800003</v>
      </c>
      <c r="C19">
        <v>261.82000699999998</v>
      </c>
      <c r="D19">
        <v>243.66000399999999</v>
      </c>
      <c r="E19">
        <v>245.61999499999999</v>
      </c>
      <c r="F19">
        <v>245.36203</v>
      </c>
      <c r="G19">
        <v>19835800</v>
      </c>
      <c r="I19">
        <f t="shared" si="2"/>
        <v>-1.428691238391212E-2</v>
      </c>
      <c r="J19">
        <v>6.0000000000000001E-3</v>
      </c>
      <c r="K19">
        <f t="shared" si="0"/>
        <v>-2.0286912383912122E-2</v>
      </c>
      <c r="L19">
        <f t="shared" si="1"/>
        <v>-2.0286912383912123</v>
      </c>
      <c r="M19">
        <v>1.18</v>
      </c>
    </row>
    <row r="20" spans="1:13" x14ac:dyDescent="0.2">
      <c r="A20" s="1">
        <v>43916</v>
      </c>
      <c r="B20">
        <v>253.94000199999999</v>
      </c>
      <c r="C20">
        <v>262.22000100000002</v>
      </c>
      <c r="D20">
        <v>250</v>
      </c>
      <c r="E20">
        <v>257.23998999999998</v>
      </c>
      <c r="F20">
        <v>256.96981799999998</v>
      </c>
      <c r="G20">
        <v>17402700</v>
      </c>
      <c r="I20">
        <f t="shared" si="2"/>
        <v>4.7308819543105222E-2</v>
      </c>
      <c r="J20">
        <v>6.0000000000000001E-3</v>
      </c>
      <c r="K20">
        <f t="shared" si="0"/>
        <v>4.1308819543105224E-2</v>
      </c>
      <c r="L20">
        <f t="shared" si="1"/>
        <v>4.1308819543105226</v>
      </c>
      <c r="M20">
        <v>6.02</v>
      </c>
    </row>
    <row r="21" spans="1:13" x14ac:dyDescent="0.2">
      <c r="A21" s="1">
        <v>43917</v>
      </c>
      <c r="B21">
        <v>250</v>
      </c>
      <c r="C21">
        <v>263.11999500000002</v>
      </c>
      <c r="D21">
        <v>248.679993</v>
      </c>
      <c r="E21">
        <v>252.729996</v>
      </c>
      <c r="F21">
        <v>252.46456900000001</v>
      </c>
      <c r="G21">
        <v>15970700</v>
      </c>
      <c r="I21">
        <f t="shared" si="2"/>
        <v>-1.7532210728343062E-2</v>
      </c>
      <c r="J21">
        <v>6.0000000000000001E-3</v>
      </c>
      <c r="K21">
        <f t="shared" si="0"/>
        <v>-2.3532210728343064E-2</v>
      </c>
      <c r="L21">
        <f t="shared" si="1"/>
        <v>-2.3532210728343066</v>
      </c>
      <c r="M21">
        <v>-3.48</v>
      </c>
    </row>
    <row r="22" spans="1:13" x14ac:dyDescent="0.2">
      <c r="A22" s="1">
        <v>43920</v>
      </c>
      <c r="B22">
        <v>255.36000100000001</v>
      </c>
      <c r="C22">
        <v>265.959991</v>
      </c>
      <c r="D22">
        <v>253.58999600000001</v>
      </c>
      <c r="E22">
        <v>265.58999599999999</v>
      </c>
      <c r="F22">
        <v>265.31106599999998</v>
      </c>
      <c r="G22">
        <v>15056300</v>
      </c>
      <c r="I22">
        <f t="shared" si="2"/>
        <v>5.0884355974718853E-2</v>
      </c>
      <c r="J22">
        <v>6.0000000000000001E-3</v>
      </c>
      <c r="K22">
        <f t="shared" si="0"/>
        <v>4.4884355974718855E-2</v>
      </c>
      <c r="L22">
        <f t="shared" si="1"/>
        <v>4.4884355974718853</v>
      </c>
      <c r="M22">
        <v>3.16</v>
      </c>
    </row>
    <row r="23" spans="1:13" x14ac:dyDescent="0.2">
      <c r="A23" s="1">
        <v>43921</v>
      </c>
      <c r="B23">
        <v>267.20001200000002</v>
      </c>
      <c r="C23">
        <v>275.39999399999999</v>
      </c>
      <c r="D23">
        <v>257.75</v>
      </c>
      <c r="E23">
        <v>263.60000600000001</v>
      </c>
      <c r="F23">
        <v>263.32318099999998</v>
      </c>
      <c r="G23">
        <v>23749000</v>
      </c>
      <c r="I23">
        <f t="shared" si="2"/>
        <v>-7.4926576941197233E-3</v>
      </c>
      <c r="J23">
        <v>6.0000000000000001E-3</v>
      </c>
      <c r="K23">
        <f t="shared" si="0"/>
        <v>-1.3492657694119723E-2</v>
      </c>
      <c r="L23">
        <f t="shared" si="1"/>
        <v>-1.3492657694119723</v>
      </c>
      <c r="M23">
        <v>-1.44</v>
      </c>
    </row>
    <row r="24" spans="1:13" x14ac:dyDescent="0.2">
      <c r="A24" s="1">
        <v>43922</v>
      </c>
      <c r="B24">
        <v>255.64999399999999</v>
      </c>
      <c r="C24">
        <v>261.52999899999998</v>
      </c>
      <c r="D24">
        <v>241.279999</v>
      </c>
      <c r="E24">
        <v>243.070007</v>
      </c>
      <c r="F24">
        <v>242.814728</v>
      </c>
      <c r="G24">
        <v>16422800</v>
      </c>
      <c r="I24">
        <f t="shared" si="2"/>
        <v>-7.7883203909799248E-2</v>
      </c>
      <c r="J24">
        <v>0</v>
      </c>
      <c r="K24">
        <f t="shared" si="0"/>
        <v>-7.7883203909799248E-2</v>
      </c>
      <c r="L24">
        <f t="shared" si="1"/>
        <v>-7.7883203909799246</v>
      </c>
      <c r="M24">
        <v>-4.51</v>
      </c>
    </row>
    <row r="25" spans="1:13" x14ac:dyDescent="0.2">
      <c r="A25" s="1">
        <v>43923</v>
      </c>
      <c r="B25">
        <v>244.240005</v>
      </c>
      <c r="C25">
        <v>256</v>
      </c>
      <c r="D25">
        <v>242.30999800000001</v>
      </c>
      <c r="E25">
        <v>255.470001</v>
      </c>
      <c r="F25">
        <v>255.20169100000001</v>
      </c>
      <c r="G25">
        <v>16894100</v>
      </c>
      <c r="I25">
        <f t="shared" si="2"/>
        <v>5.1014051338763966E-2</v>
      </c>
      <c r="J25">
        <v>0</v>
      </c>
      <c r="K25">
        <f t="shared" si="0"/>
        <v>5.1014051338763966E-2</v>
      </c>
      <c r="L25">
        <f t="shared" si="1"/>
        <v>5.1014051338763968</v>
      </c>
      <c r="M25">
        <v>2.1</v>
      </c>
    </row>
    <row r="26" spans="1:13" x14ac:dyDescent="0.2">
      <c r="A26" s="1">
        <v>43924</v>
      </c>
      <c r="B26">
        <v>253.96000699999999</v>
      </c>
      <c r="C26">
        <v>255.63000500000001</v>
      </c>
      <c r="D26">
        <v>238.38999899999999</v>
      </c>
      <c r="E26">
        <v>243.91000399999999</v>
      </c>
      <c r="F26">
        <v>243.653854</v>
      </c>
      <c r="G26">
        <v>16580300</v>
      </c>
      <c r="I26">
        <f t="shared" si="2"/>
        <v>-4.524984515090856E-2</v>
      </c>
      <c r="J26">
        <v>0</v>
      </c>
      <c r="K26">
        <f t="shared" si="0"/>
        <v>-4.524984515090856E-2</v>
      </c>
      <c r="L26">
        <f t="shared" si="1"/>
        <v>-4.5249845150908561</v>
      </c>
      <c r="M26">
        <v>-1.64</v>
      </c>
    </row>
    <row r="27" spans="1:13" x14ac:dyDescent="0.2">
      <c r="A27" s="1">
        <v>43927</v>
      </c>
      <c r="B27">
        <v>255.240005</v>
      </c>
      <c r="C27">
        <v>269.88000499999998</v>
      </c>
      <c r="D27">
        <v>252.929993</v>
      </c>
      <c r="E27">
        <v>268.39999399999999</v>
      </c>
      <c r="F27">
        <v>268.11807299999998</v>
      </c>
      <c r="G27">
        <v>18197100</v>
      </c>
      <c r="I27">
        <f t="shared" si="2"/>
        <v>0.10040563117872942</v>
      </c>
      <c r="J27">
        <v>0</v>
      </c>
      <c r="K27">
        <f t="shared" si="0"/>
        <v>0.10040563117872942</v>
      </c>
      <c r="L27">
        <f t="shared" si="1"/>
        <v>10.040563117872942</v>
      </c>
      <c r="M27">
        <v>7.06</v>
      </c>
    </row>
    <row r="28" spans="1:13" x14ac:dyDescent="0.2">
      <c r="A28" s="1">
        <v>43928</v>
      </c>
      <c r="B28">
        <v>277.29998799999998</v>
      </c>
      <c r="C28">
        <v>278.25</v>
      </c>
      <c r="D28">
        <v>257.29998799999998</v>
      </c>
      <c r="E28">
        <v>259.02999899999998</v>
      </c>
      <c r="F28">
        <v>258.75793499999997</v>
      </c>
      <c r="G28">
        <v>19613000</v>
      </c>
      <c r="I28">
        <f t="shared" si="2"/>
        <v>-3.4910507506146396E-2</v>
      </c>
      <c r="J28">
        <v>0</v>
      </c>
      <c r="K28">
        <f t="shared" si="0"/>
        <v>-3.4910507506146396E-2</v>
      </c>
      <c r="L28">
        <f t="shared" si="1"/>
        <v>-3.4910507506146398</v>
      </c>
      <c r="M28">
        <v>-0.11</v>
      </c>
    </row>
    <row r="29" spans="1:13" x14ac:dyDescent="0.2">
      <c r="A29" s="1">
        <v>43929</v>
      </c>
      <c r="B29">
        <v>263.41000400000001</v>
      </c>
      <c r="C29">
        <v>267.95001200000002</v>
      </c>
      <c r="D29">
        <v>260.60000600000001</v>
      </c>
      <c r="E29">
        <v>266.95001200000002</v>
      </c>
      <c r="F29">
        <v>266.669647</v>
      </c>
      <c r="G29">
        <v>13561100</v>
      </c>
      <c r="I29">
        <f t="shared" si="2"/>
        <v>3.0575727078669197E-2</v>
      </c>
      <c r="J29">
        <v>0</v>
      </c>
      <c r="K29">
        <f t="shared" si="0"/>
        <v>3.0575727078669197E-2</v>
      </c>
      <c r="L29">
        <f t="shared" si="1"/>
        <v>3.0575727078669197</v>
      </c>
      <c r="M29">
        <v>3.4</v>
      </c>
    </row>
    <row r="30" spans="1:13" x14ac:dyDescent="0.2">
      <c r="A30" s="1">
        <v>43930</v>
      </c>
      <c r="B30">
        <v>272</v>
      </c>
      <c r="C30">
        <v>272.92001299999998</v>
      </c>
      <c r="D30">
        <v>260.42001299999998</v>
      </c>
      <c r="E30">
        <v>262.95001200000002</v>
      </c>
      <c r="F30">
        <v>262.67385899999999</v>
      </c>
      <c r="G30">
        <v>13156200</v>
      </c>
      <c r="I30">
        <f t="shared" si="2"/>
        <v>-1.498403753465052E-2</v>
      </c>
      <c r="J30">
        <v>0</v>
      </c>
      <c r="K30">
        <f t="shared" si="0"/>
        <v>-1.498403753465052E-2</v>
      </c>
      <c r="L30">
        <f t="shared" si="1"/>
        <v>-1.4984037534650521</v>
      </c>
      <c r="M30">
        <v>1.59</v>
      </c>
    </row>
    <row r="31" spans="1:13" x14ac:dyDescent="0.2">
      <c r="A31" s="1">
        <v>43934</v>
      </c>
      <c r="B31">
        <v>260.54998799999998</v>
      </c>
      <c r="C31">
        <v>270.20001200000002</v>
      </c>
      <c r="D31">
        <v>257</v>
      </c>
      <c r="E31">
        <v>269.85000600000001</v>
      </c>
      <c r="F31">
        <v>269.56658900000002</v>
      </c>
      <c r="G31">
        <v>9960200</v>
      </c>
      <c r="I31">
        <f t="shared" si="2"/>
        <v>2.6240639347366611E-2</v>
      </c>
      <c r="J31">
        <v>0</v>
      </c>
      <c r="K31">
        <f t="shared" si="0"/>
        <v>2.6240639347366611E-2</v>
      </c>
      <c r="L31">
        <f t="shared" si="1"/>
        <v>2.624063934736661</v>
      </c>
      <c r="M31">
        <v>-0.92</v>
      </c>
    </row>
    <row r="32" spans="1:13" x14ac:dyDescent="0.2">
      <c r="A32" s="1">
        <v>43935</v>
      </c>
      <c r="B32">
        <v>275</v>
      </c>
      <c r="C32">
        <v>285.32000699999998</v>
      </c>
      <c r="D32">
        <v>273.89001500000001</v>
      </c>
      <c r="E32">
        <v>283.95001200000002</v>
      </c>
      <c r="F32">
        <v>283.651794</v>
      </c>
      <c r="G32">
        <v>13273700</v>
      </c>
      <c r="I32">
        <f t="shared" si="2"/>
        <v>5.2251301069065247E-2</v>
      </c>
      <c r="J32">
        <v>0</v>
      </c>
      <c r="K32">
        <f t="shared" si="0"/>
        <v>5.2251301069065247E-2</v>
      </c>
      <c r="L32">
        <f t="shared" si="1"/>
        <v>5.2251301069065246</v>
      </c>
      <c r="M32">
        <v>3.02</v>
      </c>
    </row>
    <row r="33" spans="1:13" x14ac:dyDescent="0.2">
      <c r="A33" s="1">
        <v>43936</v>
      </c>
      <c r="B33">
        <v>277.20001200000002</v>
      </c>
      <c r="C33">
        <v>284.17001299999998</v>
      </c>
      <c r="D33">
        <v>275.38000499999998</v>
      </c>
      <c r="E33">
        <v>280.83999599999999</v>
      </c>
      <c r="F33">
        <v>280.54504400000002</v>
      </c>
      <c r="G33">
        <v>9153700</v>
      </c>
      <c r="I33">
        <f t="shared" si="2"/>
        <v>-1.0952689409043459E-2</v>
      </c>
      <c r="J33">
        <v>0</v>
      </c>
      <c r="K33">
        <f t="shared" si="0"/>
        <v>-1.0952689409043459E-2</v>
      </c>
      <c r="L33">
        <f t="shared" si="1"/>
        <v>-1.0952689409043459</v>
      </c>
      <c r="M33">
        <v>-2.15</v>
      </c>
    </row>
    <row r="34" spans="1:13" x14ac:dyDescent="0.2">
      <c r="A34" s="1">
        <v>43937</v>
      </c>
      <c r="B34">
        <v>287.07998700000002</v>
      </c>
      <c r="C34">
        <v>299</v>
      </c>
      <c r="D34">
        <v>286.54998799999998</v>
      </c>
      <c r="E34">
        <v>294.70001200000002</v>
      </c>
      <c r="F34">
        <v>294.39050300000002</v>
      </c>
      <c r="G34">
        <v>18640500</v>
      </c>
      <c r="I34">
        <f t="shared" si="2"/>
        <v>4.9351999959051152E-2</v>
      </c>
      <c r="J34">
        <v>0</v>
      </c>
      <c r="K34">
        <f t="shared" si="0"/>
        <v>4.9351999959051152E-2</v>
      </c>
      <c r="L34">
        <f t="shared" si="1"/>
        <v>4.9351999959051156</v>
      </c>
      <c r="M34">
        <v>0.62</v>
      </c>
    </row>
    <row r="35" spans="1:13" x14ac:dyDescent="0.2">
      <c r="A35" s="1">
        <v>43938</v>
      </c>
      <c r="B35">
        <v>298</v>
      </c>
      <c r="C35">
        <v>298.85998499999999</v>
      </c>
      <c r="D35">
        <v>286.94000199999999</v>
      </c>
      <c r="E35">
        <v>292.32000699999998</v>
      </c>
      <c r="F35">
        <v>292.01299999999998</v>
      </c>
      <c r="G35">
        <v>13478000</v>
      </c>
      <c r="I35">
        <f t="shared" si="2"/>
        <v>-8.0760179957301368E-3</v>
      </c>
      <c r="J35">
        <v>0</v>
      </c>
      <c r="K35">
        <f t="shared" si="0"/>
        <v>-8.0760179957301368E-3</v>
      </c>
      <c r="L35">
        <f t="shared" si="1"/>
        <v>-0.8076017995730137</v>
      </c>
      <c r="M35">
        <v>2.72</v>
      </c>
    </row>
    <row r="36" spans="1:13" x14ac:dyDescent="0.2">
      <c r="A36" s="1">
        <v>43941</v>
      </c>
      <c r="B36">
        <v>287.23998999999998</v>
      </c>
      <c r="C36">
        <v>293.5</v>
      </c>
      <c r="D36">
        <v>285.26998900000001</v>
      </c>
      <c r="E36">
        <v>287.04998799999998</v>
      </c>
      <c r="F36">
        <v>286.748535</v>
      </c>
      <c r="G36">
        <v>11234700</v>
      </c>
      <c r="I36">
        <f t="shared" si="2"/>
        <v>-1.8028187101259099E-2</v>
      </c>
      <c r="J36">
        <v>0</v>
      </c>
      <c r="K36">
        <f t="shared" si="0"/>
        <v>-1.8028187101259099E-2</v>
      </c>
      <c r="L36">
        <f t="shared" si="1"/>
        <v>-1.8028187101259099</v>
      </c>
      <c r="M36">
        <v>-1.56</v>
      </c>
    </row>
    <row r="37" spans="1:13" x14ac:dyDescent="0.2">
      <c r="A37" s="1">
        <v>43942</v>
      </c>
      <c r="B37">
        <v>282.30999800000001</v>
      </c>
      <c r="C37">
        <v>284.76998900000001</v>
      </c>
      <c r="D37">
        <v>267.10998499999999</v>
      </c>
      <c r="E37">
        <v>269.51001000000002</v>
      </c>
      <c r="F37">
        <v>269.22699</v>
      </c>
      <c r="G37">
        <v>18379000</v>
      </c>
      <c r="I37">
        <f t="shared" si="2"/>
        <v>-6.1104218021549798E-2</v>
      </c>
      <c r="J37">
        <v>0</v>
      </c>
      <c r="K37">
        <f t="shared" si="0"/>
        <v>-6.1104218021549798E-2</v>
      </c>
      <c r="L37">
        <f t="shared" si="1"/>
        <v>-6.1104218021549794</v>
      </c>
      <c r="M37">
        <v>-3.08</v>
      </c>
    </row>
    <row r="38" spans="1:13" x14ac:dyDescent="0.2">
      <c r="A38" s="1">
        <v>43943</v>
      </c>
      <c r="B38">
        <v>277.23001099999999</v>
      </c>
      <c r="C38">
        <v>287.86999500000002</v>
      </c>
      <c r="D38">
        <v>275.39999399999999</v>
      </c>
      <c r="E38">
        <v>286.14999399999999</v>
      </c>
      <c r="F38">
        <v>285.84948700000001</v>
      </c>
      <c r="G38">
        <v>12118200</v>
      </c>
      <c r="I38">
        <f t="shared" si="2"/>
        <v>6.1741569818092937E-2</v>
      </c>
      <c r="J38">
        <v>0</v>
      </c>
      <c r="K38">
        <f t="shared" si="0"/>
        <v>6.1741569818092937E-2</v>
      </c>
      <c r="L38">
        <f t="shared" si="1"/>
        <v>6.1741569818092934</v>
      </c>
      <c r="M38">
        <v>2.31</v>
      </c>
    </row>
    <row r="39" spans="1:13" x14ac:dyDescent="0.2">
      <c r="A39" s="1">
        <v>43944</v>
      </c>
      <c r="B39">
        <v>287.83999599999999</v>
      </c>
      <c r="C39">
        <v>293.14001500000001</v>
      </c>
      <c r="D39">
        <v>283</v>
      </c>
      <c r="E39">
        <v>284.01001000000002</v>
      </c>
      <c r="F39">
        <v>283.71173099999999</v>
      </c>
      <c r="G39">
        <v>10604000</v>
      </c>
      <c r="I39">
        <f t="shared" si="2"/>
        <v>-7.478607089471615E-3</v>
      </c>
      <c r="J39">
        <v>0</v>
      </c>
      <c r="K39">
        <f t="shared" si="0"/>
        <v>-7.478607089471615E-3</v>
      </c>
      <c r="L39">
        <f t="shared" si="1"/>
        <v>-0.7478607089471615</v>
      </c>
      <c r="M39">
        <v>0.13</v>
      </c>
    </row>
    <row r="40" spans="1:13" x14ac:dyDescent="0.2">
      <c r="A40" s="1">
        <v>43945</v>
      </c>
      <c r="B40">
        <v>283.60000600000001</v>
      </c>
      <c r="C40">
        <v>289.67001299999998</v>
      </c>
      <c r="D40">
        <v>280.60000600000001</v>
      </c>
      <c r="E40">
        <v>289.58999599999999</v>
      </c>
      <c r="F40">
        <v>289.285889</v>
      </c>
      <c r="G40">
        <v>8816100</v>
      </c>
      <c r="I40">
        <f t="shared" si="2"/>
        <v>1.9647259492417714E-2</v>
      </c>
      <c r="J40">
        <v>0</v>
      </c>
      <c r="K40">
        <f t="shared" si="0"/>
        <v>1.9647259492417714E-2</v>
      </c>
      <c r="L40">
        <f t="shared" si="1"/>
        <v>1.9647259492417715</v>
      </c>
      <c r="M40">
        <v>1.44</v>
      </c>
    </row>
    <row r="41" spans="1:13" x14ac:dyDescent="0.2">
      <c r="A41" s="1">
        <v>43948</v>
      </c>
      <c r="B41">
        <v>294.98998999999998</v>
      </c>
      <c r="C41">
        <v>303.5</v>
      </c>
      <c r="D41">
        <v>294</v>
      </c>
      <c r="E41">
        <v>297.07998700000002</v>
      </c>
      <c r="F41">
        <v>296.76797499999998</v>
      </c>
      <c r="G41">
        <v>11984700</v>
      </c>
      <c r="I41">
        <f t="shared" si="2"/>
        <v>2.5863985367084327E-2</v>
      </c>
      <c r="J41">
        <v>0</v>
      </c>
      <c r="K41">
        <f t="shared" si="0"/>
        <v>2.5863985367084327E-2</v>
      </c>
      <c r="L41">
        <f t="shared" si="1"/>
        <v>2.5863985367084328</v>
      </c>
      <c r="M41">
        <v>1.73</v>
      </c>
    </row>
    <row r="42" spans="1:13" x14ac:dyDescent="0.2">
      <c r="A42" s="1">
        <v>43949</v>
      </c>
      <c r="B42">
        <v>303</v>
      </c>
      <c r="C42">
        <v>304.20001200000002</v>
      </c>
      <c r="D42">
        <v>291.14001500000001</v>
      </c>
      <c r="E42">
        <v>291.35998499999999</v>
      </c>
      <c r="F42">
        <v>291.05395499999997</v>
      </c>
      <c r="G42">
        <v>11072600</v>
      </c>
      <c r="I42">
        <f t="shared" si="2"/>
        <v>-1.9254166491515824E-2</v>
      </c>
      <c r="J42">
        <v>0</v>
      </c>
      <c r="K42">
        <f t="shared" si="0"/>
        <v>-1.9254166491515824E-2</v>
      </c>
      <c r="L42">
        <f t="shared" si="1"/>
        <v>-1.9254166491515825</v>
      </c>
      <c r="M42">
        <v>-0.45</v>
      </c>
    </row>
    <row r="43" spans="1:13" x14ac:dyDescent="0.2">
      <c r="A43" s="1">
        <v>43950</v>
      </c>
      <c r="B43">
        <v>296.76998900000001</v>
      </c>
      <c r="C43">
        <v>300.57998700000002</v>
      </c>
      <c r="D43">
        <v>293.75</v>
      </c>
      <c r="E43">
        <v>298.459991</v>
      </c>
      <c r="F43">
        <v>298.146545</v>
      </c>
      <c r="G43">
        <v>9479000</v>
      </c>
      <c r="I43">
        <f t="shared" si="2"/>
        <v>2.4368643264098679E-2</v>
      </c>
      <c r="J43">
        <v>0</v>
      </c>
      <c r="K43">
        <f t="shared" si="0"/>
        <v>2.4368643264098679E-2</v>
      </c>
      <c r="L43">
        <f t="shared" si="1"/>
        <v>2.4368643264098679</v>
      </c>
      <c r="M43">
        <v>2.92</v>
      </c>
    </row>
    <row r="44" spans="1:13" x14ac:dyDescent="0.2">
      <c r="A44" s="1">
        <v>43951</v>
      </c>
      <c r="B44">
        <v>296.290009</v>
      </c>
      <c r="C44">
        <v>298.459991</v>
      </c>
      <c r="D44">
        <v>291.72000100000002</v>
      </c>
      <c r="E44">
        <v>292.27999899999998</v>
      </c>
      <c r="F44">
        <v>291.97305299999999</v>
      </c>
      <c r="G44">
        <v>9397900</v>
      </c>
      <c r="I44">
        <f t="shared" si="2"/>
        <v>-2.0706233573828635E-2</v>
      </c>
      <c r="J44">
        <v>0</v>
      </c>
      <c r="K44">
        <f t="shared" si="0"/>
        <v>-2.0706233573828635E-2</v>
      </c>
      <c r="L44">
        <f t="shared" si="1"/>
        <v>-2.0706233573828636</v>
      </c>
      <c r="M44">
        <v>-1.18</v>
      </c>
    </row>
    <row r="45" spans="1:13" x14ac:dyDescent="0.2">
      <c r="A45" s="1">
        <v>43952</v>
      </c>
      <c r="B45">
        <v>284.35000600000001</v>
      </c>
      <c r="C45">
        <v>288.89999399999999</v>
      </c>
      <c r="D45">
        <v>280.83999599999999</v>
      </c>
      <c r="E45">
        <v>282.77999899999998</v>
      </c>
      <c r="F45">
        <v>282.483002</v>
      </c>
      <c r="G45">
        <v>8552400</v>
      </c>
      <c r="I45">
        <f t="shared" si="2"/>
        <v>-3.2503174188475516E-2</v>
      </c>
      <c r="J45">
        <v>0</v>
      </c>
      <c r="K45">
        <f t="shared" si="0"/>
        <v>-3.2503174188475516E-2</v>
      </c>
      <c r="L45">
        <f t="shared" si="1"/>
        <v>-3.2503174188475517</v>
      </c>
      <c r="M45">
        <v>-2.91</v>
      </c>
    </row>
    <row r="46" spans="1:13" x14ac:dyDescent="0.2">
      <c r="A46" s="1">
        <v>43955</v>
      </c>
      <c r="B46">
        <v>280.88000499999998</v>
      </c>
      <c r="C46">
        <v>291.83999599999999</v>
      </c>
      <c r="D46">
        <v>280.88000499999998</v>
      </c>
      <c r="E46">
        <v>291.290009</v>
      </c>
      <c r="F46">
        <v>290.98406999999997</v>
      </c>
      <c r="G46">
        <v>7938900</v>
      </c>
      <c r="I46">
        <f t="shared" si="2"/>
        <v>3.0094086864738061E-2</v>
      </c>
      <c r="J46">
        <v>0</v>
      </c>
      <c r="K46">
        <f t="shared" si="0"/>
        <v>3.0094086864738061E-2</v>
      </c>
      <c r="L46">
        <f t="shared" si="1"/>
        <v>3.0094086864738063</v>
      </c>
      <c r="M46">
        <v>0.53</v>
      </c>
    </row>
    <row r="47" spans="1:13" x14ac:dyDescent="0.2">
      <c r="A47" s="1">
        <v>43956</v>
      </c>
      <c r="B47">
        <v>295.47000100000002</v>
      </c>
      <c r="C47">
        <v>300.26998900000001</v>
      </c>
      <c r="D47">
        <v>291.290009</v>
      </c>
      <c r="E47">
        <v>293.73998999999998</v>
      </c>
      <c r="F47">
        <v>293.431488</v>
      </c>
      <c r="G47">
        <v>9222400</v>
      </c>
      <c r="I47">
        <f t="shared" si="2"/>
        <v>8.4108315620165311E-3</v>
      </c>
      <c r="J47">
        <v>0</v>
      </c>
      <c r="K47">
        <f t="shared" si="0"/>
        <v>8.4108315620165311E-3</v>
      </c>
      <c r="L47">
        <f t="shared" si="1"/>
        <v>0.84108315620165308</v>
      </c>
      <c r="M47">
        <v>0.95</v>
      </c>
    </row>
    <row r="48" spans="1:13" x14ac:dyDescent="0.2">
      <c r="A48" s="1">
        <v>43957</v>
      </c>
      <c r="B48">
        <v>296.92999300000002</v>
      </c>
      <c r="C48">
        <v>302</v>
      </c>
      <c r="D48">
        <v>295.41000400000001</v>
      </c>
      <c r="E48">
        <v>297.790009</v>
      </c>
      <c r="F48">
        <v>297.47723400000001</v>
      </c>
      <c r="G48">
        <v>8086600</v>
      </c>
      <c r="I48">
        <f t="shared" si="2"/>
        <v>1.3787702293218131E-2</v>
      </c>
      <c r="J48">
        <v>0</v>
      </c>
      <c r="K48">
        <f t="shared" si="0"/>
        <v>1.3787702293218131E-2</v>
      </c>
      <c r="L48">
        <f t="shared" si="1"/>
        <v>1.3787702293218131</v>
      </c>
      <c r="M48">
        <v>-0.52</v>
      </c>
    </row>
    <row r="49" spans="1:13" x14ac:dyDescent="0.2">
      <c r="A49" s="1">
        <v>43958</v>
      </c>
      <c r="B49">
        <v>303.38000499999998</v>
      </c>
      <c r="C49">
        <v>307.41000400000001</v>
      </c>
      <c r="D49">
        <v>301.32000699999998</v>
      </c>
      <c r="E49">
        <v>304.86999500000002</v>
      </c>
      <c r="F49">
        <v>304.54980499999999</v>
      </c>
      <c r="G49">
        <v>9343300</v>
      </c>
      <c r="I49">
        <f t="shared" si="2"/>
        <v>2.3775167278851268E-2</v>
      </c>
      <c r="J49">
        <v>0</v>
      </c>
      <c r="K49">
        <f t="shared" si="0"/>
        <v>2.3775167278851268E-2</v>
      </c>
      <c r="L49">
        <f t="shared" si="1"/>
        <v>2.3775167278851268</v>
      </c>
      <c r="M49">
        <v>1.33</v>
      </c>
    </row>
    <row r="50" spans="1:13" x14ac:dyDescent="0.2">
      <c r="A50" s="1">
        <v>43959</v>
      </c>
      <c r="B50">
        <v>307.75</v>
      </c>
      <c r="C50">
        <v>312.75</v>
      </c>
      <c r="D50">
        <v>306.39001500000001</v>
      </c>
      <c r="E50">
        <v>312.5</v>
      </c>
      <c r="F50">
        <v>312.171783</v>
      </c>
      <c r="G50">
        <v>8497700</v>
      </c>
      <c r="I50">
        <f t="shared" si="2"/>
        <v>2.5027032934728074E-2</v>
      </c>
      <c r="J50">
        <v>0</v>
      </c>
      <c r="K50">
        <f t="shared" si="0"/>
        <v>2.5027032934728074E-2</v>
      </c>
      <c r="L50">
        <f t="shared" si="1"/>
        <v>2.5027032934728073</v>
      </c>
      <c r="M50">
        <v>1.9</v>
      </c>
    </row>
    <row r="51" spans="1:13" x14ac:dyDescent="0.2">
      <c r="A51" s="1">
        <v>43962</v>
      </c>
      <c r="B51">
        <v>312.29998799999998</v>
      </c>
      <c r="C51">
        <v>324.5</v>
      </c>
      <c r="D51">
        <v>311.14999399999999</v>
      </c>
      <c r="E51">
        <v>322.61999500000002</v>
      </c>
      <c r="F51">
        <v>322.281158</v>
      </c>
      <c r="G51">
        <v>11726500</v>
      </c>
      <c r="I51">
        <f t="shared" si="2"/>
        <v>3.2384012747237949E-2</v>
      </c>
      <c r="J51">
        <v>0</v>
      </c>
      <c r="K51">
        <f t="shared" si="0"/>
        <v>3.2384012747237949E-2</v>
      </c>
      <c r="L51">
        <f t="shared" si="1"/>
        <v>3.2384012747237949</v>
      </c>
      <c r="M51">
        <v>7.0000000000000007E-2</v>
      </c>
    </row>
    <row r="52" spans="1:13" x14ac:dyDescent="0.2">
      <c r="A52" s="1">
        <v>43963</v>
      </c>
      <c r="B52">
        <v>324.94000199999999</v>
      </c>
      <c r="C52">
        <v>326.89999399999999</v>
      </c>
      <c r="D52">
        <v>311.709991</v>
      </c>
      <c r="E52">
        <v>312.10000600000001</v>
      </c>
      <c r="F52">
        <v>311.77221700000001</v>
      </c>
      <c r="G52">
        <v>12326500</v>
      </c>
      <c r="I52">
        <f t="shared" si="2"/>
        <v>-3.2607990691159154E-2</v>
      </c>
      <c r="J52">
        <v>0</v>
      </c>
      <c r="K52">
        <f t="shared" si="0"/>
        <v>-3.2607990691159154E-2</v>
      </c>
      <c r="L52">
        <f t="shared" si="1"/>
        <v>-3.2607990691159152</v>
      </c>
      <c r="M52">
        <v>-2.06</v>
      </c>
    </row>
    <row r="53" spans="1:13" x14ac:dyDescent="0.2">
      <c r="A53" s="1">
        <v>43964</v>
      </c>
      <c r="B53">
        <v>316.70001200000002</v>
      </c>
      <c r="C53">
        <v>323.14001500000001</v>
      </c>
      <c r="D53">
        <v>303.790009</v>
      </c>
      <c r="E53">
        <v>311.20001200000002</v>
      </c>
      <c r="F53">
        <v>310.873199</v>
      </c>
      <c r="G53">
        <v>15646300</v>
      </c>
      <c r="I53">
        <f t="shared" si="2"/>
        <v>-2.8835731697029704E-3</v>
      </c>
      <c r="J53">
        <v>0</v>
      </c>
      <c r="K53">
        <f t="shared" si="0"/>
        <v>-2.8835731697029704E-3</v>
      </c>
      <c r="L53">
        <f t="shared" si="1"/>
        <v>-0.28835731697029704</v>
      </c>
      <c r="M53">
        <v>-1.89</v>
      </c>
    </row>
    <row r="54" spans="1:13" x14ac:dyDescent="0.2">
      <c r="A54" s="1">
        <v>43965</v>
      </c>
      <c r="B54">
        <v>313.67001299999998</v>
      </c>
      <c r="C54">
        <v>321.44000199999999</v>
      </c>
      <c r="D54">
        <v>307.5</v>
      </c>
      <c r="E54">
        <v>321.22000100000002</v>
      </c>
      <c r="F54">
        <v>320.88265999999999</v>
      </c>
      <c r="G54">
        <v>15057800</v>
      </c>
      <c r="I54">
        <f t="shared" si="2"/>
        <v>3.2197889789785279E-2</v>
      </c>
      <c r="J54">
        <v>0</v>
      </c>
      <c r="K54">
        <f t="shared" si="0"/>
        <v>3.2197889789785279E-2</v>
      </c>
      <c r="L54">
        <f t="shared" si="1"/>
        <v>3.2197889789785279</v>
      </c>
      <c r="M54">
        <v>1.1399999999999999</v>
      </c>
    </row>
    <row r="55" spans="1:13" x14ac:dyDescent="0.2">
      <c r="A55" s="1">
        <v>43966</v>
      </c>
      <c r="B55">
        <v>315.58999599999999</v>
      </c>
      <c r="C55">
        <v>340.01998900000001</v>
      </c>
      <c r="D55">
        <v>314.959991</v>
      </c>
      <c r="E55">
        <v>339.63000499999998</v>
      </c>
      <c r="F55">
        <v>339.27331500000003</v>
      </c>
      <c r="G55">
        <v>24691500</v>
      </c>
      <c r="I55">
        <f t="shared" si="2"/>
        <v>5.7312710509193732E-2</v>
      </c>
      <c r="J55">
        <v>0</v>
      </c>
      <c r="K55">
        <f t="shared" si="0"/>
        <v>5.7312710509193732E-2</v>
      </c>
      <c r="L55">
        <f t="shared" si="1"/>
        <v>5.7312710509193732</v>
      </c>
      <c r="M55">
        <v>0.56999999999999995</v>
      </c>
    </row>
    <row r="56" spans="1:13" x14ac:dyDescent="0.2">
      <c r="A56" s="1">
        <v>43969</v>
      </c>
      <c r="B56">
        <v>350.42001299999998</v>
      </c>
      <c r="C56">
        <v>356.66000400000001</v>
      </c>
      <c r="D56">
        <v>347.22000100000002</v>
      </c>
      <c r="E56">
        <v>350.01001000000002</v>
      </c>
      <c r="F56">
        <v>349.642426</v>
      </c>
      <c r="G56">
        <v>19410100</v>
      </c>
      <c r="I56">
        <f t="shared" si="2"/>
        <v>3.0562707237968226E-2</v>
      </c>
      <c r="J56">
        <v>0</v>
      </c>
      <c r="K56">
        <f t="shared" si="0"/>
        <v>3.0562707237968226E-2</v>
      </c>
      <c r="L56">
        <f t="shared" si="1"/>
        <v>3.0562707237968225</v>
      </c>
      <c r="M56">
        <v>3.24</v>
      </c>
    </row>
    <row r="57" spans="1:13" x14ac:dyDescent="0.2">
      <c r="A57" s="1">
        <v>43970</v>
      </c>
      <c r="B57">
        <v>351.60998499999999</v>
      </c>
      <c r="C57">
        <v>363.5</v>
      </c>
      <c r="D57">
        <v>350.51001000000002</v>
      </c>
      <c r="E57">
        <v>352.22000100000002</v>
      </c>
      <c r="F57">
        <v>351.850098</v>
      </c>
      <c r="G57">
        <v>17933000</v>
      </c>
      <c r="I57">
        <f t="shared" si="2"/>
        <v>6.3140850075213764E-3</v>
      </c>
      <c r="J57">
        <v>0</v>
      </c>
      <c r="K57">
        <f t="shared" si="0"/>
        <v>6.3140850075213764E-3</v>
      </c>
      <c r="L57">
        <f t="shared" si="1"/>
        <v>0.63140850075213761</v>
      </c>
      <c r="M57">
        <v>-1.01</v>
      </c>
    </row>
    <row r="58" spans="1:13" x14ac:dyDescent="0.2">
      <c r="A58" s="1">
        <v>43971</v>
      </c>
      <c r="B58">
        <v>359.64001500000001</v>
      </c>
      <c r="C58">
        <v>361.72000100000002</v>
      </c>
      <c r="D58">
        <v>355.54998799999998</v>
      </c>
      <c r="E58">
        <v>358.79998799999998</v>
      </c>
      <c r="F58">
        <v>358.423157</v>
      </c>
      <c r="G58">
        <v>14688400</v>
      </c>
      <c r="I58">
        <f t="shared" si="2"/>
        <v>1.8681418698936955E-2</v>
      </c>
      <c r="J58">
        <v>0</v>
      </c>
      <c r="K58">
        <f t="shared" si="0"/>
        <v>1.8681418698936955E-2</v>
      </c>
      <c r="L58">
        <f t="shared" si="1"/>
        <v>1.8681418698936956</v>
      </c>
      <c r="M58">
        <v>1.8</v>
      </c>
    </row>
    <row r="59" spans="1:13" x14ac:dyDescent="0.2">
      <c r="A59" s="1">
        <v>43972</v>
      </c>
      <c r="B59">
        <v>362.05999800000001</v>
      </c>
      <c r="C59">
        <v>362.10000600000001</v>
      </c>
      <c r="D59">
        <v>349.5</v>
      </c>
      <c r="E59">
        <v>351.01001000000002</v>
      </c>
      <c r="F59">
        <v>350.64138800000001</v>
      </c>
      <c r="G59">
        <v>19026700</v>
      </c>
      <c r="I59">
        <f t="shared" si="2"/>
        <v>-2.1711122308986294E-2</v>
      </c>
      <c r="J59">
        <v>0</v>
      </c>
      <c r="K59">
        <f t="shared" si="0"/>
        <v>-2.1711122308986294E-2</v>
      </c>
      <c r="L59">
        <f t="shared" si="1"/>
        <v>-2.1711122308986295</v>
      </c>
      <c r="M59">
        <v>-0.7</v>
      </c>
    </row>
    <row r="60" spans="1:13" x14ac:dyDescent="0.2">
      <c r="A60" s="1">
        <v>43973</v>
      </c>
      <c r="B60">
        <v>353.01001000000002</v>
      </c>
      <c r="C60">
        <v>363.72000100000002</v>
      </c>
      <c r="D60">
        <v>348.52999899999998</v>
      </c>
      <c r="E60">
        <v>361.04998799999998</v>
      </c>
      <c r="F60">
        <v>360.67077599999999</v>
      </c>
      <c r="G60">
        <v>25969100</v>
      </c>
      <c r="I60">
        <f t="shared" si="2"/>
        <v>2.8602978265646103E-2</v>
      </c>
      <c r="J60">
        <v>0</v>
      </c>
      <c r="K60">
        <f t="shared" si="0"/>
        <v>2.8602978265646103E-2</v>
      </c>
      <c r="L60">
        <f t="shared" si="1"/>
        <v>2.8602978265646102</v>
      </c>
      <c r="M60">
        <v>0.27</v>
      </c>
    </row>
    <row r="61" spans="1:13" x14ac:dyDescent="0.2">
      <c r="A61" s="1">
        <v>43977</v>
      </c>
      <c r="B61">
        <v>366.26998900000001</v>
      </c>
      <c r="C61">
        <v>367.26998900000001</v>
      </c>
      <c r="D61">
        <v>346.88000499999998</v>
      </c>
      <c r="E61">
        <v>348.709991</v>
      </c>
      <c r="F61">
        <v>348.34375</v>
      </c>
      <c r="G61">
        <v>19269500</v>
      </c>
      <c r="I61">
        <f t="shared" si="2"/>
        <v>-3.4178056056307679E-2</v>
      </c>
      <c r="J61">
        <v>0</v>
      </c>
      <c r="K61">
        <f t="shared" si="0"/>
        <v>-3.4178056056307679E-2</v>
      </c>
      <c r="L61">
        <f t="shared" si="1"/>
        <v>-3.4178056056307677</v>
      </c>
      <c r="M61">
        <v>1.23</v>
      </c>
    </row>
    <row r="62" spans="1:13" x14ac:dyDescent="0.2">
      <c r="A62" s="1">
        <v>43978</v>
      </c>
      <c r="B62">
        <v>345</v>
      </c>
      <c r="C62">
        <v>345.30999800000001</v>
      </c>
      <c r="D62">
        <v>319.86999500000002</v>
      </c>
      <c r="E62">
        <v>341.01001000000002</v>
      </c>
      <c r="F62">
        <v>340.65185500000001</v>
      </c>
      <c r="G62">
        <v>29397300</v>
      </c>
      <c r="I62">
        <f t="shared" si="2"/>
        <v>-2.2081334888310721E-2</v>
      </c>
      <c r="J62">
        <v>0</v>
      </c>
      <c r="K62">
        <f t="shared" si="0"/>
        <v>-2.2081334888310721E-2</v>
      </c>
      <c r="L62">
        <f t="shared" si="1"/>
        <v>-2.2081334888310722</v>
      </c>
      <c r="M62">
        <v>1.54</v>
      </c>
    </row>
    <row r="63" spans="1:13" x14ac:dyDescent="0.2">
      <c r="A63" s="1">
        <v>43979</v>
      </c>
      <c r="B63">
        <v>336.48998999999998</v>
      </c>
      <c r="C63">
        <v>350.42001299999998</v>
      </c>
      <c r="D63">
        <v>335.17001299999998</v>
      </c>
      <c r="E63">
        <v>339.48001099999999</v>
      </c>
      <c r="F63">
        <v>339.12347399999999</v>
      </c>
      <c r="G63">
        <v>18372400</v>
      </c>
      <c r="I63">
        <f t="shared" si="2"/>
        <v>-4.4866363636858059E-3</v>
      </c>
      <c r="J63">
        <v>0</v>
      </c>
      <c r="K63">
        <f t="shared" si="0"/>
        <v>-4.4866363636858059E-3</v>
      </c>
      <c r="L63">
        <f t="shared" si="1"/>
        <v>-0.44866363636858059</v>
      </c>
      <c r="M63">
        <v>-0.41</v>
      </c>
    </row>
    <row r="64" spans="1:13" x14ac:dyDescent="0.2">
      <c r="A64" s="1">
        <v>43980</v>
      </c>
      <c r="B64">
        <v>342.17999300000002</v>
      </c>
      <c r="C64">
        <v>355.01998900000001</v>
      </c>
      <c r="D64">
        <v>339.39999399999999</v>
      </c>
      <c r="E64">
        <v>355.01998900000001</v>
      </c>
      <c r="F64">
        <v>354.647156</v>
      </c>
      <c r="G64">
        <v>18648000</v>
      </c>
      <c r="I64">
        <f t="shared" si="2"/>
        <v>4.5775899311529256E-2</v>
      </c>
      <c r="J64">
        <v>0</v>
      </c>
      <c r="K64">
        <f t="shared" si="0"/>
        <v>4.5775899311529256E-2</v>
      </c>
      <c r="L64">
        <f t="shared" si="1"/>
        <v>4.5775899311529251</v>
      </c>
      <c r="M64">
        <v>0.6</v>
      </c>
    </row>
    <row r="65" spans="1:13" x14ac:dyDescent="0.2">
      <c r="A65" s="1">
        <v>43983</v>
      </c>
      <c r="B65">
        <v>353.32998700000002</v>
      </c>
      <c r="C65">
        <v>353.63000499999998</v>
      </c>
      <c r="D65">
        <v>347.57998700000002</v>
      </c>
      <c r="E65">
        <v>352.25</v>
      </c>
      <c r="F65">
        <v>351.880066</v>
      </c>
      <c r="G65">
        <v>9746900</v>
      </c>
      <c r="I65">
        <f t="shared" si="2"/>
        <v>-7.8023747073274041E-3</v>
      </c>
      <c r="J65">
        <v>0</v>
      </c>
      <c r="K65">
        <f t="shared" si="0"/>
        <v>-7.8023747073274041E-3</v>
      </c>
      <c r="L65">
        <f t="shared" si="1"/>
        <v>-0.78023747073274041</v>
      </c>
      <c r="M65">
        <v>0.52</v>
      </c>
    </row>
    <row r="66" spans="1:13" x14ac:dyDescent="0.2">
      <c r="A66" s="1">
        <v>43984</v>
      </c>
      <c r="B66">
        <v>351.85000600000001</v>
      </c>
      <c r="C66">
        <v>353.48998999999998</v>
      </c>
      <c r="D66">
        <v>346.32000699999998</v>
      </c>
      <c r="E66">
        <v>353.01001000000002</v>
      </c>
      <c r="F66">
        <v>352.639252</v>
      </c>
      <c r="G66">
        <v>9783000</v>
      </c>
      <c r="I66">
        <f t="shared" si="2"/>
        <v>2.1575135205300312E-3</v>
      </c>
      <c r="J66">
        <v>0</v>
      </c>
      <c r="K66">
        <f t="shared" si="0"/>
        <v>2.1575135205300312E-3</v>
      </c>
      <c r="L66">
        <f t="shared" si="1"/>
        <v>0.21575135205300311</v>
      </c>
      <c r="M66">
        <v>0.81</v>
      </c>
    </row>
    <row r="67" spans="1:13" x14ac:dyDescent="0.2">
      <c r="A67" s="1">
        <v>43985</v>
      </c>
      <c r="B67">
        <v>352.89001500000001</v>
      </c>
      <c r="C67">
        <v>354.64999399999999</v>
      </c>
      <c r="D67">
        <v>348</v>
      </c>
      <c r="E67">
        <v>350.77999899999998</v>
      </c>
      <c r="F67">
        <v>350.41159099999999</v>
      </c>
      <c r="G67">
        <v>9136000</v>
      </c>
      <c r="I67">
        <f t="shared" si="2"/>
        <v>-6.3171101553947595E-3</v>
      </c>
      <c r="J67">
        <v>0</v>
      </c>
      <c r="K67">
        <f t="shared" si="0"/>
        <v>-6.3171101553947595E-3</v>
      </c>
      <c r="L67">
        <f t="shared" si="1"/>
        <v>-0.63171101553947595</v>
      </c>
      <c r="M67">
        <v>1.42</v>
      </c>
    </row>
    <row r="68" spans="1:13" x14ac:dyDescent="0.2">
      <c r="A68" s="1">
        <v>43986</v>
      </c>
      <c r="B68">
        <v>349.11999500000002</v>
      </c>
      <c r="C68">
        <v>357.73001099999999</v>
      </c>
      <c r="D68">
        <v>347.10000600000001</v>
      </c>
      <c r="E68">
        <v>350.66000400000001</v>
      </c>
      <c r="F68">
        <v>350.45156900000001</v>
      </c>
      <c r="G68">
        <v>10607000</v>
      </c>
      <c r="I68">
        <f t="shared" si="2"/>
        <v>1.1408869177509361E-4</v>
      </c>
      <c r="J68">
        <v>0</v>
      </c>
      <c r="K68">
        <f t="shared" ref="K68:K131" si="3">I68-J68</f>
        <v>1.1408869177509361E-4</v>
      </c>
      <c r="L68">
        <f t="shared" ref="L68:L131" si="4">100*K68</f>
        <v>1.1408869177509362E-2</v>
      </c>
      <c r="M68">
        <v>-0.34</v>
      </c>
    </row>
    <row r="69" spans="1:13" x14ac:dyDescent="0.2">
      <c r="A69" s="1">
        <v>43987</v>
      </c>
      <c r="B69">
        <v>351.77999899999998</v>
      </c>
      <c r="C69">
        <v>359.88000499999998</v>
      </c>
      <c r="D69">
        <v>348.32000699999998</v>
      </c>
      <c r="E69">
        <v>356.79998799999998</v>
      </c>
      <c r="F69">
        <v>356.58792099999999</v>
      </c>
      <c r="G69">
        <v>12043700</v>
      </c>
      <c r="I69">
        <f t="shared" ref="I69:I132" si="5">(F69-F68)/F68</f>
        <v>1.7509843136128141E-2</v>
      </c>
      <c r="J69">
        <v>0</v>
      </c>
      <c r="K69">
        <f t="shared" si="3"/>
        <v>1.7509843136128141E-2</v>
      </c>
      <c r="L69">
        <f t="shared" si="4"/>
        <v>1.750984313612814</v>
      </c>
      <c r="M69">
        <v>2.5</v>
      </c>
    </row>
    <row r="70" spans="1:13" x14ac:dyDescent="0.2">
      <c r="A70" s="1">
        <v>43990</v>
      </c>
      <c r="B70">
        <v>355.08999599999999</v>
      </c>
      <c r="C70">
        <v>355.58999599999999</v>
      </c>
      <c r="D70">
        <v>347.42999300000002</v>
      </c>
      <c r="E70">
        <v>352.20001200000002</v>
      </c>
      <c r="F70">
        <v>351.99069200000002</v>
      </c>
      <c r="G70">
        <v>9693400</v>
      </c>
      <c r="I70">
        <f t="shared" si="5"/>
        <v>-1.2892273487861554E-2</v>
      </c>
      <c r="J70">
        <v>0</v>
      </c>
      <c r="K70">
        <f t="shared" si="3"/>
        <v>-1.2892273487861554E-2</v>
      </c>
      <c r="L70">
        <f t="shared" si="4"/>
        <v>-1.2892273487861554</v>
      </c>
      <c r="M70">
        <v>1.39</v>
      </c>
    </row>
    <row r="71" spans="1:13" x14ac:dyDescent="0.2">
      <c r="A71" s="1">
        <v>43991</v>
      </c>
      <c r="B71">
        <v>352</v>
      </c>
      <c r="C71">
        <v>364.39001500000001</v>
      </c>
      <c r="D71">
        <v>350.04998799999998</v>
      </c>
      <c r="E71">
        <v>361.83999599999999</v>
      </c>
      <c r="F71">
        <v>361.62493899999998</v>
      </c>
      <c r="G71">
        <v>11712200</v>
      </c>
      <c r="I71">
        <f t="shared" si="5"/>
        <v>2.737074365591451E-2</v>
      </c>
      <c r="J71">
        <v>0</v>
      </c>
      <c r="K71">
        <f t="shared" si="3"/>
        <v>2.737074365591451E-2</v>
      </c>
      <c r="L71">
        <f t="shared" si="4"/>
        <v>2.7370743655914511</v>
      </c>
      <c r="M71">
        <v>-0.85</v>
      </c>
    </row>
    <row r="72" spans="1:13" x14ac:dyDescent="0.2">
      <c r="A72" s="1">
        <v>43992</v>
      </c>
      <c r="B72">
        <v>366.709991</v>
      </c>
      <c r="C72">
        <v>380</v>
      </c>
      <c r="D72">
        <v>366.14001500000001</v>
      </c>
      <c r="E72">
        <v>374.67001299999998</v>
      </c>
      <c r="F72">
        <v>374.44732699999997</v>
      </c>
      <c r="G72">
        <v>15804500</v>
      </c>
      <c r="I72">
        <f t="shared" si="5"/>
        <v>3.5457698341982966E-2</v>
      </c>
      <c r="J72">
        <v>0</v>
      </c>
      <c r="K72">
        <f t="shared" si="3"/>
        <v>3.5457698341982966E-2</v>
      </c>
      <c r="L72">
        <f t="shared" si="4"/>
        <v>3.5457698341982966</v>
      </c>
      <c r="M72">
        <v>-0.56000000000000005</v>
      </c>
    </row>
    <row r="73" spans="1:13" x14ac:dyDescent="0.2">
      <c r="A73" s="1">
        <v>43993</v>
      </c>
      <c r="B73">
        <v>366</v>
      </c>
      <c r="C73">
        <v>370.45001200000002</v>
      </c>
      <c r="D73">
        <v>351.44000199999999</v>
      </c>
      <c r="E73">
        <v>351.85000600000001</v>
      </c>
      <c r="F73">
        <v>351.64089999999999</v>
      </c>
      <c r="G73">
        <v>14591300</v>
      </c>
      <c r="I73">
        <f t="shared" si="5"/>
        <v>-6.090690293537597E-2</v>
      </c>
      <c r="J73">
        <v>0</v>
      </c>
      <c r="K73">
        <f t="shared" si="3"/>
        <v>-6.090690293537597E-2</v>
      </c>
      <c r="L73">
        <f t="shared" si="4"/>
        <v>-6.0906902935375973</v>
      </c>
      <c r="M73">
        <v>-5.91</v>
      </c>
    </row>
    <row r="74" spans="1:13" x14ac:dyDescent="0.2">
      <c r="A74" s="1">
        <v>43994</v>
      </c>
      <c r="B74">
        <v>366.5</v>
      </c>
      <c r="C74">
        <v>367.48998999999998</v>
      </c>
      <c r="D74">
        <v>348.13000499999998</v>
      </c>
      <c r="E74">
        <v>357.29998799999998</v>
      </c>
      <c r="F74">
        <v>357.08761600000003</v>
      </c>
      <c r="G74">
        <v>14272700</v>
      </c>
      <c r="I74">
        <f t="shared" si="5"/>
        <v>1.548942685563607E-2</v>
      </c>
      <c r="J74">
        <v>0</v>
      </c>
      <c r="K74">
        <f t="shared" si="3"/>
        <v>1.548942685563607E-2</v>
      </c>
      <c r="L74">
        <f t="shared" si="4"/>
        <v>1.548942685563607</v>
      </c>
      <c r="M74">
        <v>1.29</v>
      </c>
    </row>
    <row r="75" spans="1:13" x14ac:dyDescent="0.2">
      <c r="A75" s="1">
        <v>43997</v>
      </c>
      <c r="B75">
        <v>352.60998499999999</v>
      </c>
      <c r="C75">
        <v>367.290009</v>
      </c>
      <c r="D75">
        <v>349.75</v>
      </c>
      <c r="E75">
        <v>366.95001200000002</v>
      </c>
      <c r="F75">
        <v>366.73193400000002</v>
      </c>
      <c r="G75">
        <v>10000100</v>
      </c>
      <c r="I75">
        <f t="shared" si="5"/>
        <v>2.7008267909240508E-2</v>
      </c>
      <c r="J75">
        <v>0</v>
      </c>
      <c r="K75">
        <f t="shared" si="3"/>
        <v>2.7008267909240508E-2</v>
      </c>
      <c r="L75">
        <f t="shared" si="4"/>
        <v>2.7008267909240509</v>
      </c>
      <c r="M75">
        <v>1.0900000000000001</v>
      </c>
    </row>
    <row r="76" spans="1:13" x14ac:dyDescent="0.2">
      <c r="A76" s="1">
        <v>43998</v>
      </c>
      <c r="B76">
        <v>369</v>
      </c>
      <c r="C76">
        <v>370.67001299999998</v>
      </c>
      <c r="D76">
        <v>353.54998799999998</v>
      </c>
      <c r="E76">
        <v>362.73998999999998</v>
      </c>
      <c r="F76">
        <v>362.52441399999998</v>
      </c>
      <c r="G76">
        <v>13392900</v>
      </c>
      <c r="I76">
        <f t="shared" si="5"/>
        <v>-1.147301232840019E-2</v>
      </c>
      <c r="J76">
        <v>0</v>
      </c>
      <c r="K76">
        <f t="shared" si="3"/>
        <v>-1.147301232840019E-2</v>
      </c>
      <c r="L76">
        <f t="shared" si="4"/>
        <v>-1.1473012328400189</v>
      </c>
      <c r="M76">
        <v>1.86</v>
      </c>
    </row>
    <row r="77" spans="1:13" x14ac:dyDescent="0.2">
      <c r="A77" s="1">
        <v>43999</v>
      </c>
      <c r="B77">
        <v>364.54998799999998</v>
      </c>
      <c r="C77">
        <v>371.959991</v>
      </c>
      <c r="D77">
        <v>362.80999800000001</v>
      </c>
      <c r="E77">
        <v>369.44000199999999</v>
      </c>
      <c r="F77">
        <v>369.22042800000003</v>
      </c>
      <c r="G77">
        <v>10207600</v>
      </c>
      <c r="I77">
        <f t="shared" si="5"/>
        <v>1.8470518788287864E-2</v>
      </c>
      <c r="J77">
        <v>0</v>
      </c>
      <c r="K77">
        <f t="shared" si="3"/>
        <v>1.8470518788287864E-2</v>
      </c>
      <c r="L77">
        <f t="shared" si="4"/>
        <v>1.8470518788287864</v>
      </c>
      <c r="M77">
        <v>-0.4</v>
      </c>
    </row>
    <row r="78" spans="1:13" x14ac:dyDescent="0.2">
      <c r="A78" s="1">
        <v>44000</v>
      </c>
      <c r="B78">
        <v>369.07998700000002</v>
      </c>
      <c r="C78">
        <v>371.29998799999998</v>
      </c>
      <c r="D78">
        <v>364.57998700000002</v>
      </c>
      <c r="E78">
        <v>368.72000100000002</v>
      </c>
      <c r="F78">
        <v>368.500854</v>
      </c>
      <c r="G78">
        <v>6360200</v>
      </c>
      <c r="I78">
        <f t="shared" si="5"/>
        <v>-1.9489008338401655E-3</v>
      </c>
      <c r="J78">
        <v>0</v>
      </c>
      <c r="K78">
        <f t="shared" si="3"/>
        <v>-1.9489008338401655E-3</v>
      </c>
      <c r="L78">
        <f t="shared" si="4"/>
        <v>-0.19489008338401656</v>
      </c>
      <c r="M78">
        <v>0.19</v>
      </c>
    </row>
    <row r="79" spans="1:13" x14ac:dyDescent="0.2">
      <c r="A79" s="1">
        <v>44001</v>
      </c>
      <c r="B79">
        <v>369.70001200000002</v>
      </c>
      <c r="C79">
        <v>377.79998799999998</v>
      </c>
      <c r="D79">
        <v>369.08999599999999</v>
      </c>
      <c r="E79">
        <v>370.45001200000002</v>
      </c>
      <c r="F79">
        <v>370.229828</v>
      </c>
      <c r="G79">
        <v>13104000</v>
      </c>
      <c r="I79">
        <f t="shared" si="5"/>
        <v>4.6919131427575842E-3</v>
      </c>
      <c r="J79">
        <v>0</v>
      </c>
      <c r="K79">
        <f t="shared" si="3"/>
        <v>4.6919131427575842E-3</v>
      </c>
      <c r="L79">
        <f t="shared" si="4"/>
        <v>0.46919131427575844</v>
      </c>
      <c r="M79">
        <v>-0.45</v>
      </c>
    </row>
    <row r="80" spans="1:13" x14ac:dyDescent="0.2">
      <c r="A80" s="1">
        <v>44004</v>
      </c>
      <c r="B80">
        <v>372</v>
      </c>
      <c r="C80">
        <v>381.25</v>
      </c>
      <c r="D80">
        <v>370.92999300000002</v>
      </c>
      <c r="E80">
        <v>381.07000699999998</v>
      </c>
      <c r="F80">
        <v>380.84350599999999</v>
      </c>
      <c r="G80">
        <v>9961700</v>
      </c>
      <c r="I80">
        <f t="shared" si="5"/>
        <v>2.8667809012946393E-2</v>
      </c>
      <c r="J80">
        <v>0</v>
      </c>
      <c r="K80">
        <f t="shared" si="3"/>
        <v>2.8667809012946393E-2</v>
      </c>
      <c r="L80">
        <f t="shared" si="4"/>
        <v>2.8667809012946392</v>
      </c>
      <c r="M80">
        <v>0.71</v>
      </c>
    </row>
    <row r="81" spans="1:13" x14ac:dyDescent="0.2">
      <c r="A81" s="1">
        <v>44005</v>
      </c>
      <c r="B81">
        <v>382.040009</v>
      </c>
      <c r="C81">
        <v>385.70001200000002</v>
      </c>
      <c r="D81">
        <v>376.29998799999998</v>
      </c>
      <c r="E81">
        <v>378</v>
      </c>
      <c r="F81">
        <v>377.77533</v>
      </c>
      <c r="G81">
        <v>9377700</v>
      </c>
      <c r="I81">
        <f t="shared" si="5"/>
        <v>-8.0562644541981344E-3</v>
      </c>
      <c r="J81">
        <v>0</v>
      </c>
      <c r="K81">
        <f t="shared" si="3"/>
        <v>-8.0562644541981344E-3</v>
      </c>
      <c r="L81">
        <f t="shared" si="4"/>
        <v>-0.80562644541981343</v>
      </c>
      <c r="M81">
        <v>0.42</v>
      </c>
    </row>
    <row r="82" spans="1:13" x14ac:dyDescent="0.2">
      <c r="A82" s="1">
        <v>44006</v>
      </c>
      <c r="B82">
        <v>379.04998799999998</v>
      </c>
      <c r="C82">
        <v>382.26001000000002</v>
      </c>
      <c r="D82">
        <v>365.77999899999998</v>
      </c>
      <c r="E82">
        <v>369.42001299999998</v>
      </c>
      <c r="F82">
        <v>369.20043900000002</v>
      </c>
      <c r="G82">
        <v>11234300</v>
      </c>
      <c r="I82">
        <f t="shared" si="5"/>
        <v>-2.2698387954554838E-2</v>
      </c>
      <c r="J82">
        <v>0</v>
      </c>
      <c r="K82">
        <f t="shared" si="3"/>
        <v>-2.2698387954554838E-2</v>
      </c>
      <c r="L82">
        <f t="shared" si="4"/>
        <v>-2.2698387954554837</v>
      </c>
      <c r="M82">
        <v>-2.61</v>
      </c>
    </row>
    <row r="83" spans="1:13" x14ac:dyDescent="0.2">
      <c r="A83" s="1">
        <v>44007</v>
      </c>
      <c r="B83">
        <v>374.23001099999999</v>
      </c>
      <c r="C83">
        <v>380.20001200000002</v>
      </c>
      <c r="D83">
        <v>367.290009</v>
      </c>
      <c r="E83">
        <v>379.60000600000001</v>
      </c>
      <c r="F83">
        <v>379.37439000000001</v>
      </c>
      <c r="G83">
        <v>9401800</v>
      </c>
      <c r="I83">
        <f t="shared" si="5"/>
        <v>2.7556714254069421E-2</v>
      </c>
      <c r="J83">
        <v>0</v>
      </c>
      <c r="K83">
        <f t="shared" si="3"/>
        <v>2.7556714254069421E-2</v>
      </c>
      <c r="L83">
        <f t="shared" si="4"/>
        <v>2.7556714254069421</v>
      </c>
      <c r="M83">
        <v>1.1200000000000001</v>
      </c>
    </row>
    <row r="84" spans="1:13" x14ac:dyDescent="0.2">
      <c r="A84" s="1">
        <v>44008</v>
      </c>
      <c r="B84">
        <v>380</v>
      </c>
      <c r="C84">
        <v>380</v>
      </c>
      <c r="D84">
        <v>365</v>
      </c>
      <c r="E84">
        <v>366.20001200000002</v>
      </c>
      <c r="F84">
        <v>365.98236100000003</v>
      </c>
      <c r="G84">
        <v>14802100</v>
      </c>
      <c r="I84">
        <f t="shared" si="5"/>
        <v>-3.5300297945783793E-2</v>
      </c>
      <c r="J84">
        <v>0</v>
      </c>
      <c r="K84">
        <f t="shared" si="3"/>
        <v>-3.5300297945783793E-2</v>
      </c>
      <c r="L84">
        <f t="shared" si="4"/>
        <v>-3.5300297945783794</v>
      </c>
      <c r="M84">
        <v>-2.44</v>
      </c>
    </row>
    <row r="85" spans="1:13" x14ac:dyDescent="0.2">
      <c r="A85" s="1">
        <v>44011</v>
      </c>
      <c r="B85">
        <v>366.790009</v>
      </c>
      <c r="C85">
        <v>368.17999300000002</v>
      </c>
      <c r="D85">
        <v>356</v>
      </c>
      <c r="E85">
        <v>368</v>
      </c>
      <c r="F85">
        <v>367.78128099999998</v>
      </c>
      <c r="G85">
        <v>8556200</v>
      </c>
      <c r="I85">
        <f t="shared" si="5"/>
        <v>4.9153188560362143E-3</v>
      </c>
      <c r="J85">
        <v>0</v>
      </c>
      <c r="K85">
        <f t="shared" si="3"/>
        <v>4.9153188560362143E-3</v>
      </c>
      <c r="L85">
        <f t="shared" si="4"/>
        <v>0.49153188560362143</v>
      </c>
      <c r="M85">
        <v>1.51</v>
      </c>
    </row>
    <row r="86" spans="1:13" x14ac:dyDescent="0.2">
      <c r="A86" s="1">
        <v>44012</v>
      </c>
      <c r="B86">
        <v>372.55999800000001</v>
      </c>
      <c r="C86">
        <v>381.04998799999998</v>
      </c>
      <c r="D86">
        <v>370.66000400000001</v>
      </c>
      <c r="E86">
        <v>379.91000400000001</v>
      </c>
      <c r="F86">
        <v>379.68420400000002</v>
      </c>
      <c r="G86">
        <v>9197300</v>
      </c>
      <c r="I86">
        <f t="shared" si="5"/>
        <v>3.2364134921809805E-2</v>
      </c>
      <c r="J86">
        <v>0</v>
      </c>
      <c r="K86">
        <f t="shared" si="3"/>
        <v>3.2364134921809805E-2</v>
      </c>
      <c r="L86">
        <f t="shared" si="4"/>
        <v>3.2364134921809806</v>
      </c>
      <c r="M86">
        <v>1.58</v>
      </c>
    </row>
    <row r="87" spans="1:13" x14ac:dyDescent="0.2">
      <c r="A87" s="1">
        <v>44013</v>
      </c>
      <c r="B87">
        <v>380.82998700000002</v>
      </c>
      <c r="C87">
        <v>383.02999899999998</v>
      </c>
      <c r="D87">
        <v>376.51998900000001</v>
      </c>
      <c r="E87">
        <v>381.20001200000002</v>
      </c>
      <c r="F87">
        <v>380.97345000000001</v>
      </c>
      <c r="G87">
        <v>8166200</v>
      </c>
      <c r="I87">
        <f t="shared" si="5"/>
        <v>3.3955744969574541E-3</v>
      </c>
      <c r="J87">
        <v>0</v>
      </c>
      <c r="K87">
        <f t="shared" si="3"/>
        <v>3.3955744969574541E-3</v>
      </c>
      <c r="L87">
        <f t="shared" si="4"/>
        <v>0.33955744969574542</v>
      </c>
      <c r="M87">
        <v>0.41</v>
      </c>
    </row>
    <row r="88" spans="1:13" x14ac:dyDescent="0.2">
      <c r="A88" s="1">
        <v>44014</v>
      </c>
      <c r="B88">
        <v>385.55999800000001</v>
      </c>
      <c r="C88">
        <v>389.5</v>
      </c>
      <c r="D88">
        <v>383.13000499999998</v>
      </c>
      <c r="E88">
        <v>384.48998999999998</v>
      </c>
      <c r="F88">
        <v>384.26147500000002</v>
      </c>
      <c r="G88">
        <v>9101400</v>
      </c>
      <c r="I88">
        <f t="shared" si="5"/>
        <v>8.6305882995258709E-3</v>
      </c>
      <c r="J88">
        <v>0</v>
      </c>
      <c r="K88">
        <f t="shared" si="3"/>
        <v>8.6305882995258709E-3</v>
      </c>
      <c r="L88">
        <f t="shared" si="4"/>
        <v>0.86305882995258709</v>
      </c>
      <c r="M88">
        <v>0.5</v>
      </c>
    </row>
    <row r="89" spans="1:13" x14ac:dyDescent="0.2">
      <c r="A89" s="1">
        <v>44018</v>
      </c>
      <c r="B89">
        <v>389.67001299999998</v>
      </c>
      <c r="C89">
        <v>396.35000600000001</v>
      </c>
      <c r="D89">
        <v>388.5</v>
      </c>
      <c r="E89">
        <v>393.57000699999998</v>
      </c>
      <c r="F89">
        <v>393.33609000000001</v>
      </c>
      <c r="G89">
        <v>7897300</v>
      </c>
      <c r="I89">
        <f t="shared" si="5"/>
        <v>2.3615729367613535E-2</v>
      </c>
      <c r="J89">
        <v>0</v>
      </c>
      <c r="K89">
        <f t="shared" si="3"/>
        <v>2.3615729367613535E-2</v>
      </c>
      <c r="L89">
        <f t="shared" si="4"/>
        <v>2.3615729367613536</v>
      </c>
      <c r="M89">
        <v>1.65</v>
      </c>
    </row>
    <row r="90" spans="1:13" x14ac:dyDescent="0.2">
      <c r="A90" s="1">
        <v>44019</v>
      </c>
      <c r="B90">
        <v>397.85000600000001</v>
      </c>
      <c r="C90">
        <v>402.79998799999998</v>
      </c>
      <c r="D90">
        <v>394.02999899999998</v>
      </c>
      <c r="E90">
        <v>394.86999500000002</v>
      </c>
      <c r="F90">
        <v>394.63531499999999</v>
      </c>
      <c r="G90">
        <v>8945000</v>
      </c>
      <c r="I90">
        <f t="shared" si="5"/>
        <v>3.3030912571485075E-3</v>
      </c>
      <c r="J90">
        <v>0</v>
      </c>
      <c r="K90">
        <f t="shared" si="3"/>
        <v>3.3030912571485075E-3</v>
      </c>
      <c r="L90">
        <f t="shared" si="4"/>
        <v>0.33030912571485077</v>
      </c>
      <c r="M90">
        <v>-1.03</v>
      </c>
    </row>
    <row r="91" spans="1:13" x14ac:dyDescent="0.2">
      <c r="A91" s="1">
        <v>44020</v>
      </c>
      <c r="B91">
        <v>399.75</v>
      </c>
      <c r="C91">
        <v>409</v>
      </c>
      <c r="D91">
        <v>398.61999500000002</v>
      </c>
      <c r="E91">
        <v>408.64001500000001</v>
      </c>
      <c r="F91">
        <v>408.39712500000002</v>
      </c>
      <c r="G91">
        <v>9137000</v>
      </c>
      <c r="I91">
        <f t="shared" si="5"/>
        <v>3.4872221205038446E-2</v>
      </c>
      <c r="J91">
        <v>0</v>
      </c>
      <c r="K91">
        <f t="shared" si="3"/>
        <v>3.4872221205038446E-2</v>
      </c>
      <c r="L91">
        <f t="shared" si="4"/>
        <v>3.4872221205038447</v>
      </c>
      <c r="M91">
        <v>0.91</v>
      </c>
    </row>
    <row r="92" spans="1:13" x14ac:dyDescent="0.2">
      <c r="A92" s="1">
        <v>44021</v>
      </c>
      <c r="B92">
        <v>415.209991</v>
      </c>
      <c r="C92">
        <v>422.79998799999998</v>
      </c>
      <c r="D92">
        <v>409.33999599999999</v>
      </c>
      <c r="E92">
        <v>420.35998499999999</v>
      </c>
      <c r="F92">
        <v>420.11013800000001</v>
      </c>
      <c r="G92">
        <v>12363700</v>
      </c>
      <c r="I92">
        <f t="shared" si="5"/>
        <v>2.8680449207373799E-2</v>
      </c>
      <c r="J92">
        <v>0</v>
      </c>
      <c r="K92">
        <f t="shared" si="3"/>
        <v>2.8680449207373799E-2</v>
      </c>
      <c r="L92">
        <f t="shared" si="4"/>
        <v>2.8680449207373799</v>
      </c>
      <c r="M92">
        <v>-0.53</v>
      </c>
    </row>
    <row r="93" spans="1:13" x14ac:dyDescent="0.2">
      <c r="A93" s="1">
        <v>44022</v>
      </c>
      <c r="B93">
        <v>423.54998799999998</v>
      </c>
      <c r="C93">
        <v>426.209991</v>
      </c>
      <c r="D93">
        <v>415.14999399999999</v>
      </c>
      <c r="E93">
        <v>419.17001299999998</v>
      </c>
      <c r="F93">
        <v>418.92089800000002</v>
      </c>
      <c r="G93">
        <v>12441900</v>
      </c>
      <c r="I93">
        <f t="shared" si="5"/>
        <v>-2.8307814842592153E-3</v>
      </c>
      <c r="J93">
        <v>0</v>
      </c>
      <c r="K93">
        <f t="shared" si="3"/>
        <v>-2.8307814842592153E-3</v>
      </c>
      <c r="L93">
        <f t="shared" si="4"/>
        <v>-0.28307814842592155</v>
      </c>
      <c r="M93">
        <v>1.1100000000000001</v>
      </c>
    </row>
    <row r="94" spans="1:13" x14ac:dyDescent="0.2">
      <c r="A94" s="1">
        <v>44025</v>
      </c>
      <c r="B94">
        <v>423.79998799999998</v>
      </c>
      <c r="C94">
        <v>431.69000199999999</v>
      </c>
      <c r="D94">
        <v>401</v>
      </c>
      <c r="E94">
        <v>402.08999599999999</v>
      </c>
      <c r="F94">
        <v>401.85101300000002</v>
      </c>
      <c r="G94">
        <v>11426900</v>
      </c>
      <c r="I94">
        <f t="shared" si="5"/>
        <v>-4.0747274918712696E-2</v>
      </c>
      <c r="J94">
        <v>0</v>
      </c>
      <c r="K94">
        <f t="shared" si="3"/>
        <v>-4.0747274918712696E-2</v>
      </c>
      <c r="L94">
        <f t="shared" si="4"/>
        <v>-4.0747274918712693</v>
      </c>
      <c r="M94">
        <v>-1.2</v>
      </c>
    </row>
    <row r="95" spans="1:13" x14ac:dyDescent="0.2">
      <c r="A95" s="1">
        <v>44026</v>
      </c>
      <c r="B95">
        <v>403</v>
      </c>
      <c r="C95">
        <v>416.10998499999999</v>
      </c>
      <c r="D95">
        <v>391.42001299999998</v>
      </c>
      <c r="E95">
        <v>415.07998700000002</v>
      </c>
      <c r="F95">
        <v>414.833282</v>
      </c>
      <c r="G95">
        <v>13566900</v>
      </c>
      <c r="I95">
        <f t="shared" si="5"/>
        <v>3.2306174626962988E-2</v>
      </c>
      <c r="J95">
        <v>0</v>
      </c>
      <c r="K95">
        <f t="shared" si="3"/>
        <v>3.2306174626962988E-2</v>
      </c>
      <c r="L95">
        <f t="shared" si="4"/>
        <v>3.2306174626962987</v>
      </c>
      <c r="M95">
        <v>1.35</v>
      </c>
    </row>
    <row r="96" spans="1:13" x14ac:dyDescent="0.2">
      <c r="A96" s="1">
        <v>44027</v>
      </c>
      <c r="B96">
        <v>416.57000699999998</v>
      </c>
      <c r="C96">
        <v>417.32000699999998</v>
      </c>
      <c r="D96">
        <v>402.23001099999999</v>
      </c>
      <c r="E96">
        <v>409.08999599999999</v>
      </c>
      <c r="F96">
        <v>408.84686299999998</v>
      </c>
      <c r="G96">
        <v>10099600</v>
      </c>
      <c r="I96">
        <f t="shared" si="5"/>
        <v>-1.4430903352638934E-2</v>
      </c>
      <c r="J96">
        <v>0</v>
      </c>
      <c r="K96">
        <f t="shared" si="3"/>
        <v>-1.4430903352638934E-2</v>
      </c>
      <c r="L96">
        <f t="shared" si="4"/>
        <v>-1.4430903352638933</v>
      </c>
      <c r="M96">
        <v>1.1399999999999999</v>
      </c>
    </row>
    <row r="97" spans="1:13" x14ac:dyDescent="0.2">
      <c r="A97" s="1">
        <v>44028</v>
      </c>
      <c r="B97">
        <v>400.60000600000001</v>
      </c>
      <c r="C97">
        <v>408.26998900000001</v>
      </c>
      <c r="D97">
        <v>395.82000699999998</v>
      </c>
      <c r="E97">
        <v>405.39001500000001</v>
      </c>
      <c r="F97">
        <v>405.14907799999997</v>
      </c>
      <c r="G97">
        <v>8624100</v>
      </c>
      <c r="I97">
        <f t="shared" si="5"/>
        <v>-9.044425516357724E-3</v>
      </c>
      <c r="J97">
        <v>0</v>
      </c>
      <c r="K97">
        <f t="shared" si="3"/>
        <v>-9.044425516357724E-3</v>
      </c>
      <c r="L97">
        <f t="shared" si="4"/>
        <v>-0.90444255163577236</v>
      </c>
      <c r="M97">
        <v>-0.37</v>
      </c>
    </row>
    <row r="98" spans="1:13" x14ac:dyDescent="0.2">
      <c r="A98" s="1">
        <v>44029</v>
      </c>
      <c r="B98">
        <v>409.01998900000001</v>
      </c>
      <c r="C98">
        <v>409.94000199999999</v>
      </c>
      <c r="D98">
        <v>403.51001000000002</v>
      </c>
      <c r="E98">
        <v>408.05999800000001</v>
      </c>
      <c r="F98">
        <v>407.817474</v>
      </c>
      <c r="G98">
        <v>6657100</v>
      </c>
      <c r="I98">
        <f t="shared" si="5"/>
        <v>6.5862077563459982E-3</v>
      </c>
      <c r="J98">
        <v>0</v>
      </c>
      <c r="K98">
        <f t="shared" si="3"/>
        <v>6.5862077563459982E-3</v>
      </c>
      <c r="L98">
        <f t="shared" si="4"/>
        <v>0.65862077563459986</v>
      </c>
      <c r="M98">
        <v>0.3</v>
      </c>
    </row>
    <row r="99" spans="1:13" x14ac:dyDescent="0.2">
      <c r="A99" s="1">
        <v>44032</v>
      </c>
      <c r="B99">
        <v>410.97000100000002</v>
      </c>
      <c r="C99">
        <v>421.25</v>
      </c>
      <c r="D99">
        <v>406.26998900000001</v>
      </c>
      <c r="E99">
        <v>420.42999300000002</v>
      </c>
      <c r="F99">
        <v>420.18008400000002</v>
      </c>
      <c r="G99">
        <v>7121300</v>
      </c>
      <c r="I99">
        <f t="shared" si="5"/>
        <v>3.0314076242843921E-2</v>
      </c>
      <c r="J99">
        <v>0</v>
      </c>
      <c r="K99">
        <f t="shared" si="3"/>
        <v>3.0314076242843921E-2</v>
      </c>
      <c r="L99">
        <f t="shared" si="4"/>
        <v>3.0314076242843919</v>
      </c>
      <c r="M99">
        <v>1.01</v>
      </c>
    </row>
    <row r="100" spans="1:13" x14ac:dyDescent="0.2">
      <c r="A100" s="1">
        <v>44033</v>
      </c>
      <c r="B100">
        <v>420.51998900000001</v>
      </c>
      <c r="C100">
        <v>422.39999399999999</v>
      </c>
      <c r="D100">
        <v>411.47000100000002</v>
      </c>
      <c r="E100">
        <v>413.14001500000001</v>
      </c>
      <c r="F100">
        <v>412.89447000000001</v>
      </c>
      <c r="G100">
        <v>6941700</v>
      </c>
      <c r="I100">
        <f t="shared" si="5"/>
        <v>-1.7339265418396196E-2</v>
      </c>
      <c r="J100">
        <v>0</v>
      </c>
      <c r="K100">
        <f t="shared" si="3"/>
        <v>-1.7339265418396196E-2</v>
      </c>
      <c r="L100">
        <f t="shared" si="4"/>
        <v>-1.7339265418396195</v>
      </c>
      <c r="M100">
        <v>0.16</v>
      </c>
    </row>
    <row r="101" spans="1:13" x14ac:dyDescent="0.2">
      <c r="A101" s="1">
        <v>44034</v>
      </c>
      <c r="B101">
        <v>414.70001200000002</v>
      </c>
      <c r="C101">
        <v>424.10000600000001</v>
      </c>
      <c r="D101">
        <v>411.66000400000001</v>
      </c>
      <c r="E101">
        <v>417.54998799999998</v>
      </c>
      <c r="F101">
        <v>417.30181900000002</v>
      </c>
      <c r="G101">
        <v>9182300</v>
      </c>
      <c r="I101">
        <f t="shared" si="5"/>
        <v>1.0674274712373867E-2</v>
      </c>
      <c r="J101">
        <v>0</v>
      </c>
      <c r="K101">
        <f t="shared" si="3"/>
        <v>1.0674274712373867E-2</v>
      </c>
      <c r="L101">
        <f t="shared" si="4"/>
        <v>1.0674274712373868</v>
      </c>
      <c r="M101">
        <v>0.49</v>
      </c>
    </row>
    <row r="102" spans="1:13" x14ac:dyDescent="0.2">
      <c r="A102" s="1">
        <v>44035</v>
      </c>
      <c r="B102">
        <v>418</v>
      </c>
      <c r="C102">
        <v>421.88000499999998</v>
      </c>
      <c r="D102">
        <v>401.25</v>
      </c>
      <c r="E102">
        <v>405.19000199999999</v>
      </c>
      <c r="F102">
        <v>404.94918799999999</v>
      </c>
      <c r="G102">
        <v>10291500</v>
      </c>
      <c r="I102">
        <f t="shared" si="5"/>
        <v>-2.9601191362168565E-2</v>
      </c>
      <c r="J102">
        <v>0</v>
      </c>
      <c r="K102">
        <f t="shared" si="3"/>
        <v>-2.9601191362168565E-2</v>
      </c>
      <c r="L102">
        <f t="shared" si="4"/>
        <v>-2.9601191362168566</v>
      </c>
      <c r="M102">
        <v>-1.2</v>
      </c>
    </row>
    <row r="103" spans="1:13" x14ac:dyDescent="0.2">
      <c r="A103" s="1">
        <v>44036</v>
      </c>
      <c r="B103">
        <v>395</v>
      </c>
      <c r="C103">
        <v>414.58999599999999</v>
      </c>
      <c r="D103">
        <v>391.07998700000002</v>
      </c>
      <c r="E103">
        <v>407.77999899999998</v>
      </c>
      <c r="F103">
        <v>407.53762799999998</v>
      </c>
      <c r="G103">
        <v>11832300</v>
      </c>
      <c r="I103">
        <f t="shared" si="5"/>
        <v>6.3920118293952265E-3</v>
      </c>
      <c r="J103">
        <v>0</v>
      </c>
      <c r="K103">
        <f t="shared" si="3"/>
        <v>6.3920118293952265E-3</v>
      </c>
      <c r="L103">
        <f t="shared" si="4"/>
        <v>0.63920118293952266</v>
      </c>
      <c r="M103">
        <v>-0.75</v>
      </c>
    </row>
    <row r="104" spans="1:13" x14ac:dyDescent="0.2">
      <c r="A104" s="1">
        <v>44039</v>
      </c>
      <c r="B104">
        <v>409.290009</v>
      </c>
      <c r="C104">
        <v>417.67001299999998</v>
      </c>
      <c r="D104">
        <v>408.709991</v>
      </c>
      <c r="E104">
        <v>416.85998499999999</v>
      </c>
      <c r="F104">
        <v>416.612213</v>
      </c>
      <c r="G104">
        <v>7303300</v>
      </c>
      <c r="I104">
        <f t="shared" si="5"/>
        <v>2.2266864153216336E-2</v>
      </c>
      <c r="J104">
        <v>0</v>
      </c>
      <c r="K104">
        <f t="shared" si="3"/>
        <v>2.2266864153216336E-2</v>
      </c>
      <c r="L104">
        <f t="shared" si="4"/>
        <v>2.2266864153216335</v>
      </c>
      <c r="M104">
        <v>0.88</v>
      </c>
    </row>
    <row r="105" spans="1:13" x14ac:dyDescent="0.2">
      <c r="A105" s="1">
        <v>44040</v>
      </c>
      <c r="B105">
        <v>414.97000100000002</v>
      </c>
      <c r="C105">
        <v>415.27999899999998</v>
      </c>
      <c r="D105">
        <v>408.36999500000002</v>
      </c>
      <c r="E105">
        <v>408.61999500000002</v>
      </c>
      <c r="F105">
        <v>408.37713600000001</v>
      </c>
      <c r="G105">
        <v>6790900</v>
      </c>
      <c r="I105">
        <f t="shared" si="5"/>
        <v>-1.9766768095202215E-2</v>
      </c>
      <c r="J105">
        <v>0</v>
      </c>
      <c r="K105">
        <f t="shared" si="3"/>
        <v>-1.9766768095202215E-2</v>
      </c>
      <c r="L105">
        <f t="shared" si="4"/>
        <v>-1.9766768095202214</v>
      </c>
      <c r="M105">
        <v>-0.81</v>
      </c>
    </row>
    <row r="106" spans="1:13" x14ac:dyDescent="0.2">
      <c r="A106" s="1">
        <v>44041</v>
      </c>
      <c r="B106">
        <v>415.63000499999998</v>
      </c>
      <c r="C106">
        <v>420.64999399999999</v>
      </c>
      <c r="D106">
        <v>413.88000499999998</v>
      </c>
      <c r="E106">
        <v>418.61999500000002</v>
      </c>
      <c r="F106">
        <v>418.37118500000003</v>
      </c>
      <c r="G106">
        <v>7112700</v>
      </c>
      <c r="I106">
        <f t="shared" si="5"/>
        <v>2.4472596820405777E-2</v>
      </c>
      <c r="J106">
        <v>0</v>
      </c>
      <c r="K106">
        <f t="shared" si="3"/>
        <v>2.4472596820405777E-2</v>
      </c>
      <c r="L106">
        <f t="shared" si="4"/>
        <v>2.4472596820405776</v>
      </c>
      <c r="M106">
        <v>1.35</v>
      </c>
    </row>
    <row r="107" spans="1:13" x14ac:dyDescent="0.2">
      <c r="A107" s="1">
        <v>44042</v>
      </c>
      <c r="B107">
        <v>415</v>
      </c>
      <c r="C107">
        <v>424.92001299999998</v>
      </c>
      <c r="D107">
        <v>411.80999800000001</v>
      </c>
      <c r="E107">
        <v>424.55999800000001</v>
      </c>
      <c r="F107">
        <v>424.30764799999997</v>
      </c>
      <c r="G107">
        <v>7722000</v>
      </c>
      <c r="I107">
        <f t="shared" si="5"/>
        <v>1.4189464315043461E-2</v>
      </c>
      <c r="J107">
        <v>0</v>
      </c>
      <c r="K107">
        <f t="shared" si="3"/>
        <v>1.4189464315043461E-2</v>
      </c>
      <c r="L107">
        <f t="shared" si="4"/>
        <v>1.4189464315043461</v>
      </c>
      <c r="M107">
        <v>-0.28999999999999998</v>
      </c>
    </row>
    <row r="108" spans="1:13" x14ac:dyDescent="0.2">
      <c r="A108" s="1">
        <v>44043</v>
      </c>
      <c r="B108">
        <v>422.52999899999998</v>
      </c>
      <c r="C108">
        <v>430.66000400000001</v>
      </c>
      <c r="D108">
        <v>417.32000699999998</v>
      </c>
      <c r="E108">
        <v>424.58999599999999</v>
      </c>
      <c r="F108">
        <v>424.33764600000001</v>
      </c>
      <c r="G108">
        <v>9657200</v>
      </c>
      <c r="I108">
        <f t="shared" si="5"/>
        <v>7.0698702088996078E-5</v>
      </c>
      <c r="J108">
        <v>0</v>
      </c>
      <c r="K108">
        <f t="shared" si="3"/>
        <v>7.0698702088996078E-5</v>
      </c>
      <c r="L108">
        <f t="shared" si="4"/>
        <v>7.0698702088996075E-3</v>
      </c>
      <c r="M108">
        <v>0.61</v>
      </c>
    </row>
    <row r="109" spans="1:13" x14ac:dyDescent="0.2">
      <c r="A109" s="1">
        <v>44046</v>
      </c>
      <c r="B109">
        <v>429.29998799999998</v>
      </c>
      <c r="C109">
        <v>443.95001200000002</v>
      </c>
      <c r="D109">
        <v>428.60998499999999</v>
      </c>
      <c r="E109">
        <v>440.41000400000001</v>
      </c>
      <c r="F109">
        <v>440.14825400000001</v>
      </c>
      <c r="G109">
        <v>10318000</v>
      </c>
      <c r="I109">
        <f t="shared" si="5"/>
        <v>3.7259498771881297E-2</v>
      </c>
      <c r="J109">
        <v>0</v>
      </c>
      <c r="K109">
        <f t="shared" si="3"/>
        <v>3.7259498771881297E-2</v>
      </c>
      <c r="L109">
        <f t="shared" si="4"/>
        <v>3.7259498771881296</v>
      </c>
      <c r="M109">
        <v>0.98</v>
      </c>
    </row>
    <row r="110" spans="1:13" x14ac:dyDescent="0.2">
      <c r="A110" s="1">
        <v>44047</v>
      </c>
      <c r="B110">
        <v>442</v>
      </c>
      <c r="C110">
        <v>449.10998499999999</v>
      </c>
      <c r="D110">
        <v>436.23998999999998</v>
      </c>
      <c r="E110">
        <v>449.10998499999999</v>
      </c>
      <c r="F110">
        <v>448.84304800000001</v>
      </c>
      <c r="G110">
        <v>7758400</v>
      </c>
      <c r="I110">
        <f t="shared" si="5"/>
        <v>1.9754239443149083E-2</v>
      </c>
      <c r="J110">
        <v>0</v>
      </c>
      <c r="K110">
        <f t="shared" si="3"/>
        <v>1.9754239443149083E-2</v>
      </c>
      <c r="L110">
        <f t="shared" si="4"/>
        <v>1.9754239443149084</v>
      </c>
      <c r="M110">
        <v>0.37</v>
      </c>
    </row>
    <row r="111" spans="1:13" x14ac:dyDescent="0.2">
      <c r="A111" s="1">
        <v>44048</v>
      </c>
      <c r="B111">
        <v>449.76001000000002</v>
      </c>
      <c r="C111">
        <v>454.86999500000002</v>
      </c>
      <c r="D111">
        <v>446.64999399999999</v>
      </c>
      <c r="E111">
        <v>451.47000100000002</v>
      </c>
      <c r="F111">
        <v>451.20166</v>
      </c>
      <c r="G111">
        <v>6262500</v>
      </c>
      <c r="I111">
        <f t="shared" si="5"/>
        <v>5.2548702948831093E-3</v>
      </c>
      <c r="J111">
        <v>0</v>
      </c>
      <c r="K111">
        <f t="shared" si="3"/>
        <v>5.2548702948831093E-3</v>
      </c>
      <c r="L111">
        <f t="shared" si="4"/>
        <v>0.52548702948831094</v>
      </c>
      <c r="M111">
        <v>0.78</v>
      </c>
    </row>
    <row r="112" spans="1:13" x14ac:dyDescent="0.2">
      <c r="A112" s="1">
        <v>44049</v>
      </c>
      <c r="B112">
        <v>453.98998999999998</v>
      </c>
      <c r="C112">
        <v>454.32000699999998</v>
      </c>
      <c r="D112">
        <v>447.14999399999999</v>
      </c>
      <c r="E112">
        <v>453.42001299999998</v>
      </c>
      <c r="F112">
        <v>453.15051299999999</v>
      </c>
      <c r="G112">
        <v>6107900</v>
      </c>
      <c r="I112">
        <f t="shared" si="5"/>
        <v>4.3192505098495993E-3</v>
      </c>
      <c r="J112">
        <v>0</v>
      </c>
      <c r="K112">
        <f t="shared" si="3"/>
        <v>4.3192505098495993E-3</v>
      </c>
      <c r="L112">
        <f t="shared" si="4"/>
        <v>0.43192505098495992</v>
      </c>
      <c r="M112">
        <v>0.53</v>
      </c>
    </row>
    <row r="113" spans="1:13" x14ac:dyDescent="0.2">
      <c r="A113" s="1">
        <v>44050</v>
      </c>
      <c r="B113">
        <v>452.5</v>
      </c>
      <c r="C113">
        <v>460.19000199999999</v>
      </c>
      <c r="D113">
        <v>441.5</v>
      </c>
      <c r="E113">
        <v>447.98001099999999</v>
      </c>
      <c r="F113">
        <v>447.71374500000002</v>
      </c>
      <c r="G113">
        <v>8562900</v>
      </c>
      <c r="I113">
        <f t="shared" si="5"/>
        <v>-1.1997709026095645E-2</v>
      </c>
      <c r="J113">
        <v>0</v>
      </c>
      <c r="K113">
        <f t="shared" si="3"/>
        <v>-1.1997709026095645E-2</v>
      </c>
      <c r="L113">
        <f t="shared" si="4"/>
        <v>-1.1997709026095644</v>
      </c>
      <c r="M113">
        <v>0.02</v>
      </c>
    </row>
    <row r="114" spans="1:13" x14ac:dyDescent="0.2">
      <c r="A114" s="1">
        <v>44053</v>
      </c>
      <c r="B114">
        <v>453.36999500000002</v>
      </c>
      <c r="C114">
        <v>456.32998700000002</v>
      </c>
      <c r="D114">
        <v>434.26001000000002</v>
      </c>
      <c r="E114">
        <v>446.60000600000001</v>
      </c>
      <c r="F114">
        <v>446.334564</v>
      </c>
      <c r="G114">
        <v>10694900</v>
      </c>
      <c r="I114">
        <f t="shared" si="5"/>
        <v>-3.0804973387627776E-3</v>
      </c>
      <c r="J114">
        <v>0</v>
      </c>
      <c r="K114">
        <f t="shared" si="3"/>
        <v>-3.0804973387627776E-3</v>
      </c>
      <c r="L114">
        <f t="shared" si="4"/>
        <v>-0.30804973387627776</v>
      </c>
      <c r="M114">
        <v>0.24</v>
      </c>
    </row>
    <row r="115" spans="1:13" x14ac:dyDescent="0.2">
      <c r="A115" s="1">
        <v>44054</v>
      </c>
      <c r="B115">
        <v>442.95001200000002</v>
      </c>
      <c r="C115">
        <v>445.47000100000002</v>
      </c>
      <c r="D115">
        <v>431.82998700000002</v>
      </c>
      <c r="E115">
        <v>434</v>
      </c>
      <c r="F115">
        <v>433.74203499999999</v>
      </c>
      <c r="G115">
        <v>8862800</v>
      </c>
      <c r="I115">
        <f t="shared" si="5"/>
        <v>-2.8213206002123584E-2</v>
      </c>
      <c r="J115">
        <v>0</v>
      </c>
      <c r="K115">
        <f t="shared" si="3"/>
        <v>-2.8213206002123584E-2</v>
      </c>
      <c r="L115">
        <f t="shared" si="4"/>
        <v>-2.8213206002123585</v>
      </c>
      <c r="M115">
        <v>-0.83</v>
      </c>
    </row>
    <row r="116" spans="1:13" x14ac:dyDescent="0.2">
      <c r="A116" s="1">
        <v>44055</v>
      </c>
      <c r="B116">
        <v>439.63000499999998</v>
      </c>
      <c r="C116">
        <v>458.67999300000002</v>
      </c>
      <c r="D116">
        <v>438.32998700000002</v>
      </c>
      <c r="E116">
        <v>457.60998499999999</v>
      </c>
      <c r="F116">
        <v>457.33801299999999</v>
      </c>
      <c r="G116">
        <v>11623600</v>
      </c>
      <c r="I116">
        <f t="shared" si="5"/>
        <v>5.4400948250265861E-2</v>
      </c>
      <c r="J116">
        <v>0</v>
      </c>
      <c r="K116">
        <f t="shared" si="3"/>
        <v>5.4400948250265861E-2</v>
      </c>
      <c r="L116">
        <f t="shared" si="4"/>
        <v>5.4400948250265859</v>
      </c>
      <c r="M116">
        <v>1.4</v>
      </c>
    </row>
    <row r="117" spans="1:13" x14ac:dyDescent="0.2">
      <c r="A117" s="1">
        <v>44056</v>
      </c>
      <c r="B117">
        <v>461.83999599999999</v>
      </c>
      <c r="C117">
        <v>468.86999500000002</v>
      </c>
      <c r="D117">
        <v>454.23001099999999</v>
      </c>
      <c r="E117">
        <v>457.72000100000002</v>
      </c>
      <c r="F117">
        <v>457.447968</v>
      </c>
      <c r="G117">
        <v>9361500</v>
      </c>
      <c r="I117">
        <f t="shared" si="5"/>
        <v>2.4042392470011796E-4</v>
      </c>
      <c r="J117">
        <v>0</v>
      </c>
      <c r="K117">
        <f t="shared" si="3"/>
        <v>2.4042392470011796E-4</v>
      </c>
      <c r="L117">
        <f t="shared" si="4"/>
        <v>2.4042392470011796E-2</v>
      </c>
      <c r="M117">
        <v>-0.01</v>
      </c>
    </row>
    <row r="118" spans="1:13" x14ac:dyDescent="0.2">
      <c r="A118" s="1">
        <v>44057</v>
      </c>
      <c r="B118">
        <v>461.20001200000002</v>
      </c>
      <c r="C118">
        <v>468.19000199999999</v>
      </c>
      <c r="D118">
        <v>457.61999500000002</v>
      </c>
      <c r="E118">
        <v>462.55999800000001</v>
      </c>
      <c r="F118">
        <v>462.28509500000001</v>
      </c>
      <c r="G118">
        <v>9160900</v>
      </c>
      <c r="I118">
        <f t="shared" si="5"/>
        <v>1.0574157802357993E-2</v>
      </c>
      <c r="J118">
        <v>0</v>
      </c>
      <c r="K118">
        <f t="shared" si="3"/>
        <v>1.0574157802357993E-2</v>
      </c>
      <c r="L118">
        <f t="shared" si="4"/>
        <v>1.0574157802357993</v>
      </c>
      <c r="M118">
        <v>-0.04</v>
      </c>
    </row>
    <row r="119" spans="1:13" x14ac:dyDescent="0.2">
      <c r="A119" s="1">
        <v>44060</v>
      </c>
      <c r="B119">
        <v>474.04998799999998</v>
      </c>
      <c r="C119">
        <v>496.39001500000001</v>
      </c>
      <c r="D119">
        <v>472.69000199999999</v>
      </c>
      <c r="E119">
        <v>493.48001099999999</v>
      </c>
      <c r="F119">
        <v>493.18673699999999</v>
      </c>
      <c r="G119">
        <v>15532500</v>
      </c>
      <c r="I119">
        <f t="shared" si="5"/>
        <v>6.6845421438473981E-2</v>
      </c>
      <c r="J119">
        <v>0</v>
      </c>
      <c r="K119">
        <f t="shared" si="3"/>
        <v>6.6845421438473981E-2</v>
      </c>
      <c r="L119">
        <f t="shared" si="4"/>
        <v>6.6845421438473984</v>
      </c>
      <c r="M119">
        <v>0.45</v>
      </c>
    </row>
    <row r="120" spans="1:13" x14ac:dyDescent="0.2">
      <c r="A120" s="1">
        <v>44061</v>
      </c>
      <c r="B120">
        <v>498</v>
      </c>
      <c r="C120">
        <v>499.83999599999999</v>
      </c>
      <c r="D120">
        <v>483.45001200000002</v>
      </c>
      <c r="E120">
        <v>490.42999300000002</v>
      </c>
      <c r="F120">
        <v>490.13848899999999</v>
      </c>
      <c r="G120">
        <v>12586200</v>
      </c>
      <c r="I120">
        <f t="shared" si="5"/>
        <v>-6.1807177105819072E-3</v>
      </c>
      <c r="J120">
        <v>0</v>
      </c>
      <c r="K120">
        <f t="shared" si="3"/>
        <v>-6.1807177105819072E-3</v>
      </c>
      <c r="L120">
        <f t="shared" si="4"/>
        <v>-0.61807177105819067</v>
      </c>
      <c r="M120">
        <v>0.22</v>
      </c>
    </row>
    <row r="121" spans="1:13" x14ac:dyDescent="0.2">
      <c r="A121" s="1">
        <v>44062</v>
      </c>
      <c r="B121">
        <v>491.85998499999999</v>
      </c>
      <c r="C121">
        <v>492.60000600000001</v>
      </c>
      <c r="D121">
        <v>483.92001299999998</v>
      </c>
      <c r="E121">
        <v>485.540009</v>
      </c>
      <c r="F121">
        <v>485.25140399999998</v>
      </c>
      <c r="G121">
        <v>15565600</v>
      </c>
      <c r="I121">
        <f t="shared" si="5"/>
        <v>-9.9708247968259712E-3</v>
      </c>
      <c r="J121">
        <v>0</v>
      </c>
      <c r="K121">
        <f t="shared" si="3"/>
        <v>-9.9708247968259712E-3</v>
      </c>
      <c r="L121">
        <f t="shared" si="4"/>
        <v>-0.99708247968259711</v>
      </c>
      <c r="M121">
        <v>-0.38</v>
      </c>
    </row>
    <row r="122" spans="1:13" x14ac:dyDescent="0.2">
      <c r="A122" s="1">
        <v>44063</v>
      </c>
      <c r="B122">
        <v>479</v>
      </c>
      <c r="C122">
        <v>495</v>
      </c>
      <c r="D122">
        <v>475.14999399999999</v>
      </c>
      <c r="E122">
        <v>485.64001500000001</v>
      </c>
      <c r="F122">
        <v>485.35137900000001</v>
      </c>
      <c r="G122">
        <v>23034700</v>
      </c>
      <c r="I122">
        <f t="shared" si="5"/>
        <v>2.0602722460135123E-4</v>
      </c>
      <c r="J122">
        <v>0</v>
      </c>
      <c r="K122">
        <f t="shared" si="3"/>
        <v>2.0602722460135123E-4</v>
      </c>
      <c r="L122">
        <f t="shared" si="4"/>
        <v>2.0602722460135121E-2</v>
      </c>
      <c r="M122">
        <v>0.31</v>
      </c>
    </row>
    <row r="123" spans="1:13" x14ac:dyDescent="0.2">
      <c r="A123" s="1">
        <v>44064</v>
      </c>
      <c r="B123">
        <v>488.07000699999998</v>
      </c>
      <c r="C123">
        <v>512.34997599999997</v>
      </c>
      <c r="D123">
        <v>487.80999800000001</v>
      </c>
      <c r="E123">
        <v>507.33999599999999</v>
      </c>
      <c r="F123">
        <v>507.03848299999999</v>
      </c>
      <c r="G123">
        <v>24996700</v>
      </c>
      <c r="I123">
        <f t="shared" si="5"/>
        <v>4.4683305618051984E-2</v>
      </c>
      <c r="J123">
        <v>0</v>
      </c>
      <c r="K123">
        <f t="shared" si="3"/>
        <v>4.4683305618051984E-2</v>
      </c>
      <c r="L123">
        <f t="shared" si="4"/>
        <v>4.4683305618051987</v>
      </c>
      <c r="M123">
        <v>0.25</v>
      </c>
    </row>
    <row r="124" spans="1:13" x14ac:dyDescent="0.2">
      <c r="A124" s="1">
        <v>44067</v>
      </c>
      <c r="B124">
        <v>515.34997599999997</v>
      </c>
      <c r="C124">
        <v>516.5</v>
      </c>
      <c r="D124">
        <v>500.29998799999998</v>
      </c>
      <c r="E124">
        <v>508.80999800000001</v>
      </c>
      <c r="F124">
        <v>508.50756799999999</v>
      </c>
      <c r="G124">
        <v>12264100</v>
      </c>
      <c r="I124">
        <f t="shared" si="5"/>
        <v>2.8973836291633251E-3</v>
      </c>
      <c r="J124">
        <v>0</v>
      </c>
      <c r="K124">
        <f t="shared" si="3"/>
        <v>2.8973836291633251E-3</v>
      </c>
      <c r="L124">
        <f t="shared" si="4"/>
        <v>0.28973836291633248</v>
      </c>
      <c r="M124">
        <v>0.92</v>
      </c>
    </row>
    <row r="125" spans="1:13" x14ac:dyDescent="0.2">
      <c r="A125" s="1">
        <v>44068</v>
      </c>
      <c r="B125">
        <v>505.23001099999999</v>
      </c>
      <c r="C125">
        <v>510.45001200000002</v>
      </c>
      <c r="D125">
        <v>502.95001200000002</v>
      </c>
      <c r="E125">
        <v>510</v>
      </c>
      <c r="F125">
        <v>509.69689899999997</v>
      </c>
      <c r="G125">
        <v>7226900</v>
      </c>
      <c r="I125">
        <f t="shared" si="5"/>
        <v>2.3388658789833027E-3</v>
      </c>
      <c r="J125">
        <v>0</v>
      </c>
      <c r="K125">
        <f t="shared" si="3"/>
        <v>2.3388658789833027E-3</v>
      </c>
      <c r="L125">
        <f t="shared" si="4"/>
        <v>0.23388658789833028</v>
      </c>
      <c r="M125">
        <v>0.36</v>
      </c>
    </row>
    <row r="126" spans="1:13" x14ac:dyDescent="0.2">
      <c r="A126" s="1">
        <v>44069</v>
      </c>
      <c r="B126">
        <v>511.97000100000002</v>
      </c>
      <c r="C126">
        <v>514.73999000000003</v>
      </c>
      <c r="D126">
        <v>507.10998499999999</v>
      </c>
      <c r="E126">
        <v>510.92001299999998</v>
      </c>
      <c r="F126">
        <v>510.61636399999998</v>
      </c>
      <c r="G126">
        <v>8031100</v>
      </c>
      <c r="I126">
        <f t="shared" si="5"/>
        <v>1.8039446616291901E-3</v>
      </c>
      <c r="J126">
        <v>0</v>
      </c>
      <c r="K126">
        <f t="shared" si="3"/>
        <v>1.8039446616291901E-3</v>
      </c>
      <c r="L126">
        <f t="shared" si="4"/>
        <v>0.18039446616291901</v>
      </c>
      <c r="M126">
        <v>1</v>
      </c>
    </row>
    <row r="127" spans="1:13" x14ac:dyDescent="0.2">
      <c r="A127" s="1">
        <v>44070</v>
      </c>
      <c r="B127">
        <v>511.26001000000002</v>
      </c>
      <c r="C127">
        <v>514</v>
      </c>
      <c r="D127">
        <v>502.66000400000001</v>
      </c>
      <c r="E127">
        <v>505.13000499999998</v>
      </c>
      <c r="F127">
        <v>504.82977299999999</v>
      </c>
      <c r="G127">
        <v>7940100</v>
      </c>
      <c r="I127">
        <f t="shared" si="5"/>
        <v>-1.1332560818595284E-2</v>
      </c>
      <c r="J127">
        <v>0</v>
      </c>
      <c r="K127">
        <f t="shared" si="3"/>
        <v>-1.1332560818595284E-2</v>
      </c>
      <c r="L127">
        <f t="shared" si="4"/>
        <v>-1.1332560818595283</v>
      </c>
      <c r="M127">
        <v>0.18</v>
      </c>
    </row>
    <row r="128" spans="1:13" x14ac:dyDescent="0.2">
      <c r="A128" s="1">
        <v>44071</v>
      </c>
      <c r="B128">
        <v>507</v>
      </c>
      <c r="C128">
        <v>525.919983</v>
      </c>
      <c r="D128">
        <v>505.70001200000002</v>
      </c>
      <c r="E128">
        <v>525.90997300000004</v>
      </c>
      <c r="F128">
        <v>525.59741199999996</v>
      </c>
      <c r="G128">
        <v>13429000</v>
      </c>
      <c r="I128">
        <f t="shared" si="5"/>
        <v>4.1137904518955493E-2</v>
      </c>
      <c r="J128">
        <v>0</v>
      </c>
      <c r="K128">
        <f t="shared" si="3"/>
        <v>4.1137904518955493E-2</v>
      </c>
      <c r="L128">
        <f t="shared" si="4"/>
        <v>4.1137904518955493</v>
      </c>
      <c r="M128">
        <v>0.7</v>
      </c>
    </row>
    <row r="129" spans="1:13" x14ac:dyDescent="0.2">
      <c r="A129" s="1">
        <v>44074</v>
      </c>
      <c r="B129">
        <v>527.30999799999995</v>
      </c>
      <c r="C129">
        <v>543</v>
      </c>
      <c r="D129">
        <v>521.51000999999997</v>
      </c>
      <c r="E129">
        <v>534.97997999999995</v>
      </c>
      <c r="F129">
        <v>534.66198699999995</v>
      </c>
      <c r="G129">
        <v>12521000</v>
      </c>
      <c r="I129">
        <f t="shared" si="5"/>
        <v>1.7246232178936206E-2</v>
      </c>
      <c r="J129">
        <v>0</v>
      </c>
      <c r="K129">
        <f t="shared" si="3"/>
        <v>1.7246232178936206E-2</v>
      </c>
      <c r="L129">
        <f t="shared" si="4"/>
        <v>1.7246232178936207</v>
      </c>
      <c r="M129">
        <v>-0.04</v>
      </c>
    </row>
    <row r="130" spans="1:13" x14ac:dyDescent="0.2">
      <c r="A130" s="1">
        <v>44075</v>
      </c>
      <c r="B130">
        <v>539.20001200000002</v>
      </c>
      <c r="C130">
        <v>559.75</v>
      </c>
      <c r="D130">
        <v>537.46002199999998</v>
      </c>
      <c r="E130">
        <v>552.84002699999996</v>
      </c>
      <c r="F130">
        <v>552.67675799999995</v>
      </c>
      <c r="G130">
        <v>12811800</v>
      </c>
      <c r="I130">
        <f t="shared" si="5"/>
        <v>3.3693756874471792E-2</v>
      </c>
      <c r="J130">
        <v>0</v>
      </c>
      <c r="K130">
        <f t="shared" si="3"/>
        <v>3.3693756874471792E-2</v>
      </c>
      <c r="L130">
        <f t="shared" si="4"/>
        <v>3.369375687447179</v>
      </c>
      <c r="M130">
        <v>0.92</v>
      </c>
    </row>
    <row r="131" spans="1:13" x14ac:dyDescent="0.2">
      <c r="A131" s="1">
        <v>44076</v>
      </c>
      <c r="B131">
        <v>588.15002400000003</v>
      </c>
      <c r="C131">
        <v>589.07000700000003</v>
      </c>
      <c r="D131">
        <v>556</v>
      </c>
      <c r="E131">
        <v>573.85998500000005</v>
      </c>
      <c r="F131">
        <v>573.69049099999995</v>
      </c>
      <c r="G131">
        <v>21850300</v>
      </c>
      <c r="I131">
        <f t="shared" si="5"/>
        <v>3.80217418153126E-2</v>
      </c>
      <c r="J131">
        <v>0</v>
      </c>
      <c r="K131">
        <f t="shared" si="3"/>
        <v>3.80217418153126E-2</v>
      </c>
      <c r="L131">
        <f t="shared" si="4"/>
        <v>3.8021741815312602</v>
      </c>
      <c r="M131">
        <v>1.27</v>
      </c>
    </row>
    <row r="132" spans="1:13" x14ac:dyDescent="0.2">
      <c r="A132" s="1">
        <v>44077</v>
      </c>
      <c r="B132">
        <v>553.15002400000003</v>
      </c>
      <c r="C132">
        <v>555.38000499999998</v>
      </c>
      <c r="D132">
        <v>515.15002400000003</v>
      </c>
      <c r="E132">
        <v>520.61999500000002</v>
      </c>
      <c r="F132">
        <v>520.46624799999995</v>
      </c>
      <c r="G132">
        <v>23628200</v>
      </c>
      <c r="I132">
        <f t="shared" si="5"/>
        <v>-9.2775187727488426E-2</v>
      </c>
      <c r="J132">
        <v>0</v>
      </c>
      <c r="K132">
        <f t="shared" ref="K132:K195" si="6">I132-J132</f>
        <v>-9.2775187727488426E-2</v>
      </c>
      <c r="L132">
        <f t="shared" ref="L132:L195" si="7">100*K132</f>
        <v>-9.2775187727488433</v>
      </c>
      <c r="M132">
        <v>-3.7</v>
      </c>
    </row>
    <row r="133" spans="1:13" x14ac:dyDescent="0.2">
      <c r="A133" s="1">
        <v>44078</v>
      </c>
      <c r="B133">
        <v>511.35000600000001</v>
      </c>
      <c r="C133">
        <v>527</v>
      </c>
      <c r="D133">
        <v>468.19000199999999</v>
      </c>
      <c r="E133">
        <v>504.89999399999999</v>
      </c>
      <c r="F133">
        <v>504.75088499999998</v>
      </c>
      <c r="G133">
        <v>36592100</v>
      </c>
      <c r="I133">
        <f t="shared" ref="I133:I196" si="8">(F133-F132)/F132</f>
        <v>-3.0194778355733011E-2</v>
      </c>
      <c r="J133">
        <v>0</v>
      </c>
      <c r="K133">
        <f t="shared" si="6"/>
        <v>-3.0194778355733011E-2</v>
      </c>
      <c r="L133">
        <f t="shared" si="7"/>
        <v>-3.019477835573301</v>
      </c>
      <c r="M133">
        <v>-0.87</v>
      </c>
    </row>
    <row r="134" spans="1:13" x14ac:dyDescent="0.2">
      <c r="A134" s="1">
        <v>44082</v>
      </c>
      <c r="B134">
        <v>469.38000499999998</v>
      </c>
      <c r="C134">
        <v>502</v>
      </c>
      <c r="D134">
        <v>468.17001299999998</v>
      </c>
      <c r="E134">
        <v>476.51998900000001</v>
      </c>
      <c r="F134">
        <v>476.37924199999998</v>
      </c>
      <c r="G134">
        <v>19893200</v>
      </c>
      <c r="I134">
        <f t="shared" si="8"/>
        <v>-5.6209199118095667E-2</v>
      </c>
      <c r="J134">
        <v>0</v>
      </c>
      <c r="K134">
        <f t="shared" si="6"/>
        <v>-5.6209199118095667E-2</v>
      </c>
      <c r="L134">
        <f t="shared" si="7"/>
        <v>-5.6209199118095663</v>
      </c>
      <c r="M134">
        <v>-2.91</v>
      </c>
    </row>
    <row r="135" spans="1:13" x14ac:dyDescent="0.2">
      <c r="A135" s="1">
        <v>44083</v>
      </c>
      <c r="B135">
        <v>496</v>
      </c>
      <c r="C135">
        <v>512.36999500000002</v>
      </c>
      <c r="D135">
        <v>489.26998900000001</v>
      </c>
      <c r="E135">
        <v>508.60000600000001</v>
      </c>
      <c r="F135">
        <v>508.44979899999998</v>
      </c>
      <c r="G135">
        <v>18405000</v>
      </c>
      <c r="I135">
        <f t="shared" si="8"/>
        <v>6.7321482912137492E-2</v>
      </c>
      <c r="J135">
        <v>0</v>
      </c>
      <c r="K135">
        <f t="shared" si="6"/>
        <v>6.7321482912137492E-2</v>
      </c>
      <c r="L135">
        <f t="shared" si="7"/>
        <v>6.7321482912137496</v>
      </c>
      <c r="M135">
        <v>2.0699999999999998</v>
      </c>
    </row>
    <row r="136" spans="1:13" x14ac:dyDescent="0.2">
      <c r="A136" s="1">
        <v>44084</v>
      </c>
      <c r="B136">
        <v>519.57000700000003</v>
      </c>
      <c r="C136">
        <v>522.60998500000005</v>
      </c>
      <c r="D136">
        <v>486.67999300000002</v>
      </c>
      <c r="E136">
        <v>492.47000100000002</v>
      </c>
      <c r="F136">
        <v>492.32455399999998</v>
      </c>
      <c r="G136">
        <v>17467100</v>
      </c>
      <c r="I136">
        <f t="shared" si="8"/>
        <v>-3.1714527238902515E-2</v>
      </c>
      <c r="J136">
        <v>0</v>
      </c>
      <c r="K136">
        <f t="shared" si="6"/>
        <v>-3.1714527238902515E-2</v>
      </c>
      <c r="L136">
        <f t="shared" si="7"/>
        <v>-3.1714527238902517</v>
      </c>
      <c r="M136">
        <v>-1.64</v>
      </c>
    </row>
    <row r="137" spans="1:13" x14ac:dyDescent="0.2">
      <c r="A137" s="1">
        <v>44085</v>
      </c>
      <c r="B137">
        <v>499.42001299999998</v>
      </c>
      <c r="C137">
        <v>506.10000600000001</v>
      </c>
      <c r="D137">
        <v>475.82998700000002</v>
      </c>
      <c r="E137">
        <v>486.57998700000002</v>
      </c>
      <c r="F137">
        <v>486.43627900000001</v>
      </c>
      <c r="G137">
        <v>15923200</v>
      </c>
      <c r="I137">
        <f t="shared" si="8"/>
        <v>-1.1960148954910677E-2</v>
      </c>
      <c r="J137">
        <v>0</v>
      </c>
      <c r="K137">
        <f t="shared" si="6"/>
        <v>-1.1960148954910677E-2</v>
      </c>
      <c r="L137">
        <f t="shared" si="7"/>
        <v>-1.1960148954910677</v>
      </c>
      <c r="M137">
        <v>-0.06</v>
      </c>
    </row>
    <row r="138" spans="1:13" x14ac:dyDescent="0.2">
      <c r="A138" s="1">
        <v>44088</v>
      </c>
      <c r="B138">
        <v>523.23999000000003</v>
      </c>
      <c r="C138">
        <v>532.59997599999997</v>
      </c>
      <c r="D138">
        <v>505.25</v>
      </c>
      <c r="E138">
        <v>514.89001499999995</v>
      </c>
      <c r="F138">
        <v>514.737976</v>
      </c>
      <c r="G138">
        <v>30043600</v>
      </c>
      <c r="I138">
        <f t="shared" si="8"/>
        <v>5.8181715101886938E-2</v>
      </c>
      <c r="J138">
        <v>0</v>
      </c>
      <c r="K138">
        <f t="shared" si="6"/>
        <v>5.8181715101886938E-2</v>
      </c>
      <c r="L138">
        <f t="shared" si="7"/>
        <v>5.8181715101886935</v>
      </c>
      <c r="M138">
        <v>1.59</v>
      </c>
    </row>
    <row r="139" spans="1:13" x14ac:dyDescent="0.2">
      <c r="A139" s="1">
        <v>44089</v>
      </c>
      <c r="B139">
        <v>531.20001200000002</v>
      </c>
      <c r="C139">
        <v>531.95001200000002</v>
      </c>
      <c r="D139">
        <v>513.10998500000005</v>
      </c>
      <c r="E139">
        <v>519.64001499999995</v>
      </c>
      <c r="F139">
        <v>519.48657200000002</v>
      </c>
      <c r="G139">
        <v>18188900</v>
      </c>
      <c r="I139">
        <f t="shared" si="8"/>
        <v>9.2252684305539189E-3</v>
      </c>
      <c r="J139">
        <v>0</v>
      </c>
      <c r="K139">
        <f t="shared" si="6"/>
        <v>9.2252684305539189E-3</v>
      </c>
      <c r="L139">
        <f t="shared" si="7"/>
        <v>0.9225268430553919</v>
      </c>
      <c r="M139">
        <v>0.56999999999999995</v>
      </c>
    </row>
    <row r="140" spans="1:13" x14ac:dyDescent="0.2">
      <c r="A140" s="1">
        <v>44090</v>
      </c>
      <c r="B140">
        <v>518.28997800000002</v>
      </c>
      <c r="C140">
        <v>523.71002199999998</v>
      </c>
      <c r="D140">
        <v>500.54998799999998</v>
      </c>
      <c r="E140">
        <v>500.57998700000002</v>
      </c>
      <c r="F140">
        <v>500.43215900000001</v>
      </c>
      <c r="G140">
        <v>13909600</v>
      </c>
      <c r="I140">
        <f t="shared" si="8"/>
        <v>-3.667931767060191E-2</v>
      </c>
      <c r="J140">
        <v>0</v>
      </c>
      <c r="K140">
        <f t="shared" si="6"/>
        <v>-3.667931767060191E-2</v>
      </c>
      <c r="L140">
        <f t="shared" si="7"/>
        <v>-3.6679317670601912</v>
      </c>
      <c r="M140">
        <v>-0.39</v>
      </c>
    </row>
    <row r="141" spans="1:13" x14ac:dyDescent="0.2">
      <c r="A141" s="1">
        <v>44091</v>
      </c>
      <c r="B141">
        <v>485.290009</v>
      </c>
      <c r="C141">
        <v>503.58999599999999</v>
      </c>
      <c r="D141">
        <v>481.39001500000001</v>
      </c>
      <c r="E141">
        <v>498.540009</v>
      </c>
      <c r="F141">
        <v>498.39276100000001</v>
      </c>
      <c r="G141">
        <v>19812800</v>
      </c>
      <c r="I141">
        <f t="shared" si="8"/>
        <v>-4.0752736676141661E-3</v>
      </c>
      <c r="J141">
        <v>0</v>
      </c>
      <c r="K141">
        <f t="shared" si="6"/>
        <v>-4.0752736676141661E-3</v>
      </c>
      <c r="L141">
        <f t="shared" si="7"/>
        <v>-0.4075273667614166</v>
      </c>
      <c r="M141">
        <v>-0.85</v>
      </c>
    </row>
    <row r="142" spans="1:13" x14ac:dyDescent="0.2">
      <c r="A142" s="1">
        <v>44092</v>
      </c>
      <c r="B142">
        <v>503.75</v>
      </c>
      <c r="C142">
        <v>505.29998799999998</v>
      </c>
      <c r="D142">
        <v>479.54998799999998</v>
      </c>
      <c r="E142">
        <v>487.57000699999998</v>
      </c>
      <c r="F142">
        <v>487.425995</v>
      </c>
      <c r="G142">
        <v>17461500</v>
      </c>
      <c r="I142">
        <f t="shared" si="8"/>
        <v>-2.2004264223251843E-2</v>
      </c>
      <c r="J142">
        <v>0</v>
      </c>
      <c r="K142">
        <f t="shared" si="6"/>
        <v>-2.2004264223251843E-2</v>
      </c>
      <c r="L142">
        <f t="shared" si="7"/>
        <v>-2.2004264223251844</v>
      </c>
      <c r="M142">
        <v>-0.88</v>
      </c>
    </row>
    <row r="143" spans="1:13" x14ac:dyDescent="0.2">
      <c r="A143" s="1">
        <v>44095</v>
      </c>
      <c r="B143">
        <v>477</v>
      </c>
      <c r="C143">
        <v>500.89999399999999</v>
      </c>
      <c r="D143">
        <v>476.17999300000002</v>
      </c>
      <c r="E143">
        <v>500.69000199999999</v>
      </c>
      <c r="F143">
        <v>500.54211400000003</v>
      </c>
      <c r="G143">
        <v>18026100</v>
      </c>
      <c r="I143">
        <f t="shared" si="8"/>
        <v>2.6908944402934492E-2</v>
      </c>
      <c r="J143">
        <v>0</v>
      </c>
      <c r="K143">
        <f t="shared" si="6"/>
        <v>2.6908944402934492E-2</v>
      </c>
      <c r="L143">
        <f t="shared" si="7"/>
        <v>2.6908944402934494</v>
      </c>
      <c r="M143">
        <v>-1.08</v>
      </c>
    </row>
    <row r="144" spans="1:13" x14ac:dyDescent="0.2">
      <c r="A144" s="1">
        <v>44096</v>
      </c>
      <c r="B144">
        <v>503</v>
      </c>
      <c r="C144">
        <v>505.92001299999998</v>
      </c>
      <c r="D144">
        <v>486.22000100000002</v>
      </c>
      <c r="E144">
        <v>505.51001000000002</v>
      </c>
      <c r="F144">
        <v>505.36071800000002</v>
      </c>
      <c r="G144">
        <v>16161300</v>
      </c>
      <c r="I144">
        <f t="shared" si="8"/>
        <v>9.6267703859979174E-3</v>
      </c>
      <c r="J144">
        <v>0</v>
      </c>
      <c r="K144">
        <f t="shared" si="6"/>
        <v>9.6267703859979174E-3</v>
      </c>
      <c r="L144">
        <f t="shared" si="7"/>
        <v>0.9626770385997917</v>
      </c>
      <c r="M144">
        <v>1.02</v>
      </c>
    </row>
    <row r="145" spans="1:13" x14ac:dyDescent="0.2">
      <c r="A145" s="1">
        <v>44097</v>
      </c>
      <c r="B145">
        <v>503.01998900000001</v>
      </c>
      <c r="C145">
        <v>509.07998700000002</v>
      </c>
      <c r="D145">
        <v>483.17001299999998</v>
      </c>
      <c r="E145">
        <v>484.95001200000002</v>
      </c>
      <c r="F145">
        <v>484.80679300000003</v>
      </c>
      <c r="G145">
        <v>16175300</v>
      </c>
      <c r="I145">
        <f t="shared" si="8"/>
        <v>-4.0671790006440493E-2</v>
      </c>
      <c r="J145">
        <v>0</v>
      </c>
      <c r="K145">
        <f t="shared" si="6"/>
        <v>-4.0671790006440493E-2</v>
      </c>
      <c r="L145">
        <f t="shared" si="7"/>
        <v>-4.0671790006440496</v>
      </c>
      <c r="M145">
        <v>-2.48</v>
      </c>
    </row>
    <row r="146" spans="1:13" x14ac:dyDescent="0.2">
      <c r="A146" s="1">
        <v>44098</v>
      </c>
      <c r="B146">
        <v>482.89001500000001</v>
      </c>
      <c r="C146">
        <v>502.77999899999998</v>
      </c>
      <c r="D146">
        <v>480.55999800000001</v>
      </c>
      <c r="E146">
        <v>493.92001299999998</v>
      </c>
      <c r="F146">
        <v>493.77413899999999</v>
      </c>
      <c r="G146">
        <v>18281000</v>
      </c>
      <c r="I146">
        <f t="shared" si="8"/>
        <v>1.849674164940994E-2</v>
      </c>
      <c r="J146">
        <v>0</v>
      </c>
      <c r="K146">
        <f t="shared" si="6"/>
        <v>1.849674164940994E-2</v>
      </c>
      <c r="L146">
        <f t="shared" si="7"/>
        <v>1.849674164940994</v>
      </c>
      <c r="M146">
        <v>0.25</v>
      </c>
    </row>
    <row r="147" spans="1:13" x14ac:dyDescent="0.2">
      <c r="A147" s="1">
        <v>44099</v>
      </c>
      <c r="B147">
        <v>497.89999399999999</v>
      </c>
      <c r="C147">
        <v>515.34002699999996</v>
      </c>
      <c r="D147">
        <v>489.82998700000002</v>
      </c>
      <c r="E147">
        <v>514.95001200000002</v>
      </c>
      <c r="F147">
        <v>514.79791299999999</v>
      </c>
      <c r="G147">
        <v>14700400</v>
      </c>
      <c r="I147">
        <f t="shared" si="8"/>
        <v>4.2577713856334631E-2</v>
      </c>
      <c r="J147">
        <v>0</v>
      </c>
      <c r="K147">
        <f t="shared" si="6"/>
        <v>4.2577713856334631E-2</v>
      </c>
      <c r="L147">
        <f t="shared" si="7"/>
        <v>4.2577713856334629</v>
      </c>
      <c r="M147">
        <v>1.72</v>
      </c>
    </row>
    <row r="148" spans="1:13" x14ac:dyDescent="0.2">
      <c r="A148" s="1">
        <v>44102</v>
      </c>
      <c r="B148">
        <v>521.60998500000005</v>
      </c>
      <c r="C148">
        <v>522.07000700000003</v>
      </c>
      <c r="D148">
        <v>510</v>
      </c>
      <c r="E148">
        <v>521.40002400000003</v>
      </c>
      <c r="F148">
        <v>521.24603300000001</v>
      </c>
      <c r="G148">
        <v>14345200</v>
      </c>
      <c r="I148">
        <f t="shared" si="8"/>
        <v>1.2525536404029706E-2</v>
      </c>
      <c r="J148">
        <v>0</v>
      </c>
      <c r="K148">
        <f t="shared" si="6"/>
        <v>1.2525536404029706E-2</v>
      </c>
      <c r="L148">
        <f t="shared" si="7"/>
        <v>1.2525536404029707</v>
      </c>
      <c r="M148">
        <v>1.66</v>
      </c>
    </row>
    <row r="149" spans="1:13" x14ac:dyDescent="0.2">
      <c r="A149" s="1">
        <v>44103</v>
      </c>
      <c r="B149">
        <v>517.5</v>
      </c>
      <c r="C149">
        <v>537.71002199999998</v>
      </c>
      <c r="D149">
        <v>517.330017</v>
      </c>
      <c r="E149">
        <v>529.03002900000001</v>
      </c>
      <c r="F149">
        <v>528.87377900000001</v>
      </c>
      <c r="G149">
        <v>15536500</v>
      </c>
      <c r="I149">
        <f t="shared" si="8"/>
        <v>1.4633676837977972E-2</v>
      </c>
      <c r="J149">
        <v>0</v>
      </c>
      <c r="K149">
        <f t="shared" si="6"/>
        <v>1.4633676837977972E-2</v>
      </c>
      <c r="L149">
        <f t="shared" si="7"/>
        <v>1.4633676837977971</v>
      </c>
      <c r="M149">
        <v>-0.42</v>
      </c>
    </row>
    <row r="150" spans="1:13" x14ac:dyDescent="0.2">
      <c r="A150" s="1">
        <v>44104</v>
      </c>
      <c r="B150">
        <v>526.29998799999998</v>
      </c>
      <c r="C150">
        <v>544.90002400000003</v>
      </c>
      <c r="D150">
        <v>526.01000999999997</v>
      </c>
      <c r="E150">
        <v>541.21997099999999</v>
      </c>
      <c r="F150">
        <v>541.06011999999998</v>
      </c>
      <c r="G150">
        <v>17229600</v>
      </c>
      <c r="I150">
        <f t="shared" si="8"/>
        <v>2.3042059341724274E-2</v>
      </c>
      <c r="J150">
        <v>0</v>
      </c>
      <c r="K150">
        <f t="shared" si="6"/>
        <v>2.3042059341724274E-2</v>
      </c>
      <c r="L150">
        <f t="shared" si="7"/>
        <v>2.3042059341724275</v>
      </c>
      <c r="M150">
        <v>0.79</v>
      </c>
    </row>
    <row r="151" spans="1:13" x14ac:dyDescent="0.2">
      <c r="A151" s="1">
        <v>44105</v>
      </c>
      <c r="B151">
        <v>550.32000700000003</v>
      </c>
      <c r="C151">
        <v>550.51000999999997</v>
      </c>
      <c r="D151">
        <v>538.42999299999997</v>
      </c>
      <c r="E151">
        <v>544.580017</v>
      </c>
      <c r="F151">
        <v>544.41918899999996</v>
      </c>
      <c r="G151">
        <v>13125100</v>
      </c>
      <c r="I151">
        <f t="shared" si="8"/>
        <v>6.2083100857627006E-3</v>
      </c>
      <c r="J151">
        <v>0</v>
      </c>
      <c r="K151">
        <f t="shared" si="6"/>
        <v>6.2083100857627006E-3</v>
      </c>
      <c r="L151">
        <f t="shared" si="7"/>
        <v>0.62083100857627005</v>
      </c>
      <c r="M151">
        <v>0.79</v>
      </c>
    </row>
    <row r="152" spans="1:13" x14ac:dyDescent="0.2">
      <c r="A152" s="1">
        <v>44106</v>
      </c>
      <c r="B152">
        <v>529</v>
      </c>
      <c r="C152">
        <v>540.78002900000001</v>
      </c>
      <c r="D152">
        <v>522.03997800000002</v>
      </c>
      <c r="E152">
        <v>522.48999000000003</v>
      </c>
      <c r="F152">
        <v>522.33569299999999</v>
      </c>
      <c r="G152">
        <v>13812400</v>
      </c>
      <c r="I152">
        <f t="shared" si="8"/>
        <v>-4.0563404902320535E-2</v>
      </c>
      <c r="J152">
        <v>0</v>
      </c>
      <c r="K152">
        <f t="shared" si="6"/>
        <v>-4.0563404902320535E-2</v>
      </c>
      <c r="L152">
        <f t="shared" si="7"/>
        <v>-4.0563404902320537</v>
      </c>
      <c r="M152">
        <v>-0.96</v>
      </c>
    </row>
    <row r="153" spans="1:13" x14ac:dyDescent="0.2">
      <c r="A153" s="1">
        <v>44109</v>
      </c>
      <c r="B153">
        <v>529.44000200000005</v>
      </c>
      <c r="C153">
        <v>545.77002000000005</v>
      </c>
      <c r="D153">
        <v>528.90997300000004</v>
      </c>
      <c r="E153">
        <v>545.70001200000002</v>
      </c>
      <c r="F153">
        <v>545.53881799999999</v>
      </c>
      <c r="G153">
        <v>11995500</v>
      </c>
      <c r="I153">
        <f t="shared" si="8"/>
        <v>4.4421863776404807E-2</v>
      </c>
      <c r="J153">
        <v>0</v>
      </c>
      <c r="K153">
        <f t="shared" si="6"/>
        <v>4.4421863776404807E-2</v>
      </c>
      <c r="L153">
        <f t="shared" si="7"/>
        <v>4.4421863776404811</v>
      </c>
      <c r="M153">
        <v>1.93</v>
      </c>
    </row>
    <row r="154" spans="1:13" x14ac:dyDescent="0.2">
      <c r="A154" s="1">
        <v>44110</v>
      </c>
      <c r="B154">
        <v>553.20001200000002</v>
      </c>
      <c r="C154">
        <v>565.67999299999997</v>
      </c>
      <c r="D154">
        <v>546.59997599999997</v>
      </c>
      <c r="E154">
        <v>549.46002199999998</v>
      </c>
      <c r="F154">
        <v>549.297729</v>
      </c>
      <c r="G154">
        <v>19610500</v>
      </c>
      <c r="I154">
        <f t="shared" si="8"/>
        <v>6.8902722885615299E-3</v>
      </c>
      <c r="J154">
        <v>0</v>
      </c>
      <c r="K154">
        <f t="shared" si="6"/>
        <v>6.8902722885615299E-3</v>
      </c>
      <c r="L154">
        <f t="shared" si="7"/>
        <v>0.68902722885615297</v>
      </c>
      <c r="M154">
        <v>-1.28</v>
      </c>
    </row>
    <row r="155" spans="1:13" x14ac:dyDescent="0.2">
      <c r="A155" s="1">
        <v>44111</v>
      </c>
      <c r="B155">
        <v>559.98999000000003</v>
      </c>
      <c r="C155">
        <v>564.77002000000005</v>
      </c>
      <c r="D155">
        <v>554.53997800000002</v>
      </c>
      <c r="E155">
        <v>558.55999799999995</v>
      </c>
      <c r="F155">
        <v>558.39502000000005</v>
      </c>
      <c r="G155">
        <v>10452100</v>
      </c>
      <c r="I155">
        <f t="shared" si="8"/>
        <v>1.6561675972266838E-2</v>
      </c>
      <c r="J155">
        <v>0</v>
      </c>
      <c r="K155">
        <f t="shared" si="6"/>
        <v>1.6561675972266838E-2</v>
      </c>
      <c r="L155">
        <f t="shared" si="7"/>
        <v>1.6561675972266838</v>
      </c>
      <c r="M155">
        <v>1.84</v>
      </c>
    </row>
    <row r="156" spans="1:13" x14ac:dyDescent="0.2">
      <c r="A156" s="1">
        <v>44112</v>
      </c>
      <c r="B156">
        <v>563</v>
      </c>
      <c r="C156">
        <v>563.38000499999998</v>
      </c>
      <c r="D156">
        <v>550.32000700000003</v>
      </c>
      <c r="E156">
        <v>553.54998799999998</v>
      </c>
      <c r="F156">
        <v>553.38647500000002</v>
      </c>
      <c r="G156">
        <v>9472500</v>
      </c>
      <c r="I156">
        <f t="shared" si="8"/>
        <v>-8.9695373715905028E-3</v>
      </c>
      <c r="J156">
        <v>0</v>
      </c>
      <c r="K156">
        <f t="shared" si="6"/>
        <v>-8.9695373715905028E-3</v>
      </c>
      <c r="L156">
        <f t="shared" si="7"/>
        <v>-0.89695373715905025</v>
      </c>
      <c r="M156">
        <v>0.8</v>
      </c>
    </row>
    <row r="157" spans="1:13" x14ac:dyDescent="0.2">
      <c r="A157" s="1">
        <v>44113</v>
      </c>
      <c r="B157">
        <v>550.67999299999997</v>
      </c>
      <c r="C157">
        <v>552.96997099999999</v>
      </c>
      <c r="D157">
        <v>546.42999299999997</v>
      </c>
      <c r="E157">
        <v>550.51000999999997</v>
      </c>
      <c r="F157">
        <v>550.34741199999996</v>
      </c>
      <c r="G157">
        <v>8672300</v>
      </c>
      <c r="I157">
        <f t="shared" si="8"/>
        <v>-5.4917551065917459E-3</v>
      </c>
      <c r="J157">
        <v>0</v>
      </c>
      <c r="K157">
        <f t="shared" si="6"/>
        <v>-5.4917551065917459E-3</v>
      </c>
      <c r="L157">
        <f t="shared" si="7"/>
        <v>-0.54917551065917458</v>
      </c>
      <c r="M157">
        <v>0.93</v>
      </c>
    </row>
    <row r="158" spans="1:13" x14ac:dyDescent="0.2">
      <c r="A158" s="1">
        <v>44116</v>
      </c>
      <c r="B158">
        <v>559.580017</v>
      </c>
      <c r="C158">
        <v>573.88000499999998</v>
      </c>
      <c r="D158">
        <v>556.5</v>
      </c>
      <c r="E158">
        <v>569.03997800000002</v>
      </c>
      <c r="F158">
        <v>568.87188700000002</v>
      </c>
      <c r="G158">
        <v>10868600</v>
      </c>
      <c r="I158">
        <f t="shared" si="8"/>
        <v>3.3659602273191126E-2</v>
      </c>
      <c r="J158">
        <v>0</v>
      </c>
      <c r="K158">
        <f t="shared" si="6"/>
        <v>3.3659602273191126E-2</v>
      </c>
      <c r="L158">
        <f t="shared" si="7"/>
        <v>3.3659602273191127</v>
      </c>
      <c r="M158">
        <v>1.53</v>
      </c>
    </row>
    <row r="159" spans="1:13" x14ac:dyDescent="0.2">
      <c r="A159" s="1">
        <v>44117</v>
      </c>
      <c r="B159">
        <v>571.85998500000005</v>
      </c>
      <c r="C159">
        <v>573.94000200000005</v>
      </c>
      <c r="D159">
        <v>560.75</v>
      </c>
      <c r="E159">
        <v>569.92999299999997</v>
      </c>
      <c r="F159">
        <v>569.76165800000001</v>
      </c>
      <c r="G159">
        <v>8615100</v>
      </c>
      <c r="I159">
        <f t="shared" si="8"/>
        <v>1.5640973307580518E-3</v>
      </c>
      <c r="J159">
        <v>0</v>
      </c>
      <c r="K159">
        <f t="shared" si="6"/>
        <v>1.5640973307580518E-3</v>
      </c>
      <c r="L159">
        <f t="shared" si="7"/>
        <v>0.15640973307580519</v>
      </c>
      <c r="M159">
        <v>-0.41</v>
      </c>
    </row>
    <row r="160" spans="1:13" x14ac:dyDescent="0.2">
      <c r="A160" s="1">
        <v>44118</v>
      </c>
      <c r="B160">
        <v>571.61999500000002</v>
      </c>
      <c r="C160">
        <v>573.71002199999998</v>
      </c>
      <c r="D160">
        <v>558.40002400000003</v>
      </c>
      <c r="E160">
        <v>563.80999799999995</v>
      </c>
      <c r="F160">
        <v>563.64349400000003</v>
      </c>
      <c r="G160">
        <v>6916200</v>
      </c>
      <c r="I160">
        <f t="shared" si="8"/>
        <v>-1.0738111127863888E-2</v>
      </c>
      <c r="J160">
        <v>0</v>
      </c>
      <c r="K160">
        <f t="shared" si="6"/>
        <v>-1.0738111127863888E-2</v>
      </c>
      <c r="L160">
        <f t="shared" si="7"/>
        <v>-1.0738111127863887</v>
      </c>
      <c r="M160">
        <v>-0.65</v>
      </c>
    </row>
    <row r="161" spans="1:13" x14ac:dyDescent="0.2">
      <c r="A161" s="1">
        <v>44119</v>
      </c>
      <c r="B161">
        <v>552.42999299999997</v>
      </c>
      <c r="C161">
        <v>560.22997999999995</v>
      </c>
      <c r="D161">
        <v>550.71002199999998</v>
      </c>
      <c r="E161">
        <v>558.79998799999998</v>
      </c>
      <c r="F161">
        <v>558.63494900000001</v>
      </c>
      <c r="G161">
        <v>6680600</v>
      </c>
      <c r="I161">
        <f t="shared" si="8"/>
        <v>-8.8860158119735636E-3</v>
      </c>
      <c r="J161">
        <v>0</v>
      </c>
      <c r="K161">
        <f t="shared" si="6"/>
        <v>-8.8860158119735636E-3</v>
      </c>
      <c r="L161">
        <f t="shared" si="7"/>
        <v>-0.88860158119735633</v>
      </c>
      <c r="M161">
        <v>-0.08</v>
      </c>
    </row>
    <row r="162" spans="1:13" x14ac:dyDescent="0.2">
      <c r="A162" s="1">
        <v>44120</v>
      </c>
      <c r="B162">
        <v>561.46997099999999</v>
      </c>
      <c r="C162">
        <v>564.85998500000005</v>
      </c>
      <c r="D162">
        <v>551.70001200000002</v>
      </c>
      <c r="E162">
        <v>552.46002199999998</v>
      </c>
      <c r="F162">
        <v>552.296875</v>
      </c>
      <c r="G162">
        <v>6059800</v>
      </c>
      <c r="I162">
        <f t="shared" si="8"/>
        <v>-1.1345645329469006E-2</v>
      </c>
      <c r="J162">
        <v>0</v>
      </c>
      <c r="K162">
        <f t="shared" si="6"/>
        <v>-1.1345645329469006E-2</v>
      </c>
      <c r="L162">
        <f t="shared" si="7"/>
        <v>-1.1345645329469005</v>
      </c>
      <c r="M162">
        <v>-0.06</v>
      </c>
    </row>
    <row r="163" spans="1:13" x14ac:dyDescent="0.2">
      <c r="A163" s="1">
        <v>44123</v>
      </c>
      <c r="B163">
        <v>556.11999500000002</v>
      </c>
      <c r="C163">
        <v>559.34002699999996</v>
      </c>
      <c r="D163">
        <v>536.27002000000005</v>
      </c>
      <c r="E163">
        <v>539.90997300000004</v>
      </c>
      <c r="F163">
        <v>539.75048800000002</v>
      </c>
      <c r="G163">
        <v>7451700</v>
      </c>
      <c r="I163">
        <f t="shared" si="8"/>
        <v>-2.271674450448408E-2</v>
      </c>
      <c r="J163">
        <v>0</v>
      </c>
      <c r="K163">
        <f t="shared" si="6"/>
        <v>-2.271674450448408E-2</v>
      </c>
      <c r="L163">
        <f t="shared" si="7"/>
        <v>-2.2716744504484079</v>
      </c>
      <c r="M163">
        <v>-1.53</v>
      </c>
    </row>
    <row r="164" spans="1:13" x14ac:dyDescent="0.2">
      <c r="A164" s="1">
        <v>44124</v>
      </c>
      <c r="B164">
        <v>543.34002699999996</v>
      </c>
      <c r="C164">
        <v>551.98999000000003</v>
      </c>
      <c r="D164">
        <v>540.28002900000001</v>
      </c>
      <c r="E164">
        <v>545.82000700000003</v>
      </c>
      <c r="F164">
        <v>545.65881300000001</v>
      </c>
      <c r="G164">
        <v>5730300</v>
      </c>
      <c r="I164">
        <f t="shared" si="8"/>
        <v>1.0946400478289129E-2</v>
      </c>
      <c r="J164">
        <v>0</v>
      </c>
      <c r="K164">
        <f t="shared" si="6"/>
        <v>1.0946400478289129E-2</v>
      </c>
      <c r="L164">
        <f t="shared" si="7"/>
        <v>1.0946400478289129</v>
      </c>
      <c r="M164">
        <v>0.34</v>
      </c>
    </row>
    <row r="165" spans="1:13" x14ac:dyDescent="0.2">
      <c r="A165" s="1">
        <v>44125</v>
      </c>
      <c r="B165">
        <v>545</v>
      </c>
      <c r="C165">
        <v>551.65997300000004</v>
      </c>
      <c r="D165">
        <v>539.09997599999997</v>
      </c>
      <c r="E165">
        <v>540.98999000000003</v>
      </c>
      <c r="F165">
        <v>540.83019999999999</v>
      </c>
      <c r="G165">
        <v>5489900</v>
      </c>
      <c r="I165">
        <f t="shared" si="8"/>
        <v>-8.8491432465877141E-3</v>
      </c>
      <c r="J165">
        <v>0</v>
      </c>
      <c r="K165">
        <f t="shared" si="6"/>
        <v>-8.8491432465877141E-3</v>
      </c>
      <c r="L165">
        <f t="shared" si="7"/>
        <v>-0.8849143246587714</v>
      </c>
      <c r="M165">
        <v>-0.36</v>
      </c>
    </row>
    <row r="166" spans="1:13" x14ac:dyDescent="0.2">
      <c r="A166" s="1">
        <v>44126</v>
      </c>
      <c r="B166">
        <v>540.90002400000003</v>
      </c>
      <c r="C166">
        <v>544.46997099999999</v>
      </c>
      <c r="D166">
        <v>529.27002000000005</v>
      </c>
      <c r="E166">
        <v>534.44000200000005</v>
      </c>
      <c r="F166">
        <v>534.28216599999996</v>
      </c>
      <c r="G166">
        <v>7262000</v>
      </c>
      <c r="I166">
        <f t="shared" si="8"/>
        <v>-1.2107374921001139E-2</v>
      </c>
      <c r="J166">
        <v>0</v>
      </c>
      <c r="K166">
        <f t="shared" si="6"/>
        <v>-1.2107374921001139E-2</v>
      </c>
      <c r="L166">
        <f t="shared" si="7"/>
        <v>-1.2107374921001139</v>
      </c>
      <c r="M166">
        <v>0.67</v>
      </c>
    </row>
    <row r="167" spans="1:13" x14ac:dyDescent="0.2">
      <c r="A167" s="1">
        <v>44127</v>
      </c>
      <c r="B167">
        <v>538</v>
      </c>
      <c r="C167">
        <v>543.72997999999995</v>
      </c>
      <c r="D167">
        <v>531.65002400000003</v>
      </c>
      <c r="E167">
        <v>543.60998500000005</v>
      </c>
      <c r="F167">
        <v>543.44946300000004</v>
      </c>
      <c r="G167">
        <v>5837100</v>
      </c>
      <c r="I167">
        <f t="shared" si="8"/>
        <v>1.7158156463714113E-2</v>
      </c>
      <c r="J167">
        <v>0</v>
      </c>
      <c r="K167">
        <f t="shared" si="6"/>
        <v>1.7158156463714113E-2</v>
      </c>
      <c r="L167">
        <f t="shared" si="7"/>
        <v>1.7158156463714114</v>
      </c>
      <c r="M167">
        <v>0.38</v>
      </c>
    </row>
    <row r="168" spans="1:13" x14ac:dyDescent="0.2">
      <c r="A168" s="1">
        <v>44130</v>
      </c>
      <c r="B168">
        <v>537.080017</v>
      </c>
      <c r="C168">
        <v>547.71002199999998</v>
      </c>
      <c r="D168">
        <v>521.53997800000002</v>
      </c>
      <c r="E168">
        <v>525.65002400000003</v>
      </c>
      <c r="F168">
        <v>525.49475099999995</v>
      </c>
      <c r="G168">
        <v>8422400</v>
      </c>
      <c r="I168">
        <f t="shared" si="8"/>
        <v>-3.303842072248047E-2</v>
      </c>
      <c r="J168">
        <v>0</v>
      </c>
      <c r="K168">
        <f t="shared" si="6"/>
        <v>-3.303842072248047E-2</v>
      </c>
      <c r="L168">
        <f t="shared" si="7"/>
        <v>-3.303842072248047</v>
      </c>
      <c r="M168">
        <v>-1.85</v>
      </c>
    </row>
    <row r="169" spans="1:13" x14ac:dyDescent="0.2">
      <c r="A169" s="1">
        <v>44131</v>
      </c>
      <c r="B169">
        <v>532.23999000000003</v>
      </c>
      <c r="C169">
        <v>537.67999299999997</v>
      </c>
      <c r="D169">
        <v>527.65997300000004</v>
      </c>
      <c r="E169">
        <v>535.86999500000002</v>
      </c>
      <c r="F169">
        <v>535.71173099999999</v>
      </c>
      <c r="G169">
        <v>6263000</v>
      </c>
      <c r="I169">
        <f t="shared" si="8"/>
        <v>1.9442591920390155E-2</v>
      </c>
      <c r="J169">
        <v>0</v>
      </c>
      <c r="K169">
        <f t="shared" si="6"/>
        <v>1.9442591920390155E-2</v>
      </c>
      <c r="L169">
        <f t="shared" si="7"/>
        <v>1.9442591920390155</v>
      </c>
      <c r="M169">
        <v>-0.23</v>
      </c>
    </row>
    <row r="170" spans="1:13" x14ac:dyDescent="0.2">
      <c r="A170" s="1">
        <v>44132</v>
      </c>
      <c r="B170">
        <v>527.919983</v>
      </c>
      <c r="C170">
        <v>530.40002400000003</v>
      </c>
      <c r="D170">
        <v>504.35998499999999</v>
      </c>
      <c r="E170">
        <v>505.07998700000002</v>
      </c>
      <c r="F170">
        <v>504.93081699999999</v>
      </c>
      <c r="G170">
        <v>9413000</v>
      </c>
      <c r="I170">
        <f t="shared" si="8"/>
        <v>-5.7457980138949011E-2</v>
      </c>
      <c r="J170">
        <v>0</v>
      </c>
      <c r="K170">
        <f t="shared" si="6"/>
        <v>-5.7457980138949011E-2</v>
      </c>
      <c r="L170">
        <f t="shared" si="7"/>
        <v>-5.745798013894901</v>
      </c>
      <c r="M170">
        <v>-3.41</v>
      </c>
    </row>
    <row r="171" spans="1:13" x14ac:dyDescent="0.2">
      <c r="A171" s="1">
        <v>44133</v>
      </c>
      <c r="B171">
        <v>513.53997800000002</v>
      </c>
      <c r="C171">
        <v>527.71002199999998</v>
      </c>
      <c r="D171">
        <v>510</v>
      </c>
      <c r="E171">
        <v>520.96002199999998</v>
      </c>
      <c r="F171">
        <v>520.806152</v>
      </c>
      <c r="G171">
        <v>8002000</v>
      </c>
      <c r="I171">
        <f t="shared" si="8"/>
        <v>3.1440614170317134E-2</v>
      </c>
      <c r="J171">
        <v>0</v>
      </c>
      <c r="K171">
        <f t="shared" si="6"/>
        <v>3.1440614170317134E-2</v>
      </c>
      <c r="L171">
        <f t="shared" si="7"/>
        <v>3.1440614170317134</v>
      </c>
      <c r="M171">
        <v>1.1299999999999999</v>
      </c>
    </row>
    <row r="172" spans="1:13" x14ac:dyDescent="0.2">
      <c r="A172" s="1">
        <v>44134</v>
      </c>
      <c r="B172">
        <v>514</v>
      </c>
      <c r="C172">
        <v>517.46002199999998</v>
      </c>
      <c r="D172">
        <v>492</v>
      </c>
      <c r="E172">
        <v>501.35998499999999</v>
      </c>
      <c r="F172">
        <v>501.21191399999998</v>
      </c>
      <c r="G172">
        <v>10420500</v>
      </c>
      <c r="I172">
        <f t="shared" si="8"/>
        <v>-3.7622900429947335E-2</v>
      </c>
      <c r="J172">
        <v>0</v>
      </c>
      <c r="K172">
        <f t="shared" si="6"/>
        <v>-3.7622900429947335E-2</v>
      </c>
      <c r="L172">
        <f t="shared" si="7"/>
        <v>-3.7622900429947337</v>
      </c>
      <c r="M172">
        <v>-1.45</v>
      </c>
    </row>
    <row r="173" spans="1:13" x14ac:dyDescent="0.2">
      <c r="A173" s="1">
        <v>44137</v>
      </c>
      <c r="B173">
        <v>506.30999800000001</v>
      </c>
      <c r="C173">
        <v>513.46997099999999</v>
      </c>
      <c r="D173">
        <v>495.79998799999998</v>
      </c>
      <c r="E173">
        <v>503.23001099999999</v>
      </c>
      <c r="F173">
        <v>503.08139</v>
      </c>
      <c r="G173">
        <v>7491300</v>
      </c>
      <c r="I173">
        <f t="shared" si="8"/>
        <v>3.7299113364651988E-3</v>
      </c>
      <c r="J173">
        <v>0</v>
      </c>
      <c r="K173">
        <f t="shared" si="6"/>
        <v>3.7299113364651988E-3</v>
      </c>
      <c r="L173">
        <f t="shared" si="7"/>
        <v>0.37299113364651987</v>
      </c>
      <c r="M173">
        <v>1.17</v>
      </c>
    </row>
    <row r="174" spans="1:13" x14ac:dyDescent="0.2">
      <c r="A174" s="1">
        <v>44138</v>
      </c>
      <c r="B174">
        <v>508.33999599999999</v>
      </c>
      <c r="C174">
        <v>524.20001200000002</v>
      </c>
      <c r="D174">
        <v>504.10998499999999</v>
      </c>
      <c r="E174">
        <v>520.78002900000001</v>
      </c>
      <c r="F174">
        <v>520.62622099999999</v>
      </c>
      <c r="G174">
        <v>6822500</v>
      </c>
      <c r="I174">
        <f t="shared" si="8"/>
        <v>3.4874736670342722E-2</v>
      </c>
      <c r="J174">
        <v>0</v>
      </c>
      <c r="K174">
        <f t="shared" si="6"/>
        <v>3.4874736670342722E-2</v>
      </c>
      <c r="L174">
        <f t="shared" si="7"/>
        <v>3.4874736670342723</v>
      </c>
      <c r="M174">
        <v>1.93</v>
      </c>
    </row>
    <row r="175" spans="1:13" x14ac:dyDescent="0.2">
      <c r="A175" s="1">
        <v>44139</v>
      </c>
      <c r="B175">
        <v>535.57000700000003</v>
      </c>
      <c r="C175">
        <v>553.09997599999997</v>
      </c>
      <c r="D175">
        <v>533.47997999999995</v>
      </c>
      <c r="E175">
        <v>551.77002000000005</v>
      </c>
      <c r="F175">
        <v>551.60705600000006</v>
      </c>
      <c r="G175">
        <v>10255700</v>
      </c>
      <c r="I175">
        <f t="shared" si="8"/>
        <v>5.9506866443440373E-2</v>
      </c>
      <c r="J175">
        <v>0</v>
      </c>
      <c r="K175">
        <f t="shared" si="6"/>
        <v>5.9506866443440373E-2</v>
      </c>
      <c r="L175">
        <f t="shared" si="7"/>
        <v>5.9506866443440369</v>
      </c>
      <c r="M175">
        <v>2.25</v>
      </c>
    </row>
    <row r="176" spans="1:13" x14ac:dyDescent="0.2">
      <c r="A176" s="1">
        <v>44140</v>
      </c>
      <c r="B176">
        <v>566.5</v>
      </c>
      <c r="C176">
        <v>573.55999799999995</v>
      </c>
      <c r="D176">
        <v>559.64001499999995</v>
      </c>
      <c r="E176">
        <v>566.40002400000003</v>
      </c>
      <c r="F176">
        <v>566.23272699999995</v>
      </c>
      <c r="G176">
        <v>7975700</v>
      </c>
      <c r="I176">
        <f t="shared" si="8"/>
        <v>2.6514655389034573E-2</v>
      </c>
      <c r="J176">
        <v>0</v>
      </c>
      <c r="K176">
        <f t="shared" si="6"/>
        <v>2.6514655389034573E-2</v>
      </c>
      <c r="L176">
        <f t="shared" si="7"/>
        <v>2.6514655389034574</v>
      </c>
      <c r="M176">
        <v>2.13</v>
      </c>
    </row>
    <row r="177" spans="1:13" x14ac:dyDescent="0.2">
      <c r="A177" s="1">
        <v>44141</v>
      </c>
      <c r="B177">
        <v>564.39001499999995</v>
      </c>
      <c r="C177">
        <v>583.54998799999998</v>
      </c>
      <c r="D177">
        <v>555.79998799999998</v>
      </c>
      <c r="E177">
        <v>582.47997999999995</v>
      </c>
      <c r="F177">
        <v>582.30792199999996</v>
      </c>
      <c r="G177">
        <v>9583700</v>
      </c>
      <c r="I177">
        <f t="shared" si="8"/>
        <v>2.8389731348043415E-2</v>
      </c>
      <c r="J177">
        <v>0</v>
      </c>
      <c r="K177">
        <f t="shared" si="6"/>
        <v>2.8389731348043415E-2</v>
      </c>
      <c r="L177">
        <f t="shared" si="7"/>
        <v>2.8389731348043417</v>
      </c>
      <c r="M177">
        <v>0.01</v>
      </c>
    </row>
    <row r="178" spans="1:13" x14ac:dyDescent="0.2">
      <c r="A178" s="1">
        <v>44144</v>
      </c>
      <c r="B178">
        <v>582.09997599999997</v>
      </c>
      <c r="C178">
        <v>587.65997300000004</v>
      </c>
      <c r="D178">
        <v>544.42999299999997</v>
      </c>
      <c r="E178">
        <v>545.22997999999995</v>
      </c>
      <c r="F178">
        <v>545.06897000000004</v>
      </c>
      <c r="G178">
        <v>14574400</v>
      </c>
      <c r="I178">
        <f t="shared" si="8"/>
        <v>-6.3950618896096573E-2</v>
      </c>
      <c r="J178">
        <v>0</v>
      </c>
      <c r="K178">
        <f t="shared" si="6"/>
        <v>-6.3950618896096573E-2</v>
      </c>
      <c r="L178">
        <f t="shared" si="7"/>
        <v>-6.3950618896096572</v>
      </c>
      <c r="M178">
        <v>0.82</v>
      </c>
    </row>
    <row r="179" spans="1:13" x14ac:dyDescent="0.2">
      <c r="A179" s="1">
        <v>44145</v>
      </c>
      <c r="B179">
        <v>544.26000999999997</v>
      </c>
      <c r="C179">
        <v>544.26000999999997</v>
      </c>
      <c r="D179">
        <v>505.13000499999998</v>
      </c>
      <c r="E179">
        <v>510.79998799999998</v>
      </c>
      <c r="F179">
        <v>510.64913899999999</v>
      </c>
      <c r="G179">
        <v>16101700</v>
      </c>
      <c r="I179">
        <f t="shared" si="8"/>
        <v>-6.3147661845435896E-2</v>
      </c>
      <c r="J179">
        <v>0</v>
      </c>
      <c r="K179">
        <f t="shared" si="6"/>
        <v>-6.3147661845435896E-2</v>
      </c>
      <c r="L179">
        <f t="shared" si="7"/>
        <v>-6.3147661845435898</v>
      </c>
      <c r="M179">
        <v>-0.17</v>
      </c>
    </row>
    <row r="180" spans="1:13" x14ac:dyDescent="0.2">
      <c r="A180" s="1">
        <v>44146</v>
      </c>
      <c r="B180">
        <v>522.15002400000003</v>
      </c>
      <c r="C180">
        <v>537.40002400000003</v>
      </c>
      <c r="D180">
        <v>517.92999299999997</v>
      </c>
      <c r="E180">
        <v>536.71997099999999</v>
      </c>
      <c r="F180">
        <v>536.56146200000001</v>
      </c>
      <c r="G180">
        <v>10118600</v>
      </c>
      <c r="I180">
        <f t="shared" si="8"/>
        <v>5.0743888554759739E-2</v>
      </c>
      <c r="J180">
        <v>0</v>
      </c>
      <c r="K180">
        <f t="shared" si="6"/>
        <v>5.0743888554759739E-2</v>
      </c>
      <c r="L180">
        <f t="shared" si="7"/>
        <v>5.0743888554759735</v>
      </c>
      <c r="M180">
        <v>0.88</v>
      </c>
    </row>
    <row r="181" spans="1:13" x14ac:dyDescent="0.2">
      <c r="A181" s="1">
        <v>44147</v>
      </c>
      <c r="B181">
        <v>539.15997300000004</v>
      </c>
      <c r="C181">
        <v>550.64001499999995</v>
      </c>
      <c r="D181">
        <v>532.64001499999995</v>
      </c>
      <c r="E181">
        <v>538.27002000000005</v>
      </c>
      <c r="F181">
        <v>538.11102300000005</v>
      </c>
      <c r="G181">
        <v>9145300</v>
      </c>
      <c r="I181">
        <f t="shared" si="8"/>
        <v>2.8879468797929431E-3</v>
      </c>
      <c r="J181">
        <v>0</v>
      </c>
      <c r="K181">
        <f t="shared" si="6"/>
        <v>2.8879468797929431E-3</v>
      </c>
      <c r="L181">
        <f t="shared" si="7"/>
        <v>0.28879468797929431</v>
      </c>
      <c r="M181">
        <v>-0.94</v>
      </c>
    </row>
    <row r="182" spans="1:13" x14ac:dyDescent="0.2">
      <c r="A182" s="1">
        <v>44148</v>
      </c>
      <c r="B182">
        <v>545.09002699999996</v>
      </c>
      <c r="C182">
        <v>546.75</v>
      </c>
      <c r="D182">
        <v>522.36999500000002</v>
      </c>
      <c r="E182">
        <v>531.88000499999998</v>
      </c>
      <c r="F182">
        <v>531.72289999999998</v>
      </c>
      <c r="G182">
        <v>8657800</v>
      </c>
      <c r="I182">
        <f t="shared" si="8"/>
        <v>-1.1871384764404025E-2</v>
      </c>
      <c r="J182">
        <v>0</v>
      </c>
      <c r="K182">
        <f t="shared" si="6"/>
        <v>-1.1871384764404025E-2</v>
      </c>
      <c r="L182">
        <f t="shared" si="7"/>
        <v>-1.1871384764404025</v>
      </c>
      <c r="M182">
        <v>1.31</v>
      </c>
    </row>
    <row r="183" spans="1:13" x14ac:dyDescent="0.2">
      <c r="A183" s="1">
        <v>44151</v>
      </c>
      <c r="B183">
        <v>526.90002400000003</v>
      </c>
      <c r="C183">
        <v>545.97997999999995</v>
      </c>
      <c r="D183">
        <v>526.23999000000003</v>
      </c>
      <c r="E183">
        <v>540.60998500000005</v>
      </c>
      <c r="F183">
        <v>540.45031700000004</v>
      </c>
      <c r="G183">
        <v>10344400</v>
      </c>
      <c r="I183">
        <f t="shared" si="8"/>
        <v>1.6413468368580816E-2</v>
      </c>
      <c r="J183">
        <v>0</v>
      </c>
      <c r="K183">
        <f t="shared" si="6"/>
        <v>1.6413468368580816E-2</v>
      </c>
      <c r="L183">
        <f t="shared" si="7"/>
        <v>1.6413468368580815</v>
      </c>
      <c r="M183">
        <v>1.22</v>
      </c>
    </row>
    <row r="184" spans="1:13" x14ac:dyDescent="0.2">
      <c r="A184" s="1">
        <v>44152</v>
      </c>
      <c r="B184">
        <v>542.09997599999997</v>
      </c>
      <c r="C184">
        <v>543.84997599999997</v>
      </c>
      <c r="D184">
        <v>532.15002400000003</v>
      </c>
      <c r="E184">
        <v>536.89001499999995</v>
      </c>
      <c r="F184">
        <v>536.73144500000001</v>
      </c>
      <c r="G184">
        <v>7800700</v>
      </c>
      <c r="I184">
        <f t="shared" si="8"/>
        <v>-6.8810617424432613E-3</v>
      </c>
      <c r="J184">
        <v>0</v>
      </c>
      <c r="K184">
        <f t="shared" si="6"/>
        <v>-6.8810617424432613E-3</v>
      </c>
      <c r="L184">
        <f t="shared" si="7"/>
        <v>-0.68810617424432619</v>
      </c>
      <c r="M184">
        <v>-0.19</v>
      </c>
    </row>
    <row r="185" spans="1:13" x14ac:dyDescent="0.2">
      <c r="A185" s="1">
        <v>44153</v>
      </c>
      <c r="B185">
        <v>538.60998500000005</v>
      </c>
      <c r="C185">
        <v>544.22997999999995</v>
      </c>
      <c r="D185">
        <v>527.40002400000003</v>
      </c>
      <c r="E185">
        <v>537.15002400000003</v>
      </c>
      <c r="F185">
        <v>536.99139400000001</v>
      </c>
      <c r="G185">
        <v>12773100</v>
      </c>
      <c r="I185">
        <f t="shared" si="8"/>
        <v>4.8431855897693117E-4</v>
      </c>
      <c r="J185">
        <v>0</v>
      </c>
      <c r="K185">
        <f t="shared" si="6"/>
        <v>4.8431855897693117E-4</v>
      </c>
      <c r="L185">
        <f t="shared" si="7"/>
        <v>4.8431855897693117E-2</v>
      </c>
      <c r="M185">
        <v>-0.93</v>
      </c>
    </row>
    <row r="186" spans="1:13" x14ac:dyDescent="0.2">
      <c r="A186" s="1">
        <v>44154</v>
      </c>
      <c r="B186">
        <v>528.51000999999997</v>
      </c>
      <c r="C186">
        <v>539.5</v>
      </c>
      <c r="D186">
        <v>524</v>
      </c>
      <c r="E186">
        <v>537.60998500000005</v>
      </c>
      <c r="F186">
        <v>537.451233</v>
      </c>
      <c r="G186">
        <v>14148400</v>
      </c>
      <c r="I186">
        <f t="shared" si="8"/>
        <v>8.5632471048500286E-4</v>
      </c>
      <c r="J186">
        <v>0</v>
      </c>
      <c r="K186">
        <f t="shared" si="6"/>
        <v>8.5632471048500286E-4</v>
      </c>
      <c r="L186">
        <f t="shared" si="7"/>
        <v>8.5632471048500289E-2</v>
      </c>
      <c r="M186">
        <v>0.59</v>
      </c>
    </row>
    <row r="187" spans="1:13" x14ac:dyDescent="0.2">
      <c r="A187" s="1">
        <v>44155</v>
      </c>
      <c r="B187">
        <v>538.15997300000004</v>
      </c>
      <c r="C187">
        <v>539.78002900000001</v>
      </c>
      <c r="D187">
        <v>522.59997599999997</v>
      </c>
      <c r="E187">
        <v>523.51000999999997</v>
      </c>
      <c r="F187">
        <v>523.35540800000001</v>
      </c>
      <c r="G187">
        <v>8527200</v>
      </c>
      <c r="I187">
        <f t="shared" si="8"/>
        <v>-2.6227170270535023E-2</v>
      </c>
      <c r="J187">
        <v>0</v>
      </c>
      <c r="K187">
        <f t="shared" si="6"/>
        <v>-2.6227170270535023E-2</v>
      </c>
      <c r="L187">
        <f t="shared" si="7"/>
        <v>-2.6227170270535023</v>
      </c>
      <c r="M187">
        <v>-0.51</v>
      </c>
    </row>
    <row r="188" spans="1:13" x14ac:dyDescent="0.2">
      <c r="A188" s="1">
        <v>44158</v>
      </c>
      <c r="B188">
        <v>526.84997599999997</v>
      </c>
      <c r="C188">
        <v>535.29998799999998</v>
      </c>
      <c r="D188">
        <v>520.61999500000002</v>
      </c>
      <c r="E188">
        <v>525.59997599999997</v>
      </c>
      <c r="F188">
        <v>525.44476299999997</v>
      </c>
      <c r="G188">
        <v>9033900</v>
      </c>
      <c r="I188">
        <f t="shared" si="8"/>
        <v>3.9922296933634725E-3</v>
      </c>
      <c r="J188">
        <v>0</v>
      </c>
      <c r="K188">
        <f t="shared" si="6"/>
        <v>3.9922296933634725E-3</v>
      </c>
      <c r="L188">
        <f t="shared" si="7"/>
        <v>0.39922296933634727</v>
      </c>
      <c r="M188">
        <v>0.83</v>
      </c>
    </row>
    <row r="189" spans="1:13" x14ac:dyDescent="0.2">
      <c r="A189" s="1">
        <v>44159</v>
      </c>
      <c r="B189">
        <v>525.70001200000002</v>
      </c>
      <c r="C189">
        <v>526.47997999999995</v>
      </c>
      <c r="D189">
        <v>515.40002400000003</v>
      </c>
      <c r="E189">
        <v>518.30999799999995</v>
      </c>
      <c r="F189">
        <v>518.15692100000001</v>
      </c>
      <c r="G189">
        <v>8662500</v>
      </c>
      <c r="I189">
        <f t="shared" si="8"/>
        <v>-1.3869853718572423E-2</v>
      </c>
      <c r="J189">
        <v>0</v>
      </c>
      <c r="K189">
        <f t="shared" si="6"/>
        <v>-1.3869853718572423E-2</v>
      </c>
      <c r="L189">
        <f t="shared" si="7"/>
        <v>-1.3869853718572422</v>
      </c>
      <c r="M189">
        <v>1.56</v>
      </c>
    </row>
    <row r="190" spans="1:13" x14ac:dyDescent="0.2">
      <c r="A190" s="1">
        <v>44160</v>
      </c>
      <c r="B190">
        <v>521.29998799999998</v>
      </c>
      <c r="C190">
        <v>530.78002900000001</v>
      </c>
      <c r="D190">
        <v>520.79998799999998</v>
      </c>
      <c r="E190">
        <v>529.39001499999995</v>
      </c>
      <c r="F190">
        <v>529.23364300000003</v>
      </c>
      <c r="G190">
        <v>6497900</v>
      </c>
      <c r="I190">
        <f t="shared" si="8"/>
        <v>2.1377157287840256E-2</v>
      </c>
      <c r="J190">
        <v>0</v>
      </c>
      <c r="K190">
        <f t="shared" si="6"/>
        <v>2.1377157287840256E-2</v>
      </c>
      <c r="L190">
        <f t="shared" si="7"/>
        <v>2.1377157287840256</v>
      </c>
      <c r="M190">
        <v>0.03</v>
      </c>
    </row>
    <row r="191" spans="1:13" x14ac:dyDescent="0.2">
      <c r="A191" s="1">
        <v>44162</v>
      </c>
      <c r="B191">
        <v>535</v>
      </c>
      <c r="C191">
        <v>536.29998799999998</v>
      </c>
      <c r="D191">
        <v>526.82000700000003</v>
      </c>
      <c r="E191">
        <v>530.45001200000002</v>
      </c>
      <c r="F191">
        <v>530.29333499999996</v>
      </c>
      <c r="G191">
        <v>4181900</v>
      </c>
      <c r="I191">
        <f t="shared" si="8"/>
        <v>2.0023141272595309E-3</v>
      </c>
      <c r="J191">
        <v>0</v>
      </c>
      <c r="K191">
        <f t="shared" si="6"/>
        <v>2.0023141272595309E-3</v>
      </c>
      <c r="L191">
        <f t="shared" si="7"/>
        <v>0.20023141272595307</v>
      </c>
      <c r="M191">
        <v>0.43</v>
      </c>
    </row>
    <row r="192" spans="1:13" x14ac:dyDescent="0.2">
      <c r="A192" s="1">
        <v>44165</v>
      </c>
      <c r="B192">
        <v>530.59997599999997</v>
      </c>
      <c r="C192">
        <v>536.5</v>
      </c>
      <c r="D192">
        <v>518.89001499999995</v>
      </c>
      <c r="E192">
        <v>536.05999799999995</v>
      </c>
      <c r="F192">
        <v>535.90167199999996</v>
      </c>
      <c r="G192">
        <v>7173800</v>
      </c>
      <c r="I192">
        <f t="shared" si="8"/>
        <v>1.0575914554913284E-2</v>
      </c>
      <c r="J192">
        <v>0</v>
      </c>
      <c r="K192">
        <f t="shared" si="6"/>
        <v>1.0575914554913284E-2</v>
      </c>
      <c r="L192">
        <f t="shared" si="7"/>
        <v>1.0575914554913284</v>
      </c>
      <c r="M192">
        <v>-0.53</v>
      </c>
    </row>
    <row r="193" spans="1:13" x14ac:dyDescent="0.2">
      <c r="A193" s="1">
        <v>44166</v>
      </c>
      <c r="B193">
        <v>539.69000200000005</v>
      </c>
      <c r="C193">
        <v>541.15002400000003</v>
      </c>
      <c r="D193">
        <v>529.13000499999998</v>
      </c>
      <c r="E193">
        <v>535.59997599999997</v>
      </c>
      <c r="F193">
        <v>535.44177200000001</v>
      </c>
      <c r="G193">
        <v>7439300</v>
      </c>
      <c r="I193">
        <f t="shared" si="8"/>
        <v>-8.5817981922614312E-4</v>
      </c>
      <c r="J193">
        <v>0</v>
      </c>
      <c r="K193">
        <f t="shared" si="6"/>
        <v>-8.5817981922614312E-4</v>
      </c>
      <c r="L193">
        <f t="shared" si="7"/>
        <v>-8.5817981922614306E-2</v>
      </c>
      <c r="M193">
        <v>0.98</v>
      </c>
    </row>
    <row r="194" spans="1:13" x14ac:dyDescent="0.2">
      <c r="A194" s="1">
        <v>44167</v>
      </c>
      <c r="B194">
        <v>534.02002000000005</v>
      </c>
      <c r="C194">
        <v>546.94000200000005</v>
      </c>
      <c r="D194">
        <v>529.36999500000002</v>
      </c>
      <c r="E194">
        <v>541.78002900000001</v>
      </c>
      <c r="F194">
        <v>541.61999500000002</v>
      </c>
      <c r="G194">
        <v>7084000</v>
      </c>
      <c r="I194">
        <f t="shared" si="8"/>
        <v>1.1538552505761546E-2</v>
      </c>
      <c r="J194">
        <v>0</v>
      </c>
      <c r="K194">
        <f t="shared" si="6"/>
        <v>1.1538552505761546E-2</v>
      </c>
      <c r="L194">
        <f t="shared" si="7"/>
        <v>1.1538552505761546</v>
      </c>
      <c r="M194">
        <v>0.11</v>
      </c>
    </row>
    <row r="195" spans="1:13" x14ac:dyDescent="0.2">
      <c r="A195" s="1">
        <v>44168</v>
      </c>
      <c r="B195">
        <v>543.5</v>
      </c>
      <c r="C195">
        <v>546.40002400000003</v>
      </c>
      <c r="D195">
        <v>533.15997300000004</v>
      </c>
      <c r="E195">
        <v>535.84002699999996</v>
      </c>
      <c r="F195">
        <v>535.84002699999996</v>
      </c>
      <c r="G195">
        <v>4988000</v>
      </c>
      <c r="I195">
        <f t="shared" si="8"/>
        <v>-1.067162965429305E-2</v>
      </c>
      <c r="J195">
        <v>0</v>
      </c>
      <c r="K195">
        <f t="shared" si="6"/>
        <v>-1.067162965429305E-2</v>
      </c>
      <c r="L195">
        <f t="shared" si="7"/>
        <v>-1.0671629654293051</v>
      </c>
      <c r="M195">
        <v>0.18</v>
      </c>
    </row>
    <row r="196" spans="1:13" x14ac:dyDescent="0.2">
      <c r="A196" s="1">
        <v>44169</v>
      </c>
      <c r="B196">
        <v>537.94000200000005</v>
      </c>
      <c r="C196">
        <v>542.40002400000003</v>
      </c>
      <c r="D196">
        <v>535.54998799999998</v>
      </c>
      <c r="E196">
        <v>542.330017</v>
      </c>
      <c r="F196">
        <v>542.330017</v>
      </c>
      <c r="G196">
        <v>5056100</v>
      </c>
      <c r="I196">
        <f t="shared" si="8"/>
        <v>1.2111805152622604E-2</v>
      </c>
      <c r="J196">
        <v>0</v>
      </c>
      <c r="K196">
        <f t="shared" ref="K196:K252" si="9">I196-J196</f>
        <v>1.2111805152622604E-2</v>
      </c>
      <c r="L196">
        <f t="shared" ref="L196:L252" si="10">100*K196</f>
        <v>1.2111805152622603</v>
      </c>
      <c r="M196">
        <v>1.02</v>
      </c>
    </row>
    <row r="197" spans="1:13" x14ac:dyDescent="0.2">
      <c r="A197" s="1">
        <v>44172</v>
      </c>
      <c r="B197">
        <v>544.04998799999998</v>
      </c>
      <c r="C197">
        <v>549.25</v>
      </c>
      <c r="D197">
        <v>540</v>
      </c>
      <c r="E197">
        <v>544.27002000000005</v>
      </c>
      <c r="F197">
        <v>544.27002000000005</v>
      </c>
      <c r="G197">
        <v>5581100</v>
      </c>
      <c r="I197">
        <f t="shared" ref="I197:I252" si="11">(F197-F196)/F196</f>
        <v>3.5771632385969278E-3</v>
      </c>
      <c r="J197">
        <v>0</v>
      </c>
      <c r="K197">
        <f t="shared" si="9"/>
        <v>3.5771632385969278E-3</v>
      </c>
      <c r="L197">
        <f t="shared" si="10"/>
        <v>0.35771632385969276</v>
      </c>
      <c r="M197">
        <v>0.03</v>
      </c>
    </row>
    <row r="198" spans="1:13" x14ac:dyDescent="0.2">
      <c r="A198" s="1">
        <v>44173</v>
      </c>
      <c r="B198">
        <v>543.40002400000003</v>
      </c>
      <c r="C198">
        <v>543.95001200000002</v>
      </c>
      <c r="D198">
        <v>531.26000999999997</v>
      </c>
      <c r="E198">
        <v>534</v>
      </c>
      <c r="F198">
        <v>534</v>
      </c>
      <c r="G198">
        <v>6798000</v>
      </c>
      <c r="I198">
        <f t="shared" si="11"/>
        <v>-1.8869347240548073E-2</v>
      </c>
      <c r="J198">
        <v>0</v>
      </c>
      <c r="K198">
        <f t="shared" si="9"/>
        <v>-1.8869347240548073E-2</v>
      </c>
      <c r="L198">
        <f t="shared" si="10"/>
        <v>-1.8869347240548073</v>
      </c>
      <c r="M198">
        <v>0.47</v>
      </c>
    </row>
    <row r="199" spans="1:13" x14ac:dyDescent="0.2">
      <c r="A199" s="1">
        <v>44174</v>
      </c>
      <c r="B199">
        <v>532.02002000000005</v>
      </c>
      <c r="C199">
        <v>536.55999799999995</v>
      </c>
      <c r="D199">
        <v>514.72997999999995</v>
      </c>
      <c r="E199">
        <v>517.22997999999995</v>
      </c>
      <c r="F199">
        <v>517.22997999999995</v>
      </c>
      <c r="G199">
        <v>10032500</v>
      </c>
      <c r="I199">
        <f t="shared" si="11"/>
        <v>-3.1404531835206077E-2</v>
      </c>
      <c r="J199">
        <v>0</v>
      </c>
      <c r="K199">
        <f t="shared" si="9"/>
        <v>-3.1404531835206077E-2</v>
      </c>
      <c r="L199">
        <f t="shared" si="10"/>
        <v>-3.1404531835206075</v>
      </c>
      <c r="M199">
        <v>-1.03</v>
      </c>
    </row>
    <row r="200" spans="1:13" x14ac:dyDescent="0.2">
      <c r="A200" s="1">
        <v>44175</v>
      </c>
      <c r="B200">
        <v>514.76000999999997</v>
      </c>
      <c r="C200">
        <v>522.75</v>
      </c>
      <c r="D200">
        <v>513.97997999999995</v>
      </c>
      <c r="E200">
        <v>518.89001499999995</v>
      </c>
      <c r="F200">
        <v>518.89001499999995</v>
      </c>
      <c r="G200">
        <v>5194100</v>
      </c>
      <c r="I200">
        <f t="shared" si="11"/>
        <v>3.2094717324776759E-3</v>
      </c>
      <c r="J200">
        <v>0</v>
      </c>
      <c r="K200">
        <f t="shared" si="9"/>
        <v>3.2094717324776759E-3</v>
      </c>
      <c r="L200">
        <f t="shared" si="10"/>
        <v>0.32094717324776761</v>
      </c>
      <c r="M200">
        <v>0.24</v>
      </c>
    </row>
    <row r="201" spans="1:13" x14ac:dyDescent="0.2">
      <c r="A201" s="1">
        <v>44176</v>
      </c>
      <c r="B201">
        <v>518.69000200000005</v>
      </c>
      <c r="C201">
        <v>520.79998799999998</v>
      </c>
      <c r="D201">
        <v>512.919983</v>
      </c>
      <c r="E201">
        <v>520.53002900000001</v>
      </c>
      <c r="F201">
        <v>520.53002900000001</v>
      </c>
      <c r="G201">
        <v>5231600</v>
      </c>
      <c r="I201">
        <f t="shared" si="11"/>
        <v>3.1606196931734461E-3</v>
      </c>
      <c r="J201">
        <v>0</v>
      </c>
      <c r="K201">
        <f t="shared" si="9"/>
        <v>3.1606196931734461E-3</v>
      </c>
      <c r="L201">
        <f t="shared" si="10"/>
        <v>0.31606196931734459</v>
      </c>
      <c r="M201">
        <v>-0.2</v>
      </c>
    </row>
    <row r="202" spans="1:13" x14ac:dyDescent="0.2">
      <c r="A202" s="1">
        <v>44179</v>
      </c>
      <c r="B202">
        <v>523.52002000000005</v>
      </c>
      <c r="C202">
        <v>535.54998799999998</v>
      </c>
      <c r="D202">
        <v>523.09997599999997</v>
      </c>
      <c r="E202">
        <v>532.34997599999997</v>
      </c>
      <c r="F202">
        <v>532.34997599999997</v>
      </c>
      <c r="G202">
        <v>6753900</v>
      </c>
      <c r="I202">
        <f t="shared" si="11"/>
        <v>2.2707521836362599E-2</v>
      </c>
      <c r="J202">
        <v>0</v>
      </c>
      <c r="K202">
        <f t="shared" si="9"/>
        <v>2.2707521836362599E-2</v>
      </c>
      <c r="L202">
        <f t="shared" si="10"/>
        <v>2.2707521836362599</v>
      </c>
      <c r="M202">
        <v>-0.28000000000000003</v>
      </c>
    </row>
    <row r="203" spans="1:13" x14ac:dyDescent="0.2">
      <c r="A203" s="1">
        <v>44180</v>
      </c>
      <c r="B203">
        <v>537.59002699999996</v>
      </c>
      <c r="C203">
        <v>538.55999799999995</v>
      </c>
      <c r="D203">
        <v>527.46997099999999</v>
      </c>
      <c r="E203">
        <v>534.419983</v>
      </c>
      <c r="F203">
        <v>534.419983</v>
      </c>
      <c r="G203">
        <v>4837100</v>
      </c>
      <c r="I203">
        <f t="shared" si="11"/>
        <v>3.8884325975813185E-3</v>
      </c>
      <c r="J203">
        <v>0</v>
      </c>
      <c r="K203">
        <f t="shared" si="9"/>
        <v>3.8884325975813185E-3</v>
      </c>
      <c r="L203">
        <f t="shared" si="10"/>
        <v>0.38884325975813183</v>
      </c>
      <c r="M203">
        <v>1.28</v>
      </c>
    </row>
    <row r="204" spans="1:13" x14ac:dyDescent="0.2">
      <c r="A204" s="1">
        <v>44181</v>
      </c>
      <c r="B204">
        <v>536.90002400000003</v>
      </c>
      <c r="C204">
        <v>537.48999000000003</v>
      </c>
      <c r="D204">
        <v>528.5</v>
      </c>
      <c r="E204">
        <v>529.70001200000002</v>
      </c>
      <c r="F204">
        <v>529.70001200000002</v>
      </c>
      <c r="G204">
        <v>5577900</v>
      </c>
      <c r="I204">
        <f t="shared" si="11"/>
        <v>-8.8319508067496548E-3</v>
      </c>
      <c r="J204">
        <v>0</v>
      </c>
      <c r="K204">
        <f t="shared" si="9"/>
        <v>-8.8319508067496548E-3</v>
      </c>
      <c r="L204">
        <f t="shared" si="10"/>
        <v>-0.88319508067496544</v>
      </c>
      <c r="M204">
        <v>0.17</v>
      </c>
    </row>
    <row r="205" spans="1:13" x14ac:dyDescent="0.2">
      <c r="A205" s="1">
        <v>44182</v>
      </c>
      <c r="B205">
        <v>534.669983</v>
      </c>
      <c r="C205">
        <v>535.17999299999997</v>
      </c>
      <c r="D205">
        <v>527.14001499999995</v>
      </c>
      <c r="E205">
        <v>533.65002400000003</v>
      </c>
      <c r="F205">
        <v>533.65002400000003</v>
      </c>
      <c r="G205">
        <v>5784600</v>
      </c>
      <c r="I205">
        <f t="shared" si="11"/>
        <v>7.4570736464321906E-3</v>
      </c>
      <c r="J205">
        <v>0</v>
      </c>
      <c r="K205">
        <f t="shared" si="9"/>
        <v>7.4570736464321906E-3</v>
      </c>
      <c r="L205">
        <f t="shared" si="10"/>
        <v>0.74570736464321907</v>
      </c>
      <c r="M205">
        <v>0.79</v>
      </c>
    </row>
    <row r="206" spans="1:13" x14ac:dyDescent="0.2">
      <c r="A206" s="1">
        <v>44183</v>
      </c>
      <c r="B206">
        <v>535.15997300000004</v>
      </c>
      <c r="C206">
        <v>536.20001200000002</v>
      </c>
      <c r="D206">
        <v>522.82000700000003</v>
      </c>
      <c r="E206">
        <v>530.88000499999998</v>
      </c>
      <c r="F206">
        <v>530.88000499999998</v>
      </c>
      <c r="G206">
        <v>8551600</v>
      </c>
      <c r="I206">
        <f t="shared" si="11"/>
        <v>-5.190703411267995E-3</v>
      </c>
      <c r="J206">
        <v>0</v>
      </c>
      <c r="K206">
        <f t="shared" si="9"/>
        <v>-5.190703411267995E-3</v>
      </c>
      <c r="L206">
        <f t="shared" si="10"/>
        <v>-0.51907034112679951</v>
      </c>
      <c r="M206">
        <v>-0.12</v>
      </c>
    </row>
    <row r="207" spans="1:13" x14ac:dyDescent="0.2">
      <c r="A207" s="1">
        <v>44186</v>
      </c>
      <c r="B207">
        <v>522.98999000000003</v>
      </c>
      <c r="C207">
        <v>534.79998799999998</v>
      </c>
      <c r="D207">
        <v>518.70001200000002</v>
      </c>
      <c r="E207">
        <v>533.28997800000002</v>
      </c>
      <c r="F207">
        <v>533.28997800000002</v>
      </c>
      <c r="G207">
        <v>7558300</v>
      </c>
      <c r="I207">
        <f t="shared" si="11"/>
        <v>4.5395814069132939E-3</v>
      </c>
      <c r="J207">
        <v>0</v>
      </c>
      <c r="K207">
        <f t="shared" si="9"/>
        <v>4.5395814069132939E-3</v>
      </c>
      <c r="L207">
        <f t="shared" si="10"/>
        <v>0.45395814069132939</v>
      </c>
      <c r="M207">
        <v>-0.23</v>
      </c>
    </row>
    <row r="208" spans="1:13" x14ac:dyDescent="0.2">
      <c r="A208" s="1">
        <v>44187</v>
      </c>
      <c r="B208">
        <v>532.77002000000005</v>
      </c>
      <c r="C208">
        <v>533.48999000000003</v>
      </c>
      <c r="D208">
        <v>522.15997300000004</v>
      </c>
      <c r="E208">
        <v>531.13000499999998</v>
      </c>
      <c r="F208">
        <v>531.13000499999998</v>
      </c>
      <c r="G208">
        <v>4639500</v>
      </c>
      <c r="I208">
        <f t="shared" si="11"/>
        <v>-4.0502786272125224E-3</v>
      </c>
      <c r="J208">
        <v>0</v>
      </c>
      <c r="K208">
        <f t="shared" si="9"/>
        <v>-4.0502786272125224E-3</v>
      </c>
      <c r="L208">
        <f t="shared" si="10"/>
        <v>-0.40502786272125224</v>
      </c>
      <c r="M208">
        <v>0.06</v>
      </c>
    </row>
    <row r="209" spans="1:13" x14ac:dyDescent="0.2">
      <c r="A209" s="1">
        <v>44188</v>
      </c>
      <c r="B209">
        <v>530.23999000000003</v>
      </c>
      <c r="C209">
        <v>531</v>
      </c>
      <c r="D209">
        <v>520.20001200000002</v>
      </c>
      <c r="E209">
        <v>520.36999500000002</v>
      </c>
      <c r="F209">
        <v>520.36999500000002</v>
      </c>
      <c r="G209">
        <v>4478600</v>
      </c>
      <c r="I209">
        <f t="shared" si="11"/>
        <v>-2.0258712365534622E-2</v>
      </c>
      <c r="J209">
        <v>0</v>
      </c>
      <c r="K209">
        <f t="shared" si="9"/>
        <v>-2.0258712365534622E-2</v>
      </c>
      <c r="L209">
        <f t="shared" si="10"/>
        <v>-2.0258712365534621</v>
      </c>
      <c r="M209">
        <v>0.1</v>
      </c>
    </row>
    <row r="210" spans="1:13" x14ac:dyDescent="0.2">
      <c r="A210" s="1">
        <v>44189</v>
      </c>
      <c r="B210">
        <v>521.48999000000003</v>
      </c>
      <c r="C210">
        <v>525.29998799999998</v>
      </c>
      <c r="D210">
        <v>517.54998799999998</v>
      </c>
      <c r="E210">
        <v>519.75</v>
      </c>
      <c r="F210">
        <v>519.75</v>
      </c>
      <c r="G210">
        <v>2447100</v>
      </c>
      <c r="I210">
        <f t="shared" si="11"/>
        <v>-1.1914503256476522E-3</v>
      </c>
      <c r="J210">
        <v>0</v>
      </c>
      <c r="K210">
        <f t="shared" si="9"/>
        <v>-1.1914503256476522E-3</v>
      </c>
      <c r="L210">
        <f t="shared" si="10"/>
        <v>-0.11914503256476522</v>
      </c>
      <c r="M210">
        <v>0.21</v>
      </c>
    </row>
    <row r="211" spans="1:13" x14ac:dyDescent="0.2">
      <c r="A211" s="1">
        <v>44193</v>
      </c>
      <c r="B211">
        <v>522.5</v>
      </c>
      <c r="C211">
        <v>522.5</v>
      </c>
      <c r="D211">
        <v>510.52999899999998</v>
      </c>
      <c r="E211">
        <v>516</v>
      </c>
      <c r="F211">
        <v>516</v>
      </c>
      <c r="G211">
        <v>5314100</v>
      </c>
      <c r="I211">
        <f t="shared" si="11"/>
        <v>-7.215007215007215E-3</v>
      </c>
      <c r="J211">
        <v>0</v>
      </c>
      <c r="K211">
        <f t="shared" si="9"/>
        <v>-7.215007215007215E-3</v>
      </c>
      <c r="L211">
        <f t="shared" si="10"/>
        <v>-0.72150072150072153</v>
      </c>
      <c r="M211">
        <v>0.46</v>
      </c>
    </row>
    <row r="212" spans="1:13" x14ac:dyDescent="0.2">
      <c r="A212" s="1">
        <v>44194</v>
      </c>
      <c r="B212">
        <v>517</v>
      </c>
      <c r="C212">
        <v>522.90002400000003</v>
      </c>
      <c r="D212">
        <v>513.69000200000005</v>
      </c>
      <c r="E212">
        <v>517.72997999999995</v>
      </c>
      <c r="F212">
        <v>517.72997999999995</v>
      </c>
      <c r="G212">
        <v>4259300</v>
      </c>
      <c r="I212">
        <f t="shared" si="11"/>
        <v>3.3526744186045641E-3</v>
      </c>
      <c r="J212">
        <v>0</v>
      </c>
      <c r="K212">
        <f t="shared" si="9"/>
        <v>3.3526744186045641E-3</v>
      </c>
      <c r="L212">
        <f t="shared" si="10"/>
        <v>0.33526744186045643</v>
      </c>
      <c r="M212">
        <v>-0.4</v>
      </c>
    </row>
    <row r="213" spans="1:13" x14ac:dyDescent="0.2">
      <c r="A213" s="1">
        <v>44195</v>
      </c>
      <c r="B213">
        <v>519.60998500000005</v>
      </c>
      <c r="C213">
        <v>528.54998799999998</v>
      </c>
      <c r="D213">
        <v>515.86999500000002</v>
      </c>
      <c r="E213">
        <v>525.830017</v>
      </c>
      <c r="F213">
        <v>525.830017</v>
      </c>
      <c r="G213">
        <v>5634900</v>
      </c>
      <c r="I213">
        <f t="shared" si="11"/>
        <v>1.5645292551920681E-2</v>
      </c>
      <c r="J213">
        <v>0</v>
      </c>
      <c r="K213">
        <f t="shared" si="9"/>
        <v>1.5645292551920681E-2</v>
      </c>
      <c r="L213">
        <f t="shared" si="10"/>
        <v>1.5645292551920682</v>
      </c>
      <c r="M213">
        <v>0.27</v>
      </c>
    </row>
    <row r="214" spans="1:13" x14ac:dyDescent="0.2">
      <c r="A214" s="1">
        <v>44196</v>
      </c>
      <c r="B214">
        <v>525.46002199999998</v>
      </c>
      <c r="C214">
        <v>526.03997800000002</v>
      </c>
      <c r="D214">
        <v>516.59997599999997</v>
      </c>
      <c r="E214">
        <v>522.20001200000002</v>
      </c>
      <c r="F214">
        <v>522.20001200000002</v>
      </c>
      <c r="G214">
        <v>4810600</v>
      </c>
      <c r="I214">
        <f t="shared" si="11"/>
        <v>-6.9033810977740034E-3</v>
      </c>
      <c r="J214">
        <v>0</v>
      </c>
      <c r="K214">
        <f t="shared" si="9"/>
        <v>-6.9033810977740034E-3</v>
      </c>
      <c r="L214">
        <f t="shared" si="10"/>
        <v>-0.69033810977740029</v>
      </c>
      <c r="M214">
        <v>0.39</v>
      </c>
    </row>
    <row r="215" spans="1:13" x14ac:dyDescent="0.2">
      <c r="A215" s="1">
        <v>44200</v>
      </c>
      <c r="B215">
        <v>524.169983</v>
      </c>
      <c r="C215">
        <v>546.09997599999997</v>
      </c>
      <c r="D215">
        <v>518.5</v>
      </c>
      <c r="E215">
        <v>524.53997800000002</v>
      </c>
      <c r="F215">
        <v>524.53997800000002</v>
      </c>
      <c r="G215">
        <v>14016000</v>
      </c>
      <c r="I215">
        <f t="shared" si="11"/>
        <v>4.4809765343322202E-3</v>
      </c>
      <c r="J215">
        <v>0</v>
      </c>
      <c r="K215">
        <f t="shared" si="9"/>
        <v>4.4809765343322202E-3</v>
      </c>
      <c r="L215">
        <f t="shared" si="10"/>
        <v>0.448097653433222</v>
      </c>
      <c r="M215">
        <v>-1.41</v>
      </c>
    </row>
    <row r="216" spans="1:13" x14ac:dyDescent="0.2">
      <c r="A216" s="1">
        <v>44201</v>
      </c>
      <c r="B216">
        <v>523.98999000000003</v>
      </c>
      <c r="C216">
        <v>537.73999000000003</v>
      </c>
      <c r="D216">
        <v>523.47997999999995</v>
      </c>
      <c r="E216">
        <v>536.19000200000005</v>
      </c>
      <c r="F216">
        <v>536.19000200000005</v>
      </c>
      <c r="G216">
        <v>8069000</v>
      </c>
      <c r="I216">
        <f t="shared" si="11"/>
        <v>2.2209983011056651E-2</v>
      </c>
      <c r="J216">
        <v>0</v>
      </c>
      <c r="K216">
        <f t="shared" si="9"/>
        <v>2.2209983011056651E-2</v>
      </c>
      <c r="L216">
        <f t="shared" si="10"/>
        <v>2.2209983011056651</v>
      </c>
      <c r="M216">
        <v>0.86</v>
      </c>
    </row>
    <row r="217" spans="1:13" x14ac:dyDescent="0.2">
      <c r="A217" s="1">
        <v>44202</v>
      </c>
      <c r="B217">
        <v>528.90002400000003</v>
      </c>
      <c r="C217">
        <v>529.79998799999998</v>
      </c>
      <c r="D217">
        <v>503.44000199999999</v>
      </c>
      <c r="E217">
        <v>504.57998700000002</v>
      </c>
      <c r="F217">
        <v>504.57998700000002</v>
      </c>
      <c r="G217">
        <v>14510600</v>
      </c>
      <c r="I217">
        <f t="shared" si="11"/>
        <v>-5.8953010839616571E-2</v>
      </c>
      <c r="J217">
        <v>0</v>
      </c>
      <c r="K217">
        <f t="shared" si="9"/>
        <v>-5.8953010839616571E-2</v>
      </c>
      <c r="L217">
        <f t="shared" si="10"/>
        <v>-5.8953010839616571</v>
      </c>
      <c r="M217">
        <v>0.79</v>
      </c>
    </row>
    <row r="218" spans="1:13" x14ac:dyDescent="0.2">
      <c r="A218" s="1">
        <v>44203</v>
      </c>
      <c r="B218">
        <v>518.70001200000002</v>
      </c>
      <c r="C218">
        <v>535.10998500000005</v>
      </c>
      <c r="D218">
        <v>515.46002199999998</v>
      </c>
      <c r="E218">
        <v>533.76000999999997</v>
      </c>
      <c r="F218">
        <v>533.76000999999997</v>
      </c>
      <c r="G218">
        <v>11537000</v>
      </c>
      <c r="I218">
        <f t="shared" si="11"/>
        <v>5.7830321756300547E-2</v>
      </c>
      <c r="J218">
        <v>0</v>
      </c>
      <c r="K218">
        <f t="shared" si="9"/>
        <v>5.7830321756300547E-2</v>
      </c>
      <c r="L218">
        <f t="shared" si="10"/>
        <v>5.7830321756300549</v>
      </c>
      <c r="M218">
        <v>1.76</v>
      </c>
    </row>
    <row r="219" spans="1:13" x14ac:dyDescent="0.2">
      <c r="A219" s="1">
        <v>44204</v>
      </c>
      <c r="B219">
        <v>534.5</v>
      </c>
      <c r="C219">
        <v>536.84002699999996</v>
      </c>
      <c r="D219">
        <v>521.67999299999997</v>
      </c>
      <c r="E219">
        <v>531.07000700000003</v>
      </c>
      <c r="F219">
        <v>531.07000700000003</v>
      </c>
      <c r="G219">
        <v>7313200</v>
      </c>
      <c r="I219">
        <f t="shared" si="11"/>
        <v>-5.0397237515038516E-3</v>
      </c>
      <c r="J219">
        <v>0</v>
      </c>
      <c r="K219">
        <f t="shared" si="9"/>
        <v>-5.0397237515038516E-3</v>
      </c>
      <c r="L219">
        <f t="shared" si="10"/>
        <v>-0.50397237515038518</v>
      </c>
      <c r="M219">
        <v>0.51</v>
      </c>
    </row>
    <row r="220" spans="1:13" x14ac:dyDescent="0.2">
      <c r="A220" s="1">
        <v>44207</v>
      </c>
      <c r="B220">
        <v>536.75</v>
      </c>
      <c r="C220">
        <v>558.44000200000005</v>
      </c>
      <c r="D220">
        <v>534.5</v>
      </c>
      <c r="E220">
        <v>544.85998500000005</v>
      </c>
      <c r="F220">
        <v>544.85998500000005</v>
      </c>
      <c r="G220">
        <v>12975700</v>
      </c>
      <c r="I220">
        <f t="shared" si="11"/>
        <v>2.596640333333684E-2</v>
      </c>
      <c r="J220">
        <v>0</v>
      </c>
      <c r="K220">
        <f t="shared" si="9"/>
        <v>2.596640333333684E-2</v>
      </c>
      <c r="L220">
        <f t="shared" si="10"/>
        <v>2.596640333333684</v>
      </c>
      <c r="M220">
        <v>-0.51</v>
      </c>
    </row>
    <row r="221" spans="1:13" x14ac:dyDescent="0.2">
      <c r="A221" s="1">
        <v>44208</v>
      </c>
      <c r="B221">
        <v>550.09997599999997</v>
      </c>
      <c r="C221">
        <v>550.17999299999997</v>
      </c>
      <c r="D221">
        <v>533.79998799999998</v>
      </c>
      <c r="E221">
        <v>539.39001499999995</v>
      </c>
      <c r="F221">
        <v>539.39001499999995</v>
      </c>
      <c r="G221">
        <v>7286900</v>
      </c>
      <c r="I221">
        <f t="shared" si="11"/>
        <v>-1.0039221360695266E-2</v>
      </c>
      <c r="J221">
        <v>0</v>
      </c>
      <c r="K221">
        <f t="shared" si="9"/>
        <v>-1.0039221360695266E-2</v>
      </c>
      <c r="L221">
        <f t="shared" si="10"/>
        <v>-1.0039221360695265</v>
      </c>
      <c r="M221">
        <v>0.38</v>
      </c>
    </row>
    <row r="222" spans="1:13" x14ac:dyDescent="0.2">
      <c r="A222" s="1">
        <v>44209</v>
      </c>
      <c r="B222">
        <v>539.59997599999997</v>
      </c>
      <c r="C222">
        <v>545</v>
      </c>
      <c r="D222">
        <v>535.40002400000003</v>
      </c>
      <c r="E222">
        <v>541.27002000000005</v>
      </c>
      <c r="F222">
        <v>541.27002000000005</v>
      </c>
      <c r="G222">
        <v>5250700</v>
      </c>
      <c r="I222">
        <f t="shared" si="11"/>
        <v>3.485427886536047E-3</v>
      </c>
      <c r="J222">
        <v>0</v>
      </c>
      <c r="K222">
        <f t="shared" si="9"/>
        <v>3.485427886536047E-3</v>
      </c>
      <c r="L222">
        <f t="shared" si="10"/>
        <v>0.34854278865360472</v>
      </c>
      <c r="M222">
        <v>7.0000000000000007E-2</v>
      </c>
    </row>
    <row r="223" spans="1:13" x14ac:dyDescent="0.2">
      <c r="A223" s="1">
        <v>44210</v>
      </c>
      <c r="B223">
        <v>543</v>
      </c>
      <c r="C223">
        <v>543.98999000000003</v>
      </c>
      <c r="D223">
        <v>527.21997099999999</v>
      </c>
      <c r="E223">
        <v>528.01000999999997</v>
      </c>
      <c r="F223">
        <v>528.01000999999997</v>
      </c>
      <c r="G223">
        <v>7078000</v>
      </c>
      <c r="I223">
        <f t="shared" si="11"/>
        <v>-2.4497957599794791E-2</v>
      </c>
      <c r="J223">
        <v>0</v>
      </c>
      <c r="K223">
        <f t="shared" si="9"/>
        <v>-2.4497957599794791E-2</v>
      </c>
      <c r="L223">
        <f t="shared" si="10"/>
        <v>-2.4497957599794793</v>
      </c>
      <c r="M223">
        <v>-0.11</v>
      </c>
    </row>
    <row r="224" spans="1:13" x14ac:dyDescent="0.2">
      <c r="A224" s="1">
        <v>44211</v>
      </c>
      <c r="B224">
        <v>529.11999500000002</v>
      </c>
      <c r="C224">
        <v>533.01000999999997</v>
      </c>
      <c r="D224">
        <v>513.94000200000005</v>
      </c>
      <c r="E224">
        <v>514.38000499999998</v>
      </c>
      <c r="F224">
        <v>514.38000499999998</v>
      </c>
      <c r="G224">
        <v>6944500</v>
      </c>
      <c r="I224">
        <f t="shared" si="11"/>
        <v>-2.5813914020304245E-2</v>
      </c>
      <c r="J224">
        <v>0</v>
      </c>
      <c r="K224">
        <f t="shared" si="9"/>
        <v>-2.5813914020304245E-2</v>
      </c>
      <c r="L224">
        <f t="shared" si="10"/>
        <v>-2.5813914020304245</v>
      </c>
      <c r="M224">
        <v>-0.86</v>
      </c>
    </row>
    <row r="225" spans="1:13" x14ac:dyDescent="0.2">
      <c r="A225" s="1">
        <v>44215</v>
      </c>
      <c r="B225">
        <v>520.65002400000003</v>
      </c>
      <c r="C225">
        <v>523.76000999999997</v>
      </c>
      <c r="D225">
        <v>513.76000999999997</v>
      </c>
      <c r="E225">
        <v>521.01000999999997</v>
      </c>
      <c r="F225">
        <v>521.01000999999997</v>
      </c>
      <c r="G225">
        <v>5654700</v>
      </c>
      <c r="I225">
        <f t="shared" si="11"/>
        <v>1.2889313222818572E-2</v>
      </c>
      <c r="J225">
        <v>0</v>
      </c>
      <c r="K225">
        <f t="shared" si="9"/>
        <v>1.2889313222818572E-2</v>
      </c>
      <c r="L225">
        <f t="shared" si="10"/>
        <v>1.2889313222818573</v>
      </c>
      <c r="M225">
        <v>0.91</v>
      </c>
    </row>
    <row r="226" spans="1:13" x14ac:dyDescent="0.2">
      <c r="A226" s="1">
        <v>44216</v>
      </c>
      <c r="B226">
        <v>524.46997099999999</v>
      </c>
      <c r="C226">
        <v>537.21997099999999</v>
      </c>
      <c r="D226">
        <v>522.27002000000005</v>
      </c>
      <c r="E226">
        <v>534.63000499999998</v>
      </c>
      <c r="F226">
        <v>534.63000499999998</v>
      </c>
      <c r="G226">
        <v>6464300</v>
      </c>
      <c r="I226">
        <f t="shared" si="11"/>
        <v>2.6141522693585134E-2</v>
      </c>
      <c r="J226">
        <v>0</v>
      </c>
      <c r="K226">
        <f t="shared" si="9"/>
        <v>2.6141522693585134E-2</v>
      </c>
      <c r="L226">
        <f t="shared" si="10"/>
        <v>2.6141522693585135</v>
      </c>
      <c r="M226">
        <v>1.26</v>
      </c>
    </row>
    <row r="227" spans="1:13" x14ac:dyDescent="0.2">
      <c r="A227" s="1">
        <v>44217</v>
      </c>
      <c r="B227">
        <v>536.73999000000003</v>
      </c>
      <c r="C227">
        <v>559.96997099999999</v>
      </c>
      <c r="D227">
        <v>530.11999500000002</v>
      </c>
      <c r="E227">
        <v>554.70001200000002</v>
      </c>
      <c r="F227">
        <v>554.70001200000002</v>
      </c>
      <c r="G227">
        <v>8458500</v>
      </c>
      <c r="I227">
        <f t="shared" si="11"/>
        <v>3.7539993663468316E-2</v>
      </c>
      <c r="J227">
        <v>0</v>
      </c>
      <c r="K227">
        <f t="shared" si="9"/>
        <v>3.7539993663468316E-2</v>
      </c>
      <c r="L227">
        <f t="shared" si="10"/>
        <v>3.7539993663468314</v>
      </c>
      <c r="M227">
        <v>-0.04</v>
      </c>
    </row>
    <row r="228" spans="1:13" x14ac:dyDescent="0.2">
      <c r="A228" s="1">
        <v>44218</v>
      </c>
      <c r="B228">
        <v>549.59997599999997</v>
      </c>
      <c r="C228">
        <v>553.669983</v>
      </c>
      <c r="D228">
        <v>545.09002699999996</v>
      </c>
      <c r="E228">
        <v>548.5</v>
      </c>
      <c r="F228">
        <v>548.5</v>
      </c>
      <c r="G228">
        <v>6170500</v>
      </c>
      <c r="I228">
        <f t="shared" si="11"/>
        <v>-1.1177234299392831E-2</v>
      </c>
      <c r="J228">
        <v>0</v>
      </c>
      <c r="K228">
        <f t="shared" si="9"/>
        <v>-1.1177234299392831E-2</v>
      </c>
      <c r="L228">
        <f t="shared" si="10"/>
        <v>-1.1177234299392831</v>
      </c>
      <c r="M228">
        <v>-7.0000000000000007E-2</v>
      </c>
    </row>
    <row r="229" spans="1:13" x14ac:dyDescent="0.2">
      <c r="A229" s="1">
        <v>44221</v>
      </c>
      <c r="B229">
        <v>551.27002000000005</v>
      </c>
      <c r="C229">
        <v>553.14001499999995</v>
      </c>
      <c r="D229">
        <v>529.46002199999998</v>
      </c>
      <c r="E229">
        <v>546.13000499999998</v>
      </c>
      <c r="F229">
        <v>546.13000499999998</v>
      </c>
      <c r="G229">
        <v>6277800</v>
      </c>
      <c r="I229">
        <f t="shared" si="11"/>
        <v>-4.3208659981768772E-3</v>
      </c>
      <c r="J229">
        <v>0</v>
      </c>
      <c r="K229">
        <f t="shared" si="9"/>
        <v>-4.3208659981768772E-3</v>
      </c>
      <c r="L229">
        <f t="shared" si="10"/>
        <v>-0.43208659981768771</v>
      </c>
      <c r="M229">
        <v>0.28000000000000003</v>
      </c>
    </row>
    <row r="230" spans="1:13" x14ac:dyDescent="0.2">
      <c r="A230" s="1">
        <v>44222</v>
      </c>
      <c r="B230">
        <v>543.21997099999999</v>
      </c>
      <c r="C230">
        <v>545.78997800000002</v>
      </c>
      <c r="D230">
        <v>535.5</v>
      </c>
      <c r="E230">
        <v>537.40997300000004</v>
      </c>
      <c r="F230">
        <v>537.40997300000004</v>
      </c>
      <c r="G230">
        <v>4099500</v>
      </c>
      <c r="I230">
        <f t="shared" si="11"/>
        <v>-1.5966952777113842E-2</v>
      </c>
      <c r="J230">
        <v>0</v>
      </c>
      <c r="K230">
        <f t="shared" si="9"/>
        <v>-1.5966952777113842E-2</v>
      </c>
      <c r="L230">
        <f t="shared" si="10"/>
        <v>-1.5966952777113841</v>
      </c>
      <c r="M230">
        <v>-0.32</v>
      </c>
    </row>
    <row r="231" spans="1:13" x14ac:dyDescent="0.2">
      <c r="A231" s="1">
        <v>44223</v>
      </c>
      <c r="B231">
        <v>529.20001200000002</v>
      </c>
      <c r="C231">
        <v>529.30999799999995</v>
      </c>
      <c r="D231">
        <v>511.75</v>
      </c>
      <c r="E231">
        <v>516.71002199999998</v>
      </c>
      <c r="F231">
        <v>516.71002199999998</v>
      </c>
      <c r="G231">
        <v>9281800</v>
      </c>
      <c r="I231">
        <f t="shared" si="11"/>
        <v>-3.8517988202649255E-2</v>
      </c>
      <c r="J231">
        <v>0</v>
      </c>
      <c r="K231">
        <f t="shared" si="9"/>
        <v>-3.8517988202649255E-2</v>
      </c>
      <c r="L231">
        <f t="shared" si="10"/>
        <v>-3.8517988202649254</v>
      </c>
      <c r="M231">
        <v>-2.5299999999999998</v>
      </c>
    </row>
    <row r="232" spans="1:13" x14ac:dyDescent="0.2">
      <c r="A232" s="1">
        <v>44224</v>
      </c>
      <c r="B232">
        <v>519.84997599999997</v>
      </c>
      <c r="C232">
        <v>533.59002699999996</v>
      </c>
      <c r="D232">
        <v>518.419983</v>
      </c>
      <c r="E232">
        <v>522.03997800000002</v>
      </c>
      <c r="F232">
        <v>522.03997800000002</v>
      </c>
      <c r="G232">
        <v>5707900</v>
      </c>
      <c r="I232">
        <f t="shared" si="11"/>
        <v>1.0315178287755446E-2</v>
      </c>
      <c r="J232">
        <v>0</v>
      </c>
      <c r="K232">
        <f t="shared" si="9"/>
        <v>1.0315178287755446E-2</v>
      </c>
      <c r="L232">
        <f t="shared" si="10"/>
        <v>1.0315178287755447</v>
      </c>
      <c r="M232">
        <v>0.92</v>
      </c>
    </row>
    <row r="233" spans="1:13" x14ac:dyDescent="0.2">
      <c r="A233" s="1">
        <v>44225</v>
      </c>
      <c r="B233">
        <v>523</v>
      </c>
      <c r="C233">
        <v>533.39001499999995</v>
      </c>
      <c r="D233">
        <v>516.46002199999998</v>
      </c>
      <c r="E233">
        <v>519.59002699999996</v>
      </c>
      <c r="F233">
        <v>519.59002699999996</v>
      </c>
      <c r="G233">
        <v>6777800</v>
      </c>
      <c r="I233">
        <f t="shared" si="11"/>
        <v>-4.6930332986874343E-3</v>
      </c>
      <c r="J233">
        <v>0</v>
      </c>
      <c r="K233">
        <f t="shared" si="9"/>
        <v>-4.6930332986874343E-3</v>
      </c>
      <c r="L233">
        <f t="shared" si="10"/>
        <v>-0.4693033298687434</v>
      </c>
      <c r="M233">
        <v>-1.84</v>
      </c>
    </row>
    <row r="234" spans="1:13" x14ac:dyDescent="0.2">
      <c r="A234" s="1">
        <v>44228</v>
      </c>
      <c r="B234">
        <v>522.13000499999998</v>
      </c>
      <c r="C234">
        <v>530.830017</v>
      </c>
      <c r="D234">
        <v>516.10998500000005</v>
      </c>
      <c r="E234">
        <v>529.47997999999995</v>
      </c>
      <c r="F234">
        <v>529.47997999999995</v>
      </c>
      <c r="G234">
        <v>5430100</v>
      </c>
      <c r="I234">
        <f t="shared" si="11"/>
        <v>1.9034147089201141E-2</v>
      </c>
      <c r="J234">
        <v>0</v>
      </c>
      <c r="K234">
        <f t="shared" si="9"/>
        <v>1.9034147089201141E-2</v>
      </c>
      <c r="L234">
        <f t="shared" si="10"/>
        <v>1.9034147089201141</v>
      </c>
      <c r="M234">
        <v>1.73</v>
      </c>
    </row>
    <row r="235" spans="1:13" x14ac:dyDescent="0.2">
      <c r="A235" s="1">
        <v>44229</v>
      </c>
      <c r="B235">
        <v>535.95001200000002</v>
      </c>
      <c r="C235">
        <v>542.88000499999998</v>
      </c>
      <c r="D235">
        <v>531.419983</v>
      </c>
      <c r="E235">
        <v>542.27002000000005</v>
      </c>
      <c r="F235">
        <v>542.27002000000005</v>
      </c>
      <c r="G235">
        <v>5511000</v>
      </c>
      <c r="I235">
        <f t="shared" si="11"/>
        <v>2.4155851936082818E-2</v>
      </c>
      <c r="J235">
        <v>0</v>
      </c>
      <c r="K235">
        <f t="shared" si="9"/>
        <v>2.4155851936082818E-2</v>
      </c>
      <c r="L235">
        <f t="shared" si="10"/>
        <v>2.4155851936082819</v>
      </c>
      <c r="M235">
        <v>1.48</v>
      </c>
    </row>
    <row r="236" spans="1:13" x14ac:dyDescent="0.2">
      <c r="A236" s="1">
        <v>44230</v>
      </c>
      <c r="B236">
        <v>545.44000200000005</v>
      </c>
      <c r="C236">
        <v>557.27002000000005</v>
      </c>
      <c r="D236">
        <v>540.65997300000004</v>
      </c>
      <c r="E236">
        <v>541.21997099999999</v>
      </c>
      <c r="F236">
        <v>541.21997099999999</v>
      </c>
      <c r="G236">
        <v>6135200</v>
      </c>
      <c r="I236">
        <f t="shared" si="11"/>
        <v>-1.9363950822877099E-3</v>
      </c>
      <c r="J236">
        <v>0</v>
      </c>
      <c r="K236">
        <f t="shared" si="9"/>
        <v>-1.9363950822877099E-3</v>
      </c>
      <c r="L236">
        <f t="shared" si="10"/>
        <v>-0.19363950822877099</v>
      </c>
      <c r="M236">
        <v>0.16</v>
      </c>
    </row>
    <row r="237" spans="1:13" x14ac:dyDescent="0.2">
      <c r="A237" s="1">
        <v>44231</v>
      </c>
      <c r="B237">
        <v>541.23999000000003</v>
      </c>
      <c r="C237">
        <v>546.94000200000005</v>
      </c>
      <c r="D237">
        <v>533.51000999999997</v>
      </c>
      <c r="E237">
        <v>546.57000700000003</v>
      </c>
      <c r="F237">
        <v>546.57000700000003</v>
      </c>
      <c r="G237">
        <v>5033500</v>
      </c>
      <c r="I237">
        <f t="shared" si="11"/>
        <v>9.8851415074630456E-3</v>
      </c>
      <c r="J237">
        <v>0</v>
      </c>
      <c r="K237">
        <f t="shared" si="9"/>
        <v>9.8851415074630456E-3</v>
      </c>
      <c r="L237">
        <f t="shared" si="10"/>
        <v>0.98851415074630455</v>
      </c>
      <c r="M237">
        <v>1.23</v>
      </c>
    </row>
    <row r="238" spans="1:13" x14ac:dyDescent="0.2">
      <c r="A238" s="1">
        <v>44232</v>
      </c>
      <c r="B238">
        <v>549</v>
      </c>
      <c r="C238">
        <v>549.48999000000003</v>
      </c>
      <c r="D238">
        <v>541.830017</v>
      </c>
      <c r="E238">
        <v>543.64001499999995</v>
      </c>
      <c r="F238">
        <v>543.64001499999995</v>
      </c>
      <c r="G238">
        <v>4218200</v>
      </c>
      <c r="I238">
        <f t="shared" si="11"/>
        <v>-5.3606893215420873E-3</v>
      </c>
      <c r="J238">
        <v>0</v>
      </c>
      <c r="K238">
        <f t="shared" si="9"/>
        <v>-5.3606893215420873E-3</v>
      </c>
      <c r="L238">
        <f t="shared" si="10"/>
        <v>-0.5360689321542087</v>
      </c>
      <c r="M238">
        <v>0.57999999999999996</v>
      </c>
    </row>
    <row r="239" spans="1:13" x14ac:dyDescent="0.2">
      <c r="A239" s="1">
        <v>44235</v>
      </c>
      <c r="B239">
        <v>549.09002699999996</v>
      </c>
      <c r="C239">
        <v>578.95001200000002</v>
      </c>
      <c r="D239">
        <v>549.09002699999996</v>
      </c>
      <c r="E239">
        <v>577.54998799999998</v>
      </c>
      <c r="F239">
        <v>577.54998799999998</v>
      </c>
      <c r="G239">
        <v>10865600</v>
      </c>
      <c r="I239">
        <f t="shared" si="11"/>
        <v>6.2375785564644355E-2</v>
      </c>
      <c r="J239">
        <v>0</v>
      </c>
      <c r="K239">
        <f t="shared" si="9"/>
        <v>6.2375785564644355E-2</v>
      </c>
      <c r="L239">
        <f t="shared" si="10"/>
        <v>6.2375785564644355</v>
      </c>
      <c r="M239">
        <v>0.96</v>
      </c>
    </row>
    <row r="240" spans="1:13" x14ac:dyDescent="0.2">
      <c r="A240" s="1">
        <v>44236</v>
      </c>
      <c r="B240">
        <v>573.63000499999998</v>
      </c>
      <c r="C240">
        <v>583.330017</v>
      </c>
      <c r="D240">
        <v>568.90002400000003</v>
      </c>
      <c r="E240">
        <v>570.53002900000001</v>
      </c>
      <c r="F240">
        <v>570.53002900000001</v>
      </c>
      <c r="G240">
        <v>7189000</v>
      </c>
      <c r="I240">
        <f t="shared" si="11"/>
        <v>-1.2154721055937364E-2</v>
      </c>
      <c r="J240">
        <v>0</v>
      </c>
      <c r="K240">
        <f t="shared" si="9"/>
        <v>-1.2154721055937364E-2</v>
      </c>
      <c r="L240">
        <f t="shared" si="10"/>
        <v>-1.2154721055937365</v>
      </c>
      <c r="M240">
        <v>0.05</v>
      </c>
    </row>
    <row r="241" spans="1:13" x14ac:dyDescent="0.2">
      <c r="A241" s="1">
        <v>44237</v>
      </c>
      <c r="B241">
        <v>578.53002900000001</v>
      </c>
      <c r="C241">
        <v>596.20001200000002</v>
      </c>
      <c r="D241">
        <v>573.65997300000004</v>
      </c>
      <c r="E241">
        <v>590.57000700000003</v>
      </c>
      <c r="F241">
        <v>590.57000700000003</v>
      </c>
      <c r="G241">
        <v>12133800</v>
      </c>
      <c r="I241">
        <f t="shared" si="11"/>
        <v>3.5125194085095242E-2</v>
      </c>
      <c r="J241">
        <v>0</v>
      </c>
      <c r="K241">
        <f t="shared" si="9"/>
        <v>3.5125194085095242E-2</v>
      </c>
      <c r="L241">
        <f t="shared" si="10"/>
        <v>3.5125194085095242</v>
      </c>
      <c r="M241">
        <v>-7.0000000000000007E-2</v>
      </c>
    </row>
    <row r="242" spans="1:13" x14ac:dyDescent="0.2">
      <c r="A242" s="1">
        <v>44238</v>
      </c>
      <c r="B242">
        <v>599.21002199999998</v>
      </c>
      <c r="C242">
        <v>610.89001499999995</v>
      </c>
      <c r="D242">
        <v>597</v>
      </c>
      <c r="E242">
        <v>610.03002900000001</v>
      </c>
      <c r="F242">
        <v>610.03002900000001</v>
      </c>
      <c r="G242">
        <v>11245500</v>
      </c>
      <c r="I242">
        <f t="shared" si="11"/>
        <v>3.2951253482806787E-2</v>
      </c>
      <c r="J242">
        <v>0</v>
      </c>
      <c r="K242">
        <f t="shared" si="9"/>
        <v>3.2951253482806787E-2</v>
      </c>
      <c r="L242">
        <f t="shared" si="10"/>
        <v>3.2951253482806786</v>
      </c>
      <c r="M242">
        <v>0.19</v>
      </c>
    </row>
    <row r="243" spans="1:13" x14ac:dyDescent="0.2">
      <c r="A243" s="1">
        <v>44239</v>
      </c>
      <c r="B243">
        <v>602</v>
      </c>
      <c r="C243">
        <v>611.65002400000003</v>
      </c>
      <c r="D243">
        <v>591</v>
      </c>
      <c r="E243">
        <v>598.45001200000002</v>
      </c>
      <c r="F243">
        <v>598.45001200000002</v>
      </c>
      <c r="G243">
        <v>9356800</v>
      </c>
      <c r="I243">
        <f t="shared" si="11"/>
        <v>-1.8982699948365982E-2</v>
      </c>
      <c r="J243">
        <v>0</v>
      </c>
      <c r="K243">
        <f t="shared" si="9"/>
        <v>-1.8982699948365982E-2</v>
      </c>
      <c r="L243">
        <f t="shared" si="10"/>
        <v>-1.8982699948365982</v>
      </c>
      <c r="M243">
        <v>0.49</v>
      </c>
    </row>
    <row r="244" spans="1:13" x14ac:dyDescent="0.2">
      <c r="A244" s="1">
        <v>44243</v>
      </c>
      <c r="B244">
        <v>602.57000700000003</v>
      </c>
      <c r="C244">
        <v>614.90002400000003</v>
      </c>
      <c r="D244">
        <v>598</v>
      </c>
      <c r="E244">
        <v>613.21002199999998</v>
      </c>
      <c r="F244">
        <v>613.21002199999998</v>
      </c>
      <c r="G244">
        <v>8049000</v>
      </c>
      <c r="I244">
        <f t="shared" si="11"/>
        <v>2.4663730811321238E-2</v>
      </c>
      <c r="J244">
        <v>0</v>
      </c>
      <c r="K244">
        <f t="shared" si="9"/>
        <v>2.4663730811321238E-2</v>
      </c>
      <c r="L244">
        <f t="shared" si="10"/>
        <v>2.4663730811321236</v>
      </c>
      <c r="M244">
        <v>-0.14000000000000001</v>
      </c>
    </row>
    <row r="245" spans="1:13" x14ac:dyDescent="0.2">
      <c r="A245" s="1">
        <v>44244</v>
      </c>
      <c r="B245">
        <v>606.84002699999996</v>
      </c>
      <c r="C245">
        <v>608.94000200000005</v>
      </c>
      <c r="D245">
        <v>591.20001200000002</v>
      </c>
      <c r="E245">
        <v>596.23999000000003</v>
      </c>
      <c r="F245">
        <v>596.23999000000003</v>
      </c>
      <c r="G245">
        <v>6868900</v>
      </c>
      <c r="I245">
        <f t="shared" si="11"/>
        <v>-2.7674094341530425E-2</v>
      </c>
      <c r="J245">
        <v>0</v>
      </c>
      <c r="K245">
        <f t="shared" si="9"/>
        <v>-2.7674094341530425E-2</v>
      </c>
      <c r="L245">
        <f t="shared" si="10"/>
        <v>-2.7674094341530426</v>
      </c>
      <c r="M245">
        <v>-0.2</v>
      </c>
    </row>
    <row r="246" spans="1:13" x14ac:dyDescent="0.2">
      <c r="A246" s="1">
        <v>44245</v>
      </c>
      <c r="B246">
        <v>589.15997300000004</v>
      </c>
      <c r="C246">
        <v>594.92999299999997</v>
      </c>
      <c r="D246">
        <v>583</v>
      </c>
      <c r="E246">
        <v>593.15997300000004</v>
      </c>
      <c r="F246">
        <v>593.15997300000004</v>
      </c>
      <c r="G246">
        <v>5846700</v>
      </c>
      <c r="I246">
        <f t="shared" si="11"/>
        <v>-5.1657336838476699E-3</v>
      </c>
      <c r="J246">
        <v>0</v>
      </c>
      <c r="K246">
        <f t="shared" si="9"/>
        <v>-5.1657336838476699E-3</v>
      </c>
      <c r="L246">
        <f t="shared" si="10"/>
        <v>-0.51657336838476697</v>
      </c>
      <c r="M246">
        <v>-0.63</v>
      </c>
    </row>
    <row r="247" spans="1:13" x14ac:dyDescent="0.2">
      <c r="A247" s="1">
        <v>44246</v>
      </c>
      <c r="B247">
        <v>600.97997999999995</v>
      </c>
      <c r="C247">
        <v>607.080017</v>
      </c>
      <c r="D247">
        <v>593.86999500000002</v>
      </c>
      <c r="E247">
        <v>597.05999799999995</v>
      </c>
      <c r="F247">
        <v>597.05999799999995</v>
      </c>
      <c r="G247">
        <v>6793100</v>
      </c>
      <c r="I247">
        <f t="shared" si="11"/>
        <v>6.5749969275150566E-3</v>
      </c>
      <c r="J247">
        <v>0</v>
      </c>
      <c r="K247">
        <f t="shared" si="9"/>
        <v>6.5749969275150566E-3</v>
      </c>
      <c r="L247">
        <f t="shared" si="10"/>
        <v>0.65749969275150566</v>
      </c>
      <c r="M247">
        <v>0.16</v>
      </c>
    </row>
    <row r="248" spans="1:13" x14ac:dyDescent="0.2">
      <c r="A248" s="1">
        <v>44249</v>
      </c>
      <c r="B248">
        <v>590.98999000000003</v>
      </c>
      <c r="C248">
        <v>605.330017</v>
      </c>
      <c r="D248">
        <v>573</v>
      </c>
      <c r="E248">
        <v>574.22997999999995</v>
      </c>
      <c r="F248">
        <v>574.22997999999995</v>
      </c>
      <c r="G248">
        <v>8147100</v>
      </c>
      <c r="I248">
        <f t="shared" si="11"/>
        <v>-3.8237393354896967E-2</v>
      </c>
      <c r="J248">
        <v>0</v>
      </c>
      <c r="K248">
        <f t="shared" si="9"/>
        <v>-3.8237393354896967E-2</v>
      </c>
      <c r="L248">
        <f t="shared" si="10"/>
        <v>-3.8237393354896967</v>
      </c>
      <c r="M248">
        <v>-1.1200000000000001</v>
      </c>
    </row>
    <row r="249" spans="1:13" x14ac:dyDescent="0.2">
      <c r="A249" s="1">
        <v>44250</v>
      </c>
      <c r="B249">
        <v>563.01000999999997</v>
      </c>
      <c r="C249">
        <v>569.54998799999998</v>
      </c>
      <c r="D249">
        <v>535.580017</v>
      </c>
      <c r="E249">
        <v>565.67999299999997</v>
      </c>
      <c r="F249">
        <v>565.67999299999997</v>
      </c>
      <c r="G249">
        <v>9794500</v>
      </c>
      <c r="I249">
        <f t="shared" si="11"/>
        <v>-1.4889482085209115E-2</v>
      </c>
      <c r="J249">
        <v>0</v>
      </c>
      <c r="K249">
        <f t="shared" si="9"/>
        <v>-1.4889482085209115E-2</v>
      </c>
      <c r="L249">
        <f t="shared" si="10"/>
        <v>-1.4889482085209116</v>
      </c>
      <c r="M249">
        <v>-0.15</v>
      </c>
    </row>
    <row r="250" spans="1:13" x14ac:dyDescent="0.2">
      <c r="A250" s="1">
        <v>44251</v>
      </c>
      <c r="B250">
        <v>564.90997300000004</v>
      </c>
      <c r="C250">
        <v>580.27002000000005</v>
      </c>
      <c r="D250">
        <v>550.23999000000003</v>
      </c>
      <c r="E250">
        <v>579.96002199999998</v>
      </c>
      <c r="F250">
        <v>579.96002199999998</v>
      </c>
      <c r="G250">
        <v>11208000</v>
      </c>
      <c r="I250">
        <f t="shared" si="11"/>
        <v>2.5244005757156084E-2</v>
      </c>
      <c r="J250">
        <v>0</v>
      </c>
      <c r="K250">
        <f t="shared" si="9"/>
        <v>2.5244005757156084E-2</v>
      </c>
      <c r="L250">
        <f t="shared" si="10"/>
        <v>2.5244005757156085</v>
      </c>
      <c r="M250">
        <v>1.1499999999999999</v>
      </c>
    </row>
    <row r="251" spans="1:13" x14ac:dyDescent="0.2">
      <c r="A251" s="1">
        <v>44252</v>
      </c>
      <c r="B251">
        <v>561.82000700000003</v>
      </c>
      <c r="C251">
        <v>574.98999000000003</v>
      </c>
      <c r="D251">
        <v>528.65002400000003</v>
      </c>
      <c r="E251">
        <v>532.29998799999998</v>
      </c>
      <c r="F251">
        <v>532.29998799999998</v>
      </c>
      <c r="G251">
        <v>20610900</v>
      </c>
      <c r="I251">
        <f t="shared" si="11"/>
        <v>-8.2178136754398556E-2</v>
      </c>
      <c r="J251">
        <v>0</v>
      </c>
      <c r="K251">
        <f t="shared" si="9"/>
        <v>-8.2178136754398556E-2</v>
      </c>
      <c r="L251">
        <f t="shared" si="10"/>
        <v>-8.2178136754398565</v>
      </c>
      <c r="M251">
        <v>-2.73</v>
      </c>
    </row>
    <row r="252" spans="1:13" x14ac:dyDescent="0.2">
      <c r="A252" s="1">
        <v>44253</v>
      </c>
      <c r="B252">
        <v>550.09997599999997</v>
      </c>
      <c r="C252">
        <v>554.17999299999997</v>
      </c>
      <c r="D252">
        <v>534.44000200000005</v>
      </c>
      <c r="E252">
        <v>548.580017</v>
      </c>
      <c r="F252">
        <v>548.580017</v>
      </c>
      <c r="G252">
        <v>12514600</v>
      </c>
      <c r="I252">
        <f t="shared" si="11"/>
        <v>3.0584312167972496E-2</v>
      </c>
      <c r="J252">
        <v>0</v>
      </c>
      <c r="K252">
        <f t="shared" si="9"/>
        <v>3.0584312167972496E-2</v>
      </c>
      <c r="L252">
        <f t="shared" si="10"/>
        <v>3.0584312167972496</v>
      </c>
      <c r="M252">
        <v>-0.28000000000000003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Sheet1</vt:lpstr>
      <vt:lpstr>NVDA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2021-04-29T13:37:47Z</dcterms:created>
  <dcterms:modified xsi:type="dcterms:W3CDTF">2021-04-29T16:24:36Z</dcterms:modified>
</cp:coreProperties>
</file>