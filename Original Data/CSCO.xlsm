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1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xiaohongyu/Desktop/"/>
    </mc:Choice>
  </mc:AlternateContent>
  <xr:revisionPtr revIDLastSave="0" documentId="8_{86733B03-292D-6840-B579-0205A1B0B456}" xr6:coauthVersionLast="46" xr6:coauthVersionMax="46" xr10:uidLastSave="{00000000-0000-0000-0000-000000000000}"/>
  <bookViews>
    <workbookView xWindow="1180" yWindow="1460" windowWidth="27240" windowHeight="15320"/>
  </bookViews>
  <sheets>
    <sheet name="CSCO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52" i="1" l="1"/>
  <c r="K252" i="1" s="1"/>
  <c r="L252" i="1" s="1"/>
  <c r="I251" i="1"/>
  <c r="K251" i="1" s="1"/>
  <c r="L251" i="1" s="1"/>
  <c r="I250" i="1"/>
  <c r="K250" i="1" s="1"/>
  <c r="L250" i="1" s="1"/>
  <c r="I249" i="1"/>
  <c r="K249" i="1" s="1"/>
  <c r="L249" i="1" s="1"/>
  <c r="I248" i="1"/>
  <c r="K248" i="1" s="1"/>
  <c r="L248" i="1" s="1"/>
  <c r="I247" i="1"/>
  <c r="K247" i="1" s="1"/>
  <c r="L247" i="1" s="1"/>
  <c r="I246" i="1"/>
  <c r="K246" i="1" s="1"/>
  <c r="L246" i="1" s="1"/>
  <c r="I245" i="1"/>
  <c r="K245" i="1" s="1"/>
  <c r="L245" i="1" s="1"/>
  <c r="I244" i="1"/>
  <c r="K244" i="1" s="1"/>
  <c r="L244" i="1" s="1"/>
  <c r="I243" i="1"/>
  <c r="K243" i="1" s="1"/>
  <c r="L243" i="1" s="1"/>
  <c r="I242" i="1"/>
  <c r="K242" i="1" s="1"/>
  <c r="L242" i="1" s="1"/>
  <c r="I241" i="1"/>
  <c r="K241" i="1" s="1"/>
  <c r="L241" i="1" s="1"/>
  <c r="I240" i="1"/>
  <c r="K240" i="1" s="1"/>
  <c r="L240" i="1" s="1"/>
  <c r="I239" i="1"/>
  <c r="K239" i="1" s="1"/>
  <c r="L239" i="1" s="1"/>
  <c r="I238" i="1"/>
  <c r="K238" i="1" s="1"/>
  <c r="L238" i="1" s="1"/>
  <c r="I237" i="1"/>
  <c r="K237" i="1" s="1"/>
  <c r="L237" i="1" s="1"/>
  <c r="I236" i="1"/>
  <c r="K236" i="1" s="1"/>
  <c r="L236" i="1" s="1"/>
  <c r="I235" i="1"/>
  <c r="K235" i="1" s="1"/>
  <c r="L235" i="1" s="1"/>
  <c r="I234" i="1"/>
  <c r="K234" i="1" s="1"/>
  <c r="L234" i="1" s="1"/>
  <c r="I233" i="1"/>
  <c r="K233" i="1" s="1"/>
  <c r="L233" i="1" s="1"/>
  <c r="I232" i="1"/>
  <c r="K232" i="1" s="1"/>
  <c r="L232" i="1" s="1"/>
  <c r="I231" i="1"/>
  <c r="K231" i="1" s="1"/>
  <c r="L231" i="1" s="1"/>
  <c r="I230" i="1"/>
  <c r="K230" i="1" s="1"/>
  <c r="L230" i="1" s="1"/>
  <c r="I229" i="1"/>
  <c r="K229" i="1" s="1"/>
  <c r="L229" i="1" s="1"/>
  <c r="I228" i="1"/>
  <c r="K228" i="1" s="1"/>
  <c r="L228" i="1" s="1"/>
  <c r="I227" i="1"/>
  <c r="K227" i="1" s="1"/>
  <c r="L227" i="1" s="1"/>
  <c r="I226" i="1"/>
  <c r="K226" i="1" s="1"/>
  <c r="L226" i="1" s="1"/>
  <c r="I225" i="1"/>
  <c r="K225" i="1" s="1"/>
  <c r="L225" i="1" s="1"/>
  <c r="I224" i="1"/>
  <c r="K224" i="1" s="1"/>
  <c r="L224" i="1" s="1"/>
  <c r="I223" i="1"/>
  <c r="K223" i="1" s="1"/>
  <c r="L223" i="1" s="1"/>
  <c r="I222" i="1"/>
  <c r="K222" i="1" s="1"/>
  <c r="L222" i="1" s="1"/>
  <c r="I221" i="1"/>
  <c r="K221" i="1" s="1"/>
  <c r="L221" i="1" s="1"/>
  <c r="I220" i="1"/>
  <c r="K220" i="1" s="1"/>
  <c r="L220" i="1" s="1"/>
  <c r="I219" i="1"/>
  <c r="K219" i="1" s="1"/>
  <c r="L219" i="1" s="1"/>
  <c r="I218" i="1"/>
  <c r="K218" i="1" s="1"/>
  <c r="L218" i="1" s="1"/>
  <c r="I217" i="1"/>
  <c r="K217" i="1" s="1"/>
  <c r="L217" i="1" s="1"/>
  <c r="I216" i="1"/>
  <c r="K216" i="1" s="1"/>
  <c r="L216" i="1" s="1"/>
  <c r="I215" i="1"/>
  <c r="K215" i="1" s="1"/>
  <c r="L215" i="1" s="1"/>
  <c r="I214" i="1"/>
  <c r="K214" i="1" s="1"/>
  <c r="L214" i="1" s="1"/>
  <c r="I213" i="1"/>
  <c r="K213" i="1" s="1"/>
  <c r="L213" i="1" s="1"/>
  <c r="I212" i="1"/>
  <c r="K212" i="1" s="1"/>
  <c r="L212" i="1" s="1"/>
  <c r="I211" i="1"/>
  <c r="K211" i="1" s="1"/>
  <c r="L211" i="1" s="1"/>
  <c r="I210" i="1"/>
  <c r="K210" i="1" s="1"/>
  <c r="L210" i="1" s="1"/>
  <c r="I209" i="1"/>
  <c r="K209" i="1" s="1"/>
  <c r="L209" i="1" s="1"/>
  <c r="I208" i="1"/>
  <c r="K208" i="1" s="1"/>
  <c r="L208" i="1" s="1"/>
  <c r="I207" i="1"/>
  <c r="K207" i="1" s="1"/>
  <c r="L207" i="1" s="1"/>
  <c r="I206" i="1"/>
  <c r="K206" i="1" s="1"/>
  <c r="L206" i="1" s="1"/>
  <c r="I205" i="1"/>
  <c r="K205" i="1" s="1"/>
  <c r="L205" i="1" s="1"/>
  <c r="I204" i="1"/>
  <c r="K204" i="1" s="1"/>
  <c r="L204" i="1" s="1"/>
  <c r="I203" i="1"/>
  <c r="K203" i="1" s="1"/>
  <c r="L203" i="1" s="1"/>
  <c r="I202" i="1"/>
  <c r="K202" i="1" s="1"/>
  <c r="L202" i="1" s="1"/>
  <c r="I201" i="1"/>
  <c r="K201" i="1" s="1"/>
  <c r="L201" i="1" s="1"/>
  <c r="I200" i="1"/>
  <c r="K200" i="1" s="1"/>
  <c r="L200" i="1" s="1"/>
  <c r="I199" i="1"/>
  <c r="K199" i="1" s="1"/>
  <c r="L199" i="1" s="1"/>
  <c r="I198" i="1"/>
  <c r="K198" i="1" s="1"/>
  <c r="L198" i="1" s="1"/>
  <c r="I197" i="1"/>
  <c r="K197" i="1" s="1"/>
  <c r="L197" i="1" s="1"/>
  <c r="I196" i="1"/>
  <c r="K196" i="1" s="1"/>
  <c r="L196" i="1" s="1"/>
  <c r="I195" i="1"/>
  <c r="K195" i="1" s="1"/>
  <c r="L195" i="1" s="1"/>
  <c r="I194" i="1"/>
  <c r="K194" i="1" s="1"/>
  <c r="L194" i="1" s="1"/>
  <c r="I193" i="1"/>
  <c r="K193" i="1" s="1"/>
  <c r="L193" i="1" s="1"/>
  <c r="I192" i="1"/>
  <c r="K192" i="1" s="1"/>
  <c r="L192" i="1" s="1"/>
  <c r="I191" i="1"/>
  <c r="K191" i="1" s="1"/>
  <c r="L191" i="1" s="1"/>
  <c r="I190" i="1"/>
  <c r="K190" i="1" s="1"/>
  <c r="L190" i="1" s="1"/>
  <c r="I189" i="1"/>
  <c r="K189" i="1" s="1"/>
  <c r="L189" i="1" s="1"/>
  <c r="I188" i="1"/>
  <c r="K188" i="1" s="1"/>
  <c r="L188" i="1" s="1"/>
  <c r="I187" i="1"/>
  <c r="K187" i="1" s="1"/>
  <c r="L187" i="1" s="1"/>
  <c r="I186" i="1"/>
  <c r="K186" i="1" s="1"/>
  <c r="L186" i="1" s="1"/>
  <c r="I185" i="1"/>
  <c r="K185" i="1" s="1"/>
  <c r="L185" i="1" s="1"/>
  <c r="I184" i="1"/>
  <c r="K184" i="1" s="1"/>
  <c r="L184" i="1" s="1"/>
  <c r="I183" i="1"/>
  <c r="K183" i="1" s="1"/>
  <c r="L183" i="1" s="1"/>
  <c r="I182" i="1"/>
  <c r="K182" i="1" s="1"/>
  <c r="L182" i="1" s="1"/>
  <c r="I181" i="1"/>
  <c r="K181" i="1" s="1"/>
  <c r="L181" i="1" s="1"/>
  <c r="I180" i="1"/>
  <c r="K180" i="1" s="1"/>
  <c r="L180" i="1" s="1"/>
  <c r="I179" i="1"/>
  <c r="K179" i="1" s="1"/>
  <c r="L179" i="1" s="1"/>
  <c r="I178" i="1"/>
  <c r="K178" i="1" s="1"/>
  <c r="L178" i="1" s="1"/>
  <c r="I177" i="1"/>
  <c r="K177" i="1" s="1"/>
  <c r="L177" i="1" s="1"/>
  <c r="I176" i="1"/>
  <c r="K176" i="1" s="1"/>
  <c r="L176" i="1" s="1"/>
  <c r="I175" i="1"/>
  <c r="K175" i="1" s="1"/>
  <c r="L175" i="1" s="1"/>
  <c r="I174" i="1"/>
  <c r="K174" i="1" s="1"/>
  <c r="L174" i="1" s="1"/>
  <c r="I173" i="1"/>
  <c r="K173" i="1" s="1"/>
  <c r="L173" i="1" s="1"/>
  <c r="I172" i="1"/>
  <c r="K172" i="1" s="1"/>
  <c r="L172" i="1" s="1"/>
  <c r="I171" i="1"/>
  <c r="K171" i="1" s="1"/>
  <c r="L171" i="1" s="1"/>
  <c r="I170" i="1"/>
  <c r="K170" i="1" s="1"/>
  <c r="L170" i="1" s="1"/>
  <c r="I169" i="1"/>
  <c r="K169" i="1" s="1"/>
  <c r="L169" i="1" s="1"/>
  <c r="I168" i="1"/>
  <c r="K168" i="1" s="1"/>
  <c r="L168" i="1" s="1"/>
  <c r="I167" i="1"/>
  <c r="K167" i="1" s="1"/>
  <c r="L167" i="1" s="1"/>
  <c r="I166" i="1"/>
  <c r="K166" i="1" s="1"/>
  <c r="L166" i="1" s="1"/>
  <c r="I165" i="1"/>
  <c r="K165" i="1" s="1"/>
  <c r="L165" i="1" s="1"/>
  <c r="I164" i="1"/>
  <c r="K164" i="1" s="1"/>
  <c r="L164" i="1" s="1"/>
  <c r="I163" i="1"/>
  <c r="K163" i="1" s="1"/>
  <c r="L163" i="1" s="1"/>
  <c r="I162" i="1"/>
  <c r="K162" i="1" s="1"/>
  <c r="L162" i="1" s="1"/>
  <c r="I161" i="1"/>
  <c r="K161" i="1" s="1"/>
  <c r="L161" i="1" s="1"/>
  <c r="I160" i="1"/>
  <c r="K160" i="1" s="1"/>
  <c r="L160" i="1" s="1"/>
  <c r="I159" i="1"/>
  <c r="K159" i="1" s="1"/>
  <c r="L159" i="1" s="1"/>
  <c r="I158" i="1"/>
  <c r="K158" i="1" s="1"/>
  <c r="L158" i="1" s="1"/>
  <c r="I157" i="1"/>
  <c r="K157" i="1" s="1"/>
  <c r="L157" i="1" s="1"/>
  <c r="I156" i="1"/>
  <c r="K156" i="1" s="1"/>
  <c r="L156" i="1" s="1"/>
  <c r="I155" i="1"/>
  <c r="K155" i="1" s="1"/>
  <c r="L155" i="1" s="1"/>
  <c r="I154" i="1"/>
  <c r="K154" i="1" s="1"/>
  <c r="L154" i="1" s="1"/>
  <c r="I153" i="1"/>
  <c r="K153" i="1" s="1"/>
  <c r="L153" i="1" s="1"/>
  <c r="I152" i="1"/>
  <c r="K152" i="1" s="1"/>
  <c r="L152" i="1" s="1"/>
  <c r="I151" i="1"/>
  <c r="K151" i="1" s="1"/>
  <c r="L151" i="1" s="1"/>
  <c r="I150" i="1"/>
  <c r="K150" i="1" s="1"/>
  <c r="L150" i="1" s="1"/>
  <c r="I149" i="1"/>
  <c r="K149" i="1" s="1"/>
  <c r="L149" i="1" s="1"/>
  <c r="I148" i="1"/>
  <c r="K148" i="1" s="1"/>
  <c r="L148" i="1" s="1"/>
  <c r="I147" i="1"/>
  <c r="K147" i="1" s="1"/>
  <c r="L147" i="1" s="1"/>
  <c r="I146" i="1"/>
  <c r="K146" i="1" s="1"/>
  <c r="L146" i="1" s="1"/>
  <c r="I145" i="1"/>
  <c r="K145" i="1" s="1"/>
  <c r="L145" i="1" s="1"/>
  <c r="I144" i="1"/>
  <c r="K144" i="1" s="1"/>
  <c r="L144" i="1" s="1"/>
  <c r="I143" i="1"/>
  <c r="K143" i="1" s="1"/>
  <c r="L143" i="1" s="1"/>
  <c r="I142" i="1"/>
  <c r="K142" i="1" s="1"/>
  <c r="L142" i="1" s="1"/>
  <c r="I141" i="1"/>
  <c r="K141" i="1" s="1"/>
  <c r="L141" i="1" s="1"/>
  <c r="I140" i="1"/>
  <c r="K140" i="1" s="1"/>
  <c r="L140" i="1" s="1"/>
  <c r="I139" i="1"/>
  <c r="K139" i="1" s="1"/>
  <c r="L139" i="1" s="1"/>
  <c r="I138" i="1"/>
  <c r="K138" i="1" s="1"/>
  <c r="L138" i="1" s="1"/>
  <c r="I137" i="1"/>
  <c r="K137" i="1" s="1"/>
  <c r="L137" i="1" s="1"/>
  <c r="I136" i="1"/>
  <c r="K136" i="1" s="1"/>
  <c r="L136" i="1" s="1"/>
  <c r="I135" i="1"/>
  <c r="K135" i="1" s="1"/>
  <c r="L135" i="1" s="1"/>
  <c r="I134" i="1"/>
  <c r="K134" i="1" s="1"/>
  <c r="L134" i="1" s="1"/>
  <c r="I133" i="1"/>
  <c r="K133" i="1" s="1"/>
  <c r="L133" i="1" s="1"/>
  <c r="I132" i="1"/>
  <c r="K132" i="1" s="1"/>
  <c r="L132" i="1" s="1"/>
  <c r="I131" i="1"/>
  <c r="K131" i="1" s="1"/>
  <c r="L131" i="1" s="1"/>
  <c r="I130" i="1"/>
  <c r="K130" i="1" s="1"/>
  <c r="L130" i="1" s="1"/>
  <c r="I129" i="1"/>
  <c r="K129" i="1" s="1"/>
  <c r="L129" i="1" s="1"/>
  <c r="I128" i="1"/>
  <c r="K128" i="1" s="1"/>
  <c r="L128" i="1" s="1"/>
  <c r="I127" i="1"/>
  <c r="K127" i="1" s="1"/>
  <c r="L127" i="1" s="1"/>
  <c r="I126" i="1"/>
  <c r="K126" i="1" s="1"/>
  <c r="L126" i="1" s="1"/>
  <c r="I125" i="1"/>
  <c r="K125" i="1" s="1"/>
  <c r="L125" i="1" s="1"/>
  <c r="I124" i="1"/>
  <c r="K124" i="1" s="1"/>
  <c r="L124" i="1" s="1"/>
  <c r="I123" i="1"/>
  <c r="K123" i="1" s="1"/>
  <c r="L123" i="1" s="1"/>
  <c r="I122" i="1"/>
  <c r="K122" i="1" s="1"/>
  <c r="L122" i="1" s="1"/>
  <c r="I121" i="1"/>
  <c r="K121" i="1" s="1"/>
  <c r="L121" i="1" s="1"/>
  <c r="I120" i="1"/>
  <c r="K120" i="1" s="1"/>
  <c r="L120" i="1" s="1"/>
  <c r="I119" i="1"/>
  <c r="K119" i="1" s="1"/>
  <c r="L119" i="1" s="1"/>
  <c r="I118" i="1"/>
  <c r="K118" i="1" s="1"/>
  <c r="L118" i="1" s="1"/>
  <c r="I117" i="1"/>
  <c r="K117" i="1" s="1"/>
  <c r="L117" i="1" s="1"/>
  <c r="I116" i="1"/>
  <c r="K116" i="1" s="1"/>
  <c r="L116" i="1" s="1"/>
  <c r="I115" i="1"/>
  <c r="K115" i="1" s="1"/>
  <c r="L115" i="1" s="1"/>
  <c r="I114" i="1"/>
  <c r="K114" i="1" s="1"/>
  <c r="L114" i="1" s="1"/>
  <c r="I113" i="1"/>
  <c r="K113" i="1" s="1"/>
  <c r="L113" i="1" s="1"/>
  <c r="I112" i="1"/>
  <c r="K112" i="1" s="1"/>
  <c r="L112" i="1" s="1"/>
  <c r="I111" i="1"/>
  <c r="K111" i="1" s="1"/>
  <c r="L111" i="1" s="1"/>
  <c r="I110" i="1"/>
  <c r="K110" i="1" s="1"/>
  <c r="L110" i="1" s="1"/>
  <c r="I109" i="1"/>
  <c r="K109" i="1" s="1"/>
  <c r="L109" i="1" s="1"/>
  <c r="I108" i="1"/>
  <c r="K108" i="1" s="1"/>
  <c r="L108" i="1" s="1"/>
  <c r="I107" i="1"/>
  <c r="K107" i="1" s="1"/>
  <c r="L107" i="1" s="1"/>
  <c r="I106" i="1"/>
  <c r="K106" i="1" s="1"/>
  <c r="L106" i="1" s="1"/>
  <c r="I105" i="1"/>
  <c r="K105" i="1" s="1"/>
  <c r="L105" i="1" s="1"/>
  <c r="I104" i="1"/>
  <c r="K104" i="1" s="1"/>
  <c r="L104" i="1" s="1"/>
  <c r="I103" i="1"/>
  <c r="K103" i="1" s="1"/>
  <c r="L103" i="1" s="1"/>
  <c r="I102" i="1"/>
  <c r="K102" i="1" s="1"/>
  <c r="L102" i="1" s="1"/>
  <c r="I101" i="1"/>
  <c r="K101" i="1" s="1"/>
  <c r="L101" i="1" s="1"/>
  <c r="I100" i="1"/>
  <c r="K100" i="1" s="1"/>
  <c r="L100" i="1" s="1"/>
  <c r="I99" i="1"/>
  <c r="K99" i="1" s="1"/>
  <c r="L99" i="1" s="1"/>
  <c r="I98" i="1"/>
  <c r="K98" i="1" s="1"/>
  <c r="L98" i="1" s="1"/>
  <c r="I97" i="1"/>
  <c r="K97" i="1" s="1"/>
  <c r="L97" i="1" s="1"/>
  <c r="I96" i="1"/>
  <c r="K96" i="1" s="1"/>
  <c r="L96" i="1" s="1"/>
  <c r="I95" i="1"/>
  <c r="K95" i="1" s="1"/>
  <c r="L95" i="1" s="1"/>
  <c r="I94" i="1"/>
  <c r="K94" i="1" s="1"/>
  <c r="L94" i="1" s="1"/>
  <c r="I93" i="1"/>
  <c r="K93" i="1" s="1"/>
  <c r="L93" i="1" s="1"/>
  <c r="I92" i="1"/>
  <c r="K92" i="1" s="1"/>
  <c r="L92" i="1" s="1"/>
  <c r="I91" i="1"/>
  <c r="K91" i="1" s="1"/>
  <c r="L91" i="1" s="1"/>
  <c r="I90" i="1"/>
  <c r="K90" i="1" s="1"/>
  <c r="L90" i="1" s="1"/>
  <c r="I89" i="1"/>
  <c r="K89" i="1" s="1"/>
  <c r="L89" i="1" s="1"/>
  <c r="I88" i="1"/>
  <c r="K88" i="1" s="1"/>
  <c r="L88" i="1" s="1"/>
  <c r="I87" i="1"/>
  <c r="K87" i="1" s="1"/>
  <c r="L87" i="1" s="1"/>
  <c r="I86" i="1"/>
  <c r="K86" i="1" s="1"/>
  <c r="L86" i="1" s="1"/>
  <c r="I85" i="1"/>
  <c r="K85" i="1" s="1"/>
  <c r="L85" i="1" s="1"/>
  <c r="I84" i="1"/>
  <c r="K84" i="1" s="1"/>
  <c r="L84" i="1" s="1"/>
  <c r="I83" i="1"/>
  <c r="K83" i="1" s="1"/>
  <c r="L83" i="1" s="1"/>
  <c r="I82" i="1"/>
  <c r="K82" i="1" s="1"/>
  <c r="L82" i="1" s="1"/>
  <c r="I81" i="1"/>
  <c r="K81" i="1" s="1"/>
  <c r="L81" i="1" s="1"/>
  <c r="I80" i="1"/>
  <c r="K80" i="1" s="1"/>
  <c r="L80" i="1" s="1"/>
  <c r="I79" i="1"/>
  <c r="K79" i="1" s="1"/>
  <c r="L79" i="1" s="1"/>
  <c r="I78" i="1"/>
  <c r="K78" i="1" s="1"/>
  <c r="L78" i="1" s="1"/>
  <c r="I77" i="1"/>
  <c r="K77" i="1" s="1"/>
  <c r="L77" i="1" s="1"/>
  <c r="I76" i="1"/>
  <c r="K76" i="1" s="1"/>
  <c r="L76" i="1" s="1"/>
  <c r="K75" i="1"/>
  <c r="L75" i="1" s="1"/>
  <c r="I75" i="1"/>
  <c r="I74" i="1"/>
  <c r="K74" i="1" s="1"/>
  <c r="L74" i="1" s="1"/>
  <c r="I73" i="1"/>
  <c r="K73" i="1" s="1"/>
  <c r="L73" i="1" s="1"/>
  <c r="I72" i="1"/>
  <c r="K72" i="1" s="1"/>
  <c r="L72" i="1" s="1"/>
  <c r="I71" i="1"/>
  <c r="K71" i="1" s="1"/>
  <c r="L71" i="1" s="1"/>
  <c r="I70" i="1"/>
  <c r="K70" i="1" s="1"/>
  <c r="L70" i="1" s="1"/>
  <c r="I69" i="1"/>
  <c r="K69" i="1" s="1"/>
  <c r="L69" i="1" s="1"/>
  <c r="I68" i="1"/>
  <c r="K68" i="1" s="1"/>
  <c r="L68" i="1" s="1"/>
  <c r="I67" i="1"/>
  <c r="K67" i="1" s="1"/>
  <c r="L67" i="1" s="1"/>
  <c r="I66" i="1"/>
  <c r="K66" i="1" s="1"/>
  <c r="L66" i="1" s="1"/>
  <c r="I65" i="1"/>
  <c r="K65" i="1" s="1"/>
  <c r="L65" i="1" s="1"/>
  <c r="I64" i="1"/>
  <c r="K64" i="1" s="1"/>
  <c r="L64" i="1" s="1"/>
  <c r="I63" i="1"/>
  <c r="K63" i="1" s="1"/>
  <c r="L63" i="1" s="1"/>
  <c r="I62" i="1"/>
  <c r="K62" i="1" s="1"/>
  <c r="L62" i="1" s="1"/>
  <c r="I61" i="1"/>
  <c r="K61" i="1" s="1"/>
  <c r="L61" i="1" s="1"/>
  <c r="I60" i="1"/>
  <c r="K60" i="1" s="1"/>
  <c r="L60" i="1" s="1"/>
  <c r="I59" i="1"/>
  <c r="K59" i="1" s="1"/>
  <c r="L59" i="1" s="1"/>
  <c r="I58" i="1"/>
  <c r="K58" i="1" s="1"/>
  <c r="L58" i="1" s="1"/>
  <c r="I57" i="1"/>
  <c r="K57" i="1" s="1"/>
  <c r="L57" i="1" s="1"/>
  <c r="I56" i="1"/>
  <c r="K56" i="1" s="1"/>
  <c r="L56" i="1" s="1"/>
  <c r="I55" i="1"/>
  <c r="K55" i="1" s="1"/>
  <c r="L55" i="1" s="1"/>
  <c r="I54" i="1"/>
  <c r="K54" i="1" s="1"/>
  <c r="L54" i="1" s="1"/>
  <c r="I53" i="1"/>
  <c r="K53" i="1" s="1"/>
  <c r="L53" i="1" s="1"/>
  <c r="I52" i="1"/>
  <c r="K52" i="1" s="1"/>
  <c r="L52" i="1" s="1"/>
  <c r="I51" i="1"/>
  <c r="K51" i="1" s="1"/>
  <c r="L51" i="1" s="1"/>
  <c r="I50" i="1"/>
  <c r="K50" i="1" s="1"/>
  <c r="L50" i="1" s="1"/>
  <c r="I49" i="1"/>
  <c r="K49" i="1" s="1"/>
  <c r="L49" i="1" s="1"/>
  <c r="I48" i="1"/>
  <c r="K48" i="1" s="1"/>
  <c r="L48" i="1" s="1"/>
  <c r="I47" i="1"/>
  <c r="K47" i="1" s="1"/>
  <c r="L47" i="1" s="1"/>
  <c r="I46" i="1"/>
  <c r="K46" i="1" s="1"/>
  <c r="L46" i="1" s="1"/>
  <c r="I45" i="1"/>
  <c r="K45" i="1" s="1"/>
  <c r="L45" i="1" s="1"/>
  <c r="I44" i="1"/>
  <c r="K44" i="1" s="1"/>
  <c r="L44" i="1" s="1"/>
  <c r="I43" i="1"/>
  <c r="K43" i="1" s="1"/>
  <c r="L43" i="1" s="1"/>
  <c r="I42" i="1"/>
  <c r="K42" i="1" s="1"/>
  <c r="L42" i="1" s="1"/>
  <c r="I41" i="1"/>
  <c r="K41" i="1" s="1"/>
  <c r="L41" i="1" s="1"/>
  <c r="I40" i="1"/>
  <c r="K40" i="1" s="1"/>
  <c r="L40" i="1" s="1"/>
  <c r="I39" i="1"/>
  <c r="K39" i="1" s="1"/>
  <c r="L39" i="1" s="1"/>
  <c r="I38" i="1"/>
  <c r="K38" i="1" s="1"/>
  <c r="L38" i="1" s="1"/>
  <c r="I37" i="1"/>
  <c r="K37" i="1" s="1"/>
  <c r="L37" i="1" s="1"/>
  <c r="I36" i="1"/>
  <c r="K36" i="1" s="1"/>
  <c r="L36" i="1" s="1"/>
  <c r="I35" i="1"/>
  <c r="K35" i="1" s="1"/>
  <c r="L35" i="1" s="1"/>
  <c r="I34" i="1"/>
  <c r="K34" i="1" s="1"/>
  <c r="L34" i="1" s="1"/>
  <c r="I33" i="1"/>
  <c r="K33" i="1" s="1"/>
  <c r="L33" i="1" s="1"/>
  <c r="I32" i="1"/>
  <c r="K32" i="1" s="1"/>
  <c r="L32" i="1" s="1"/>
  <c r="I31" i="1"/>
  <c r="K31" i="1" s="1"/>
  <c r="L31" i="1" s="1"/>
  <c r="I30" i="1"/>
  <c r="K30" i="1" s="1"/>
  <c r="L30" i="1" s="1"/>
  <c r="I29" i="1"/>
  <c r="K29" i="1" s="1"/>
  <c r="L29" i="1" s="1"/>
  <c r="I28" i="1"/>
  <c r="K28" i="1" s="1"/>
  <c r="L28" i="1" s="1"/>
  <c r="I27" i="1"/>
  <c r="K27" i="1" s="1"/>
  <c r="L27" i="1" s="1"/>
  <c r="I26" i="1"/>
  <c r="K26" i="1" s="1"/>
  <c r="L26" i="1" s="1"/>
  <c r="I25" i="1"/>
  <c r="K25" i="1" s="1"/>
  <c r="L25" i="1" s="1"/>
  <c r="I24" i="1"/>
  <c r="K24" i="1" s="1"/>
  <c r="L24" i="1" s="1"/>
  <c r="I23" i="1"/>
  <c r="K23" i="1" s="1"/>
  <c r="L23" i="1" s="1"/>
  <c r="I22" i="1"/>
  <c r="K22" i="1" s="1"/>
  <c r="L22" i="1" s="1"/>
  <c r="I21" i="1"/>
  <c r="K21" i="1" s="1"/>
  <c r="L21" i="1" s="1"/>
  <c r="I20" i="1"/>
  <c r="K20" i="1" s="1"/>
  <c r="L20" i="1" s="1"/>
  <c r="I19" i="1"/>
  <c r="K19" i="1" s="1"/>
  <c r="L19" i="1" s="1"/>
  <c r="I18" i="1"/>
  <c r="K18" i="1" s="1"/>
  <c r="L18" i="1" s="1"/>
  <c r="I17" i="1"/>
  <c r="K17" i="1" s="1"/>
  <c r="L17" i="1" s="1"/>
  <c r="I16" i="1"/>
  <c r="K16" i="1" s="1"/>
  <c r="L16" i="1" s="1"/>
  <c r="I15" i="1"/>
  <c r="K15" i="1" s="1"/>
  <c r="L15" i="1" s="1"/>
  <c r="I14" i="1"/>
  <c r="K14" i="1" s="1"/>
  <c r="L14" i="1" s="1"/>
  <c r="I13" i="1"/>
  <c r="K13" i="1" s="1"/>
  <c r="L13" i="1" s="1"/>
  <c r="I12" i="1"/>
  <c r="K12" i="1" s="1"/>
  <c r="L12" i="1" s="1"/>
  <c r="I11" i="1"/>
  <c r="K11" i="1" s="1"/>
  <c r="L11" i="1" s="1"/>
  <c r="I10" i="1"/>
  <c r="K10" i="1" s="1"/>
  <c r="L10" i="1" s="1"/>
  <c r="I9" i="1"/>
  <c r="K9" i="1" s="1"/>
  <c r="L9" i="1" s="1"/>
  <c r="I8" i="1"/>
  <c r="K8" i="1" s="1"/>
  <c r="L8" i="1" s="1"/>
  <c r="I7" i="1"/>
  <c r="K7" i="1" s="1"/>
  <c r="L7" i="1" s="1"/>
  <c r="I6" i="1"/>
  <c r="K6" i="1" s="1"/>
  <c r="L6" i="1" s="1"/>
  <c r="I5" i="1"/>
  <c r="K5" i="1" s="1"/>
  <c r="L5" i="1" s="1"/>
  <c r="I4" i="1"/>
  <c r="K4" i="1" s="1"/>
  <c r="L4" i="1" s="1"/>
  <c r="I3" i="1"/>
  <c r="K3" i="1" l="1"/>
  <c r="L3" i="1" s="1"/>
</calcChain>
</file>

<file path=xl/sharedStrings.xml><?xml version="1.0" encoding="utf-8"?>
<sst xmlns="http://schemas.openxmlformats.org/spreadsheetml/2006/main" count="12" uniqueCount="12">
  <si>
    <t>Date</t>
  </si>
  <si>
    <t>Open</t>
  </si>
  <si>
    <t>High</t>
  </si>
  <si>
    <t>Low</t>
  </si>
  <si>
    <t>Close</t>
  </si>
  <si>
    <t>Adj Close</t>
  </si>
  <si>
    <t>Volume</t>
  </si>
  <si>
    <t>Daily Return</t>
  </si>
  <si>
    <t>RF rate</t>
  </si>
  <si>
    <t>Mkt-RF</t>
  </si>
  <si>
    <t>Excess Return for CSCO</t>
  </si>
  <si>
    <t>CSCO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</si>
</sst>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4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252"/>
  <sheetViews>
    <sheetView tabSelected="1" workbookViewId="0">
      <selection activeCell="I3" sqref="I3"/>
    </sheetView>
  </sheetViews>
  <sheetFormatPr baseColWidth="10" defaultRowHeight="16" x14ac:dyDescent="0.2"/>
  <cols>
    <col min="9" max="9" width="13.33203125" bestFit="1" customWidth="1"/>
    <col min="10" max="10" width="11.83203125" customWidth="1"/>
    <col min="11" max="11" width="20.1640625" bestFit="1" customWidth="1"/>
    <col min="12" max="12" width="13.33203125" bestFit="1" customWidth="1"/>
  </cols>
  <sheetData>
    <row r="1" spans="1:1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I1" t="s">
        <v>7</v>
      </c>
      <c r="J1" t="s">
        <v>8</v>
      </c>
      <c r="K1" t="s">
        <v>10</v>
      </c>
      <c r="L1" t="s">
        <v>11</v>
      </c>
      <c r="M1" t="s">
        <v>9</v>
      </c>
    </row>
    <row r="2" spans="1:13" x14ac:dyDescent="0.2">
      <c r="A2" s="1">
        <v>43892</v>
      </c>
      <c r="B2">
        <v>40.150002000000001</v>
      </c>
      <c r="C2">
        <v>41.189999</v>
      </c>
      <c r="D2">
        <v>38.919998</v>
      </c>
      <c r="E2">
        <v>41.169998</v>
      </c>
      <c r="F2">
        <v>39.489089999999997</v>
      </c>
      <c r="G2">
        <v>48864300</v>
      </c>
      <c r="J2">
        <v>6.0000000000000001E-3</v>
      </c>
      <c r="M2">
        <v>4.3099999999999996</v>
      </c>
    </row>
    <row r="3" spans="1:13" x14ac:dyDescent="0.2">
      <c r="A3" s="1">
        <v>43893</v>
      </c>
      <c r="B3">
        <v>41.259998000000003</v>
      </c>
      <c r="C3">
        <v>41.900002000000001</v>
      </c>
      <c r="D3">
        <v>39.709999000000003</v>
      </c>
      <c r="E3">
        <v>40.040000999999997</v>
      </c>
      <c r="F3">
        <v>38.405228000000001</v>
      </c>
      <c r="G3">
        <v>49294700</v>
      </c>
      <c r="I3">
        <f>(F3-F2)/F2</f>
        <v>-2.7447125269283147E-2</v>
      </c>
      <c r="J3">
        <v>6.0000000000000001E-3</v>
      </c>
      <c r="K3">
        <f>I3-J3</f>
        <v>-3.3447125269283146E-2</v>
      </c>
      <c r="L3">
        <f>100*K3</f>
        <v>-3.3447125269283147</v>
      </c>
      <c r="M3">
        <v>-2.79</v>
      </c>
    </row>
    <row r="4" spans="1:13" x14ac:dyDescent="0.2">
      <c r="A4" s="1">
        <v>43894</v>
      </c>
      <c r="B4">
        <v>40.720001000000003</v>
      </c>
      <c r="C4">
        <v>41.450001</v>
      </c>
      <c r="D4">
        <v>39.799999</v>
      </c>
      <c r="E4">
        <v>41.389999000000003</v>
      </c>
      <c r="F4">
        <v>39.700111</v>
      </c>
      <c r="G4">
        <v>30022100</v>
      </c>
      <c r="I4">
        <f t="shared" ref="I4:I67" si="0">(F4-F3)/F3</f>
        <v>3.371632112169725E-2</v>
      </c>
      <c r="J4">
        <v>6.0000000000000001E-3</v>
      </c>
      <c r="K4">
        <f t="shared" ref="K4:K67" si="1">I4-J4</f>
        <v>2.7716321121697252E-2</v>
      </c>
      <c r="L4">
        <f t="shared" ref="L4:L67" si="2">100*K4</f>
        <v>2.7716321121697254</v>
      </c>
      <c r="M4">
        <v>4.03</v>
      </c>
    </row>
    <row r="5" spans="1:13" x14ac:dyDescent="0.2">
      <c r="A5" s="1">
        <v>43895</v>
      </c>
      <c r="B5">
        <v>40.169998</v>
      </c>
      <c r="C5">
        <v>40.509998000000003</v>
      </c>
      <c r="D5">
        <v>39.290000999999997</v>
      </c>
      <c r="E5">
        <v>39.57</v>
      </c>
      <c r="F5">
        <v>37.954417999999997</v>
      </c>
      <c r="G5">
        <v>30255900</v>
      </c>
      <c r="I5">
        <f t="shared" si="0"/>
        <v>-4.3971992924654611E-2</v>
      </c>
      <c r="J5">
        <v>6.0000000000000001E-3</v>
      </c>
      <c r="K5">
        <f t="shared" si="1"/>
        <v>-4.997199292465461E-2</v>
      </c>
      <c r="L5">
        <f t="shared" si="2"/>
        <v>-4.9971992924654609</v>
      </c>
      <c r="M5">
        <v>-3.38</v>
      </c>
    </row>
    <row r="6" spans="1:13" x14ac:dyDescent="0.2">
      <c r="A6" s="1">
        <v>43896</v>
      </c>
      <c r="B6">
        <v>38</v>
      </c>
      <c r="C6">
        <v>39.950001</v>
      </c>
      <c r="D6">
        <v>37.799999</v>
      </c>
      <c r="E6">
        <v>39.68</v>
      </c>
      <c r="F6">
        <v>38.059925</v>
      </c>
      <c r="G6">
        <v>48605600</v>
      </c>
      <c r="I6">
        <f t="shared" si="0"/>
        <v>2.7798344846179149E-3</v>
      </c>
      <c r="J6">
        <v>6.0000000000000001E-3</v>
      </c>
      <c r="K6">
        <f t="shared" si="1"/>
        <v>-3.2201655153820852E-3</v>
      </c>
      <c r="L6">
        <f t="shared" si="2"/>
        <v>-0.32201655153820852</v>
      </c>
      <c r="M6">
        <v>-1.78</v>
      </c>
    </row>
    <row r="7" spans="1:13" x14ac:dyDescent="0.2">
      <c r="A7" s="1">
        <v>43899</v>
      </c>
      <c r="B7">
        <v>36.900002000000001</v>
      </c>
      <c r="C7">
        <v>39.560001</v>
      </c>
      <c r="D7">
        <v>36.290000999999997</v>
      </c>
      <c r="E7">
        <v>37.959999000000003</v>
      </c>
      <c r="F7">
        <v>36.410151999999997</v>
      </c>
      <c r="G7">
        <v>61535300</v>
      </c>
      <c r="I7">
        <f t="shared" si="0"/>
        <v>-4.3346722306993594E-2</v>
      </c>
      <c r="J7">
        <v>6.0000000000000001E-3</v>
      </c>
      <c r="K7">
        <f t="shared" si="1"/>
        <v>-4.9346722306993593E-2</v>
      </c>
      <c r="L7">
        <f t="shared" si="2"/>
        <v>-4.9346722306993591</v>
      </c>
      <c r="M7">
        <v>-7.79</v>
      </c>
    </row>
    <row r="8" spans="1:13" x14ac:dyDescent="0.2">
      <c r="A8" s="1">
        <v>43900</v>
      </c>
      <c r="B8">
        <v>39.25</v>
      </c>
      <c r="C8">
        <v>40.150002000000001</v>
      </c>
      <c r="D8">
        <v>37.869999</v>
      </c>
      <c r="E8">
        <v>40.080002</v>
      </c>
      <c r="F8">
        <v>38.443600000000004</v>
      </c>
      <c r="G8">
        <v>50536500</v>
      </c>
      <c r="I8">
        <f t="shared" si="0"/>
        <v>5.5848379869438809E-2</v>
      </c>
      <c r="J8">
        <v>6.0000000000000001E-3</v>
      </c>
      <c r="K8">
        <f t="shared" si="1"/>
        <v>4.9848379869438811E-2</v>
      </c>
      <c r="L8">
        <f t="shared" si="2"/>
        <v>4.984837986943881</v>
      </c>
      <c r="M8">
        <v>4.74</v>
      </c>
    </row>
    <row r="9" spans="1:13" x14ac:dyDescent="0.2">
      <c r="A9" s="1">
        <v>43901</v>
      </c>
      <c r="B9">
        <v>39.020000000000003</v>
      </c>
      <c r="C9">
        <v>39.159999999999997</v>
      </c>
      <c r="D9">
        <v>36.369999</v>
      </c>
      <c r="E9">
        <v>37.049999</v>
      </c>
      <c r="F9">
        <v>35.537303999999999</v>
      </c>
      <c r="G9">
        <v>63594300</v>
      </c>
      <c r="I9">
        <f t="shared" si="0"/>
        <v>-7.5598955352776651E-2</v>
      </c>
      <c r="J9">
        <v>6.0000000000000001E-3</v>
      </c>
      <c r="K9">
        <f t="shared" si="1"/>
        <v>-8.1598955352776656E-2</v>
      </c>
      <c r="L9">
        <f t="shared" si="2"/>
        <v>-8.1598955352776663</v>
      </c>
      <c r="M9">
        <v>-5.05</v>
      </c>
    </row>
    <row r="10" spans="1:13" x14ac:dyDescent="0.2">
      <c r="A10" s="1">
        <v>43902</v>
      </c>
      <c r="B10">
        <v>34.5</v>
      </c>
      <c r="C10">
        <v>35.82</v>
      </c>
      <c r="D10">
        <v>33</v>
      </c>
      <c r="E10">
        <v>33.200001</v>
      </c>
      <c r="F10">
        <v>31.844495999999999</v>
      </c>
      <c r="G10">
        <v>51855300</v>
      </c>
      <c r="I10">
        <f t="shared" si="0"/>
        <v>-0.10391356643148843</v>
      </c>
      <c r="J10">
        <v>6.0000000000000001E-3</v>
      </c>
      <c r="K10">
        <f t="shared" si="1"/>
        <v>-0.10991356643148843</v>
      </c>
      <c r="L10">
        <f t="shared" si="2"/>
        <v>-10.991356643148844</v>
      </c>
      <c r="M10">
        <v>-9.6300000000000008</v>
      </c>
    </row>
    <row r="11" spans="1:13" x14ac:dyDescent="0.2">
      <c r="A11" s="1">
        <v>43903</v>
      </c>
      <c r="B11">
        <v>35.18</v>
      </c>
      <c r="C11">
        <v>37.68</v>
      </c>
      <c r="D11">
        <v>33.330002</v>
      </c>
      <c r="E11">
        <v>37.639999000000003</v>
      </c>
      <c r="F11">
        <v>36.103222000000002</v>
      </c>
      <c r="G11">
        <v>53859600</v>
      </c>
      <c r="I11">
        <f t="shared" si="0"/>
        <v>0.13373507308766963</v>
      </c>
      <c r="J11">
        <v>6.0000000000000001E-3</v>
      </c>
      <c r="K11">
        <f t="shared" si="1"/>
        <v>0.12773507308766963</v>
      </c>
      <c r="L11">
        <f t="shared" si="2"/>
        <v>12.773507308766963</v>
      </c>
      <c r="M11">
        <v>8.9600000000000009</v>
      </c>
    </row>
    <row r="12" spans="1:13" x14ac:dyDescent="0.2">
      <c r="A12" s="1">
        <v>43906</v>
      </c>
      <c r="B12">
        <v>33.229999999999997</v>
      </c>
      <c r="C12">
        <v>36.990001999999997</v>
      </c>
      <c r="D12">
        <v>32.400002000000001</v>
      </c>
      <c r="E12">
        <v>33.709999000000003</v>
      </c>
      <c r="F12">
        <v>32.333674999999999</v>
      </c>
      <c r="G12">
        <v>44211300</v>
      </c>
      <c r="I12">
        <f t="shared" si="0"/>
        <v>-0.10441026565440621</v>
      </c>
      <c r="J12">
        <v>6.0000000000000001E-3</v>
      </c>
      <c r="K12">
        <f t="shared" si="1"/>
        <v>-0.11041026565440622</v>
      </c>
      <c r="L12">
        <f t="shared" si="2"/>
        <v>-11.041026565440621</v>
      </c>
      <c r="M12">
        <v>-12</v>
      </c>
    </row>
    <row r="13" spans="1:13" x14ac:dyDescent="0.2">
      <c r="A13" s="1">
        <v>43907</v>
      </c>
      <c r="B13">
        <v>34.700001</v>
      </c>
      <c r="C13">
        <v>36.25</v>
      </c>
      <c r="D13">
        <v>33.599997999999999</v>
      </c>
      <c r="E13">
        <v>35.5</v>
      </c>
      <c r="F13">
        <v>34.050590999999997</v>
      </c>
      <c r="G13">
        <v>41572400</v>
      </c>
      <c r="I13">
        <f t="shared" si="0"/>
        <v>5.3099933737813521E-2</v>
      </c>
      <c r="J13">
        <v>6.0000000000000001E-3</v>
      </c>
      <c r="K13">
        <f t="shared" si="1"/>
        <v>4.7099933737813522E-2</v>
      </c>
      <c r="L13">
        <f t="shared" si="2"/>
        <v>4.7099933737813524</v>
      </c>
      <c r="M13">
        <v>5.87</v>
      </c>
    </row>
    <row r="14" spans="1:13" x14ac:dyDescent="0.2">
      <c r="A14" s="1">
        <v>43908</v>
      </c>
      <c r="B14">
        <v>33.759998000000003</v>
      </c>
      <c r="C14">
        <v>37.709999000000003</v>
      </c>
      <c r="D14">
        <v>33.310001</v>
      </c>
      <c r="E14">
        <v>37.119999</v>
      </c>
      <c r="F14">
        <v>35.604446000000003</v>
      </c>
      <c r="G14">
        <v>56904300</v>
      </c>
      <c r="I14">
        <f t="shared" si="0"/>
        <v>4.5633716019789668E-2</v>
      </c>
      <c r="J14">
        <v>6.0000000000000001E-3</v>
      </c>
      <c r="K14">
        <f t="shared" si="1"/>
        <v>3.9633716019789669E-2</v>
      </c>
      <c r="L14">
        <f t="shared" si="2"/>
        <v>3.9633716019789671</v>
      </c>
      <c r="M14">
        <v>-5.56</v>
      </c>
    </row>
    <row r="15" spans="1:13" x14ac:dyDescent="0.2">
      <c r="A15" s="1">
        <v>43909</v>
      </c>
      <c r="B15">
        <v>37.049999</v>
      </c>
      <c r="C15">
        <v>39.32</v>
      </c>
      <c r="D15">
        <v>36.150002000000001</v>
      </c>
      <c r="E15">
        <v>37.709999000000003</v>
      </c>
      <c r="F15">
        <v>36.170357000000003</v>
      </c>
      <c r="G15">
        <v>58319700</v>
      </c>
      <c r="I15">
        <f t="shared" si="0"/>
        <v>1.5894391391457117E-2</v>
      </c>
      <c r="J15">
        <v>6.0000000000000001E-3</v>
      </c>
      <c r="K15">
        <f t="shared" si="1"/>
        <v>9.8943913914571174E-3</v>
      </c>
      <c r="L15">
        <f t="shared" si="2"/>
        <v>0.98943913914571169</v>
      </c>
      <c r="M15">
        <v>1.31</v>
      </c>
    </row>
    <row r="16" spans="1:13" x14ac:dyDescent="0.2">
      <c r="A16" s="1">
        <v>43910</v>
      </c>
      <c r="B16">
        <v>38.270000000000003</v>
      </c>
      <c r="C16">
        <v>38.470001000000003</v>
      </c>
      <c r="D16">
        <v>35.400002000000001</v>
      </c>
      <c r="E16">
        <v>35.599997999999999</v>
      </c>
      <c r="F16">
        <v>34.146503000000003</v>
      </c>
      <c r="G16">
        <v>48582500</v>
      </c>
      <c r="I16">
        <f t="shared" si="0"/>
        <v>-5.5953387465874332E-2</v>
      </c>
      <c r="J16">
        <v>6.0000000000000001E-3</v>
      </c>
      <c r="K16">
        <f t="shared" si="1"/>
        <v>-6.1953387465874331E-2</v>
      </c>
      <c r="L16">
        <f t="shared" si="2"/>
        <v>-6.1953387465874332</v>
      </c>
      <c r="M16">
        <v>-4.1500000000000004</v>
      </c>
    </row>
    <row r="17" spans="1:13" x14ac:dyDescent="0.2">
      <c r="A17" s="1">
        <v>43913</v>
      </c>
      <c r="B17">
        <v>35.509998000000003</v>
      </c>
      <c r="C17">
        <v>35.82</v>
      </c>
      <c r="D17">
        <v>33.740001999999997</v>
      </c>
      <c r="E17">
        <v>34.599997999999999</v>
      </c>
      <c r="F17">
        <v>33.187336000000002</v>
      </c>
      <c r="G17">
        <v>39823400</v>
      </c>
      <c r="I17">
        <f t="shared" si="0"/>
        <v>-2.8089757829667088E-2</v>
      </c>
      <c r="J17">
        <v>6.0000000000000001E-3</v>
      </c>
      <c r="K17">
        <f t="shared" si="1"/>
        <v>-3.408975782966709E-2</v>
      </c>
      <c r="L17">
        <f t="shared" si="2"/>
        <v>-3.4089757829667091</v>
      </c>
      <c r="M17">
        <v>-2.5499999999999998</v>
      </c>
    </row>
    <row r="18" spans="1:13" x14ac:dyDescent="0.2">
      <c r="A18" s="1">
        <v>43914</v>
      </c>
      <c r="B18">
        <v>36.409999999999997</v>
      </c>
      <c r="C18">
        <v>38.68</v>
      </c>
      <c r="D18">
        <v>35.540000999999997</v>
      </c>
      <c r="E18">
        <v>38.599997999999999</v>
      </c>
      <c r="F18">
        <v>37.024020999999998</v>
      </c>
      <c r="G18">
        <v>48235600</v>
      </c>
      <c r="I18">
        <f t="shared" si="0"/>
        <v>0.11560689896893186</v>
      </c>
      <c r="J18">
        <v>6.0000000000000001E-3</v>
      </c>
      <c r="K18">
        <f t="shared" si="1"/>
        <v>0.10960689896893186</v>
      </c>
      <c r="L18">
        <f t="shared" si="2"/>
        <v>10.960689896893186</v>
      </c>
      <c r="M18">
        <v>9.34</v>
      </c>
    </row>
    <row r="19" spans="1:13" x14ac:dyDescent="0.2">
      <c r="A19" s="1">
        <v>43915</v>
      </c>
      <c r="B19">
        <v>38.650002000000001</v>
      </c>
      <c r="C19">
        <v>39.950001</v>
      </c>
      <c r="D19">
        <v>37.5</v>
      </c>
      <c r="E19">
        <v>37.669998</v>
      </c>
      <c r="F19">
        <v>36.131991999999997</v>
      </c>
      <c r="G19">
        <v>42873900</v>
      </c>
      <c r="I19">
        <f t="shared" si="0"/>
        <v>-2.4093250163184622E-2</v>
      </c>
      <c r="J19">
        <v>6.0000000000000001E-3</v>
      </c>
      <c r="K19">
        <f t="shared" si="1"/>
        <v>-3.0093250163184621E-2</v>
      </c>
      <c r="L19">
        <f t="shared" si="2"/>
        <v>-3.0093250163184622</v>
      </c>
      <c r="M19">
        <v>1.18</v>
      </c>
    </row>
    <row r="20" spans="1:13" x14ac:dyDescent="0.2">
      <c r="A20" s="1">
        <v>43916</v>
      </c>
      <c r="B20">
        <v>37.970001000000003</v>
      </c>
      <c r="C20">
        <v>40.919998</v>
      </c>
      <c r="D20">
        <v>37.369999</v>
      </c>
      <c r="E20">
        <v>40.580002</v>
      </c>
      <c r="F20">
        <v>38.923183000000002</v>
      </c>
      <c r="G20">
        <v>38473300</v>
      </c>
      <c r="I20">
        <f t="shared" si="0"/>
        <v>7.7249851046131232E-2</v>
      </c>
      <c r="J20">
        <v>6.0000000000000001E-3</v>
      </c>
      <c r="K20">
        <f t="shared" si="1"/>
        <v>7.1249851046131227E-2</v>
      </c>
      <c r="L20">
        <f t="shared" si="2"/>
        <v>7.1249851046131223</v>
      </c>
      <c r="M20">
        <v>6.02</v>
      </c>
    </row>
    <row r="21" spans="1:13" x14ac:dyDescent="0.2">
      <c r="A21" s="1">
        <v>43917</v>
      </c>
      <c r="B21">
        <v>39.209999000000003</v>
      </c>
      <c r="C21">
        <v>40.150002000000001</v>
      </c>
      <c r="D21">
        <v>38.409999999999997</v>
      </c>
      <c r="E21">
        <v>38.82</v>
      </c>
      <c r="F21">
        <v>37.235042999999997</v>
      </c>
      <c r="G21">
        <v>31278600</v>
      </c>
      <c r="I21">
        <f t="shared" si="0"/>
        <v>-4.3371067571734923E-2</v>
      </c>
      <c r="J21">
        <v>6.0000000000000001E-3</v>
      </c>
      <c r="K21">
        <f t="shared" si="1"/>
        <v>-4.9371067571734921E-2</v>
      </c>
      <c r="L21">
        <f t="shared" si="2"/>
        <v>-4.9371067571734919</v>
      </c>
      <c r="M21">
        <v>-3.48</v>
      </c>
    </row>
    <row r="22" spans="1:13" x14ac:dyDescent="0.2">
      <c r="A22" s="1">
        <v>43920</v>
      </c>
      <c r="B22">
        <v>39.450001</v>
      </c>
      <c r="C22">
        <v>40.490001999999997</v>
      </c>
      <c r="D22">
        <v>38.959999000000003</v>
      </c>
      <c r="E22">
        <v>40.32</v>
      </c>
      <c r="F22">
        <v>38.673797999999998</v>
      </c>
      <c r="G22">
        <v>27120300</v>
      </c>
      <c r="I22">
        <f t="shared" si="0"/>
        <v>3.8639810352844244E-2</v>
      </c>
      <c r="J22">
        <v>6.0000000000000001E-3</v>
      </c>
      <c r="K22">
        <f t="shared" si="1"/>
        <v>3.2639810352844245E-2</v>
      </c>
      <c r="L22">
        <f t="shared" si="2"/>
        <v>3.2639810352844245</v>
      </c>
      <c r="M22">
        <v>3.16</v>
      </c>
    </row>
    <row r="23" spans="1:13" x14ac:dyDescent="0.2">
      <c r="A23" s="1">
        <v>43921</v>
      </c>
      <c r="B23">
        <v>40.130001</v>
      </c>
      <c r="C23">
        <v>40.419998</v>
      </c>
      <c r="D23">
        <v>39.110000999999997</v>
      </c>
      <c r="E23">
        <v>39.310001</v>
      </c>
      <c r="F23">
        <v>37.705036</v>
      </c>
      <c r="G23">
        <v>26014200</v>
      </c>
      <c r="I23">
        <f t="shared" si="0"/>
        <v>-2.5049569737112403E-2</v>
      </c>
      <c r="J23">
        <v>6.0000000000000001E-3</v>
      </c>
      <c r="K23">
        <f t="shared" si="1"/>
        <v>-3.1049569737112405E-2</v>
      </c>
      <c r="L23">
        <f t="shared" si="2"/>
        <v>-3.1049569737112406</v>
      </c>
      <c r="M23">
        <v>-1.44</v>
      </c>
    </row>
    <row r="24" spans="1:13" x14ac:dyDescent="0.2">
      <c r="A24" s="1">
        <v>43922</v>
      </c>
      <c r="B24">
        <v>38.169998</v>
      </c>
      <c r="C24">
        <v>38.860000999999997</v>
      </c>
      <c r="D24">
        <v>37.869999</v>
      </c>
      <c r="E24">
        <v>38.330002</v>
      </c>
      <c r="F24">
        <v>36.765048999999998</v>
      </c>
      <c r="G24">
        <v>26790700</v>
      </c>
      <c r="I24">
        <f t="shared" si="0"/>
        <v>-2.4930012001579897E-2</v>
      </c>
      <c r="J24">
        <v>0</v>
      </c>
      <c r="K24">
        <f t="shared" si="1"/>
        <v>-2.4930012001579897E-2</v>
      </c>
      <c r="L24">
        <f t="shared" si="2"/>
        <v>-2.4930012001579898</v>
      </c>
      <c r="M24">
        <v>-4.51</v>
      </c>
    </row>
    <row r="25" spans="1:13" x14ac:dyDescent="0.2">
      <c r="A25" s="1">
        <v>43923</v>
      </c>
      <c r="B25">
        <v>37.840000000000003</v>
      </c>
      <c r="C25">
        <v>39.950001</v>
      </c>
      <c r="D25">
        <v>37.470001000000003</v>
      </c>
      <c r="E25">
        <v>39.799999</v>
      </c>
      <c r="F25">
        <v>38.536968000000002</v>
      </c>
      <c r="G25">
        <v>28180500</v>
      </c>
      <c r="I25">
        <f t="shared" si="0"/>
        <v>4.8195746998732525E-2</v>
      </c>
      <c r="J25">
        <v>0</v>
      </c>
      <c r="K25">
        <f t="shared" si="1"/>
        <v>4.8195746998732525E-2</v>
      </c>
      <c r="L25">
        <f t="shared" si="2"/>
        <v>4.819574699873252</v>
      </c>
      <c r="M25">
        <v>2.1</v>
      </c>
    </row>
    <row r="26" spans="1:13" x14ac:dyDescent="0.2">
      <c r="A26" s="1">
        <v>43924</v>
      </c>
      <c r="B26">
        <v>39.82</v>
      </c>
      <c r="C26">
        <v>40.290000999999997</v>
      </c>
      <c r="D26">
        <v>38.540000999999997</v>
      </c>
      <c r="E26">
        <v>39.060001</v>
      </c>
      <c r="F26">
        <v>37.820456999999998</v>
      </c>
      <c r="G26">
        <v>21235200</v>
      </c>
      <c r="I26">
        <f t="shared" si="0"/>
        <v>-1.8592822351774122E-2</v>
      </c>
      <c r="J26">
        <v>0</v>
      </c>
      <c r="K26">
        <f t="shared" si="1"/>
        <v>-1.8592822351774122E-2</v>
      </c>
      <c r="L26">
        <f t="shared" si="2"/>
        <v>-1.8592822351774123</v>
      </c>
      <c r="M26">
        <v>-1.64</v>
      </c>
    </row>
    <row r="27" spans="1:13" x14ac:dyDescent="0.2">
      <c r="A27" s="1">
        <v>43927</v>
      </c>
      <c r="B27">
        <v>40.459999000000003</v>
      </c>
      <c r="C27">
        <v>41.68</v>
      </c>
      <c r="D27">
        <v>39.779998999999997</v>
      </c>
      <c r="E27">
        <v>41.43</v>
      </c>
      <c r="F27">
        <v>40.115245999999999</v>
      </c>
      <c r="G27">
        <v>31641400</v>
      </c>
      <c r="I27">
        <f t="shared" si="0"/>
        <v>6.0675866502617928E-2</v>
      </c>
      <c r="J27">
        <v>0</v>
      </c>
      <c r="K27">
        <f t="shared" si="1"/>
        <v>6.0675866502617928E-2</v>
      </c>
      <c r="L27">
        <f t="shared" si="2"/>
        <v>6.0675866502617932</v>
      </c>
      <c r="M27">
        <v>7.06</v>
      </c>
    </row>
    <row r="28" spans="1:13" x14ac:dyDescent="0.2">
      <c r="A28" s="1">
        <v>43928</v>
      </c>
      <c r="B28">
        <v>42.66</v>
      </c>
      <c r="C28">
        <v>42.740001999999997</v>
      </c>
      <c r="D28">
        <v>40.590000000000003</v>
      </c>
      <c r="E28">
        <v>40.639999000000003</v>
      </c>
      <c r="F28">
        <v>39.350315000000002</v>
      </c>
      <c r="G28">
        <v>30366100</v>
      </c>
      <c r="I28">
        <f t="shared" si="0"/>
        <v>-1.9068336262975855E-2</v>
      </c>
      <c r="J28">
        <v>0</v>
      </c>
      <c r="K28">
        <f t="shared" si="1"/>
        <v>-1.9068336262975855E-2</v>
      </c>
      <c r="L28">
        <f t="shared" si="2"/>
        <v>-1.9068336262975856</v>
      </c>
      <c r="M28">
        <v>-0.11</v>
      </c>
    </row>
    <row r="29" spans="1:13" x14ac:dyDescent="0.2">
      <c r="A29" s="1">
        <v>43929</v>
      </c>
      <c r="B29">
        <v>41.169998</v>
      </c>
      <c r="C29">
        <v>42.200001</v>
      </c>
      <c r="D29">
        <v>40.869999</v>
      </c>
      <c r="E29">
        <v>41.740001999999997</v>
      </c>
      <c r="F29">
        <v>40.415408999999997</v>
      </c>
      <c r="G29">
        <v>22683500</v>
      </c>
      <c r="I29">
        <f t="shared" si="0"/>
        <v>2.7066975194480522E-2</v>
      </c>
      <c r="J29">
        <v>0</v>
      </c>
      <c r="K29">
        <f t="shared" si="1"/>
        <v>2.7066975194480522E-2</v>
      </c>
      <c r="L29">
        <f t="shared" si="2"/>
        <v>2.7066975194480523</v>
      </c>
      <c r="M29">
        <v>3.4</v>
      </c>
    </row>
    <row r="30" spans="1:13" x14ac:dyDescent="0.2">
      <c r="A30" s="1">
        <v>43930</v>
      </c>
      <c r="B30">
        <v>42.09</v>
      </c>
      <c r="C30">
        <v>42.200001</v>
      </c>
      <c r="D30">
        <v>40.849997999999999</v>
      </c>
      <c r="E30">
        <v>41.200001</v>
      </c>
      <c r="F30">
        <v>39.892544000000001</v>
      </c>
      <c r="G30">
        <v>27650200</v>
      </c>
      <c r="I30">
        <f t="shared" si="0"/>
        <v>-1.2937268555169043E-2</v>
      </c>
      <c r="J30">
        <v>0</v>
      </c>
      <c r="K30">
        <f t="shared" si="1"/>
        <v>-1.2937268555169043E-2</v>
      </c>
      <c r="L30">
        <f t="shared" si="2"/>
        <v>-1.2937268555169044</v>
      </c>
      <c r="M30">
        <v>1.59</v>
      </c>
    </row>
    <row r="31" spans="1:13" x14ac:dyDescent="0.2">
      <c r="A31" s="1">
        <v>43934</v>
      </c>
      <c r="B31">
        <v>41.040000999999997</v>
      </c>
      <c r="C31">
        <v>41.459999000000003</v>
      </c>
      <c r="D31">
        <v>40.529998999999997</v>
      </c>
      <c r="E31">
        <v>41.220001000000003</v>
      </c>
      <c r="F31">
        <v>39.911911000000003</v>
      </c>
      <c r="G31">
        <v>19592000</v>
      </c>
      <c r="I31">
        <f t="shared" si="0"/>
        <v>4.8547919129957159E-4</v>
      </c>
      <c r="J31">
        <v>0</v>
      </c>
      <c r="K31">
        <f t="shared" si="1"/>
        <v>4.8547919129957159E-4</v>
      </c>
      <c r="L31">
        <f t="shared" si="2"/>
        <v>4.8547919129957158E-2</v>
      </c>
      <c r="M31">
        <v>-0.92</v>
      </c>
    </row>
    <row r="32" spans="1:13" x14ac:dyDescent="0.2">
      <c r="A32" s="1">
        <v>43935</v>
      </c>
      <c r="B32">
        <v>41.91</v>
      </c>
      <c r="C32">
        <v>42.82</v>
      </c>
      <c r="D32">
        <v>41.529998999999997</v>
      </c>
      <c r="E32">
        <v>42.779998999999997</v>
      </c>
      <c r="F32">
        <v>41.422404999999998</v>
      </c>
      <c r="G32">
        <v>22882400</v>
      </c>
      <c r="I32">
        <f t="shared" si="0"/>
        <v>3.784569473508783E-2</v>
      </c>
      <c r="J32">
        <v>0</v>
      </c>
      <c r="K32">
        <f t="shared" si="1"/>
        <v>3.784569473508783E-2</v>
      </c>
      <c r="L32">
        <f t="shared" si="2"/>
        <v>3.7845694735087831</v>
      </c>
      <c r="M32">
        <v>3.02</v>
      </c>
    </row>
    <row r="33" spans="1:13" x14ac:dyDescent="0.2">
      <c r="A33" s="1">
        <v>43936</v>
      </c>
      <c r="B33">
        <v>42.200001</v>
      </c>
      <c r="C33">
        <v>42.369999</v>
      </c>
      <c r="D33">
        <v>41.23</v>
      </c>
      <c r="E33">
        <v>41.52</v>
      </c>
      <c r="F33">
        <v>40.202393000000001</v>
      </c>
      <c r="G33">
        <v>18428800</v>
      </c>
      <c r="I33">
        <f t="shared" si="0"/>
        <v>-2.9452949436422078E-2</v>
      </c>
      <c r="J33">
        <v>0</v>
      </c>
      <c r="K33">
        <f t="shared" si="1"/>
        <v>-2.9452949436422078E-2</v>
      </c>
      <c r="L33">
        <f t="shared" si="2"/>
        <v>-2.945294943642208</v>
      </c>
      <c r="M33">
        <v>-2.15</v>
      </c>
    </row>
    <row r="34" spans="1:13" x14ac:dyDescent="0.2">
      <c r="A34" s="1">
        <v>43937</v>
      </c>
      <c r="B34">
        <v>41.759998000000003</v>
      </c>
      <c r="C34">
        <v>41.790000999999997</v>
      </c>
      <c r="D34">
        <v>40.68</v>
      </c>
      <c r="E34">
        <v>41.5</v>
      </c>
      <c r="F34">
        <v>40.183025000000001</v>
      </c>
      <c r="G34">
        <v>26178000</v>
      </c>
      <c r="I34">
        <f t="shared" si="0"/>
        <v>-4.8176236673274774E-4</v>
      </c>
      <c r="J34">
        <v>0</v>
      </c>
      <c r="K34">
        <f t="shared" si="1"/>
        <v>-4.8176236673274774E-4</v>
      </c>
      <c r="L34">
        <f t="shared" si="2"/>
        <v>-4.8176236673274773E-2</v>
      </c>
      <c r="M34">
        <v>0.62</v>
      </c>
    </row>
    <row r="35" spans="1:13" x14ac:dyDescent="0.2">
      <c r="A35" s="1">
        <v>43938</v>
      </c>
      <c r="B35">
        <v>42.25</v>
      </c>
      <c r="C35">
        <v>42.639999000000003</v>
      </c>
      <c r="D35">
        <v>41.740001999999997</v>
      </c>
      <c r="E35">
        <v>42.48</v>
      </c>
      <c r="F35">
        <v>41.131923999999998</v>
      </c>
      <c r="G35">
        <v>30701500</v>
      </c>
      <c r="I35">
        <f t="shared" si="0"/>
        <v>2.3614424250040837E-2</v>
      </c>
      <c r="J35">
        <v>0</v>
      </c>
      <c r="K35">
        <f t="shared" si="1"/>
        <v>2.3614424250040837E-2</v>
      </c>
      <c r="L35">
        <f t="shared" si="2"/>
        <v>2.3614424250040837</v>
      </c>
      <c r="M35">
        <v>2.72</v>
      </c>
    </row>
    <row r="36" spans="1:13" x14ac:dyDescent="0.2">
      <c r="A36" s="1">
        <v>43941</v>
      </c>
      <c r="B36">
        <v>41.919998</v>
      </c>
      <c r="C36">
        <v>43.290000999999997</v>
      </c>
      <c r="D36">
        <v>41.790000999999997</v>
      </c>
      <c r="E36">
        <v>42.540000999999997</v>
      </c>
      <c r="F36">
        <v>41.190021999999999</v>
      </c>
      <c r="G36">
        <v>23438800</v>
      </c>
      <c r="I36">
        <f t="shared" si="0"/>
        <v>1.4124795134796296E-3</v>
      </c>
      <c r="J36">
        <v>0</v>
      </c>
      <c r="K36">
        <f t="shared" si="1"/>
        <v>1.4124795134796296E-3</v>
      </c>
      <c r="L36">
        <f t="shared" si="2"/>
        <v>0.14124795134796295</v>
      </c>
      <c r="M36">
        <v>-1.56</v>
      </c>
    </row>
    <row r="37" spans="1:13" x14ac:dyDescent="0.2">
      <c r="A37" s="1">
        <v>43942</v>
      </c>
      <c r="B37">
        <v>41.830002</v>
      </c>
      <c r="C37">
        <v>41.990001999999997</v>
      </c>
      <c r="D37">
        <v>40.409999999999997</v>
      </c>
      <c r="E37">
        <v>40.549999</v>
      </c>
      <c r="F37">
        <v>39.263165000000001</v>
      </c>
      <c r="G37">
        <v>31661000</v>
      </c>
      <c r="I37">
        <f t="shared" si="0"/>
        <v>-4.6779703103824476E-2</v>
      </c>
      <c r="J37">
        <v>0</v>
      </c>
      <c r="K37">
        <f t="shared" si="1"/>
        <v>-4.6779703103824476E-2</v>
      </c>
      <c r="L37">
        <f t="shared" si="2"/>
        <v>-4.6779703103824479</v>
      </c>
      <c r="M37">
        <v>-3.08</v>
      </c>
    </row>
    <row r="38" spans="1:13" x14ac:dyDescent="0.2">
      <c r="A38" s="1">
        <v>43943</v>
      </c>
      <c r="B38">
        <v>41.27</v>
      </c>
      <c r="C38">
        <v>42.09</v>
      </c>
      <c r="D38">
        <v>41.110000999999997</v>
      </c>
      <c r="E38">
        <v>41.759998000000003</v>
      </c>
      <c r="F38">
        <v>40.434772000000002</v>
      </c>
      <c r="G38">
        <v>18337400</v>
      </c>
      <c r="I38">
        <f t="shared" si="0"/>
        <v>2.9839851168391586E-2</v>
      </c>
      <c r="J38">
        <v>0</v>
      </c>
      <c r="K38">
        <f t="shared" si="1"/>
        <v>2.9839851168391586E-2</v>
      </c>
      <c r="L38">
        <f t="shared" si="2"/>
        <v>2.9839851168391585</v>
      </c>
      <c r="M38">
        <v>2.31</v>
      </c>
    </row>
    <row r="39" spans="1:13" x14ac:dyDescent="0.2">
      <c r="A39" s="1">
        <v>43944</v>
      </c>
      <c r="B39">
        <v>41.889999000000003</v>
      </c>
      <c r="C39">
        <v>42.549999</v>
      </c>
      <c r="D39">
        <v>41.529998999999997</v>
      </c>
      <c r="E39">
        <v>41.619999</v>
      </c>
      <c r="F39">
        <v>40.299216999999999</v>
      </c>
      <c r="G39">
        <v>16100200</v>
      </c>
      <c r="I39">
        <f t="shared" si="0"/>
        <v>-3.3524363634350068E-3</v>
      </c>
      <c r="J39">
        <v>0</v>
      </c>
      <c r="K39">
        <f t="shared" si="1"/>
        <v>-3.3524363634350068E-3</v>
      </c>
      <c r="L39">
        <f t="shared" si="2"/>
        <v>-0.33524363634350068</v>
      </c>
      <c r="M39">
        <v>0.13</v>
      </c>
    </row>
    <row r="40" spans="1:13" x14ac:dyDescent="0.2">
      <c r="A40" s="1">
        <v>43945</v>
      </c>
      <c r="B40">
        <v>41.84</v>
      </c>
      <c r="C40">
        <v>42.66</v>
      </c>
      <c r="D40">
        <v>41.650002000000001</v>
      </c>
      <c r="E40">
        <v>42.52</v>
      </c>
      <c r="F40">
        <v>41.170658000000003</v>
      </c>
      <c r="G40">
        <v>14641700</v>
      </c>
      <c r="I40">
        <f t="shared" si="0"/>
        <v>2.162426629777954E-2</v>
      </c>
      <c r="J40">
        <v>0</v>
      </c>
      <c r="K40">
        <f t="shared" si="1"/>
        <v>2.162426629777954E-2</v>
      </c>
      <c r="L40">
        <f t="shared" si="2"/>
        <v>2.1624266297779542</v>
      </c>
      <c r="M40">
        <v>1.44</v>
      </c>
    </row>
    <row r="41" spans="1:13" x14ac:dyDescent="0.2">
      <c r="A41" s="1">
        <v>43948</v>
      </c>
      <c r="B41">
        <v>42.700001</v>
      </c>
      <c r="C41">
        <v>43.220001000000003</v>
      </c>
      <c r="D41">
        <v>42.580002</v>
      </c>
      <c r="E41">
        <v>43.060001</v>
      </c>
      <c r="F41">
        <v>41.693519999999999</v>
      </c>
      <c r="G41">
        <v>17937900</v>
      </c>
      <c r="I41">
        <f t="shared" si="0"/>
        <v>1.2699869892776461E-2</v>
      </c>
      <c r="J41">
        <v>0</v>
      </c>
      <c r="K41">
        <f t="shared" si="1"/>
        <v>1.2699869892776461E-2</v>
      </c>
      <c r="L41">
        <f t="shared" si="2"/>
        <v>1.2699869892776461</v>
      </c>
      <c r="M41">
        <v>1.73</v>
      </c>
    </row>
    <row r="42" spans="1:13" x14ac:dyDescent="0.2">
      <c r="A42" s="1">
        <v>43949</v>
      </c>
      <c r="B42">
        <v>43.5</v>
      </c>
      <c r="C42">
        <v>43.630001</v>
      </c>
      <c r="D42">
        <v>42.41</v>
      </c>
      <c r="E42">
        <v>42.490001999999997</v>
      </c>
      <c r="F42">
        <v>41.141613</v>
      </c>
      <c r="G42">
        <v>16427700</v>
      </c>
      <c r="I42">
        <f t="shared" si="0"/>
        <v>-1.3237236865584865E-2</v>
      </c>
      <c r="J42">
        <v>0</v>
      </c>
      <c r="K42">
        <f t="shared" si="1"/>
        <v>-1.3237236865584865E-2</v>
      </c>
      <c r="L42">
        <f t="shared" si="2"/>
        <v>-1.3237236865584865</v>
      </c>
      <c r="M42">
        <v>-0.45</v>
      </c>
    </row>
    <row r="43" spans="1:13" x14ac:dyDescent="0.2">
      <c r="A43" s="1">
        <v>43950</v>
      </c>
      <c r="B43">
        <v>43.349997999999999</v>
      </c>
      <c r="C43">
        <v>43.48</v>
      </c>
      <c r="D43">
        <v>42.93</v>
      </c>
      <c r="E43">
        <v>43.34</v>
      </c>
      <c r="F43">
        <v>41.96463</v>
      </c>
      <c r="G43">
        <v>17430100</v>
      </c>
      <c r="I43">
        <f t="shared" si="0"/>
        <v>2.0004490344119472E-2</v>
      </c>
      <c r="J43">
        <v>0</v>
      </c>
      <c r="K43">
        <f t="shared" si="1"/>
        <v>2.0004490344119472E-2</v>
      </c>
      <c r="L43">
        <f t="shared" si="2"/>
        <v>2.0004490344119472</v>
      </c>
      <c r="M43">
        <v>2.92</v>
      </c>
    </row>
    <row r="44" spans="1:13" x14ac:dyDescent="0.2">
      <c r="A44" s="1">
        <v>43951</v>
      </c>
      <c r="B44">
        <v>43.169998</v>
      </c>
      <c r="C44">
        <v>43.169998</v>
      </c>
      <c r="D44">
        <v>42.169998</v>
      </c>
      <c r="E44">
        <v>42.380001</v>
      </c>
      <c r="F44">
        <v>41.035094999999998</v>
      </c>
      <c r="G44">
        <v>26679900</v>
      </c>
      <c r="I44">
        <f t="shared" si="0"/>
        <v>-2.2150439548734288E-2</v>
      </c>
      <c r="J44">
        <v>0</v>
      </c>
      <c r="K44">
        <f t="shared" si="1"/>
        <v>-2.2150439548734288E-2</v>
      </c>
      <c r="L44">
        <f t="shared" si="2"/>
        <v>-2.2150439548734289</v>
      </c>
      <c r="M44">
        <v>-1.18</v>
      </c>
    </row>
    <row r="45" spans="1:13" x14ac:dyDescent="0.2">
      <c r="A45" s="1">
        <v>43952</v>
      </c>
      <c r="B45">
        <v>41.720001000000003</v>
      </c>
      <c r="C45">
        <v>41.810001</v>
      </c>
      <c r="D45">
        <v>40.770000000000003</v>
      </c>
      <c r="E45">
        <v>40.919998</v>
      </c>
      <c r="F45">
        <v>39.621428999999999</v>
      </c>
      <c r="G45">
        <v>22095300</v>
      </c>
      <c r="I45">
        <f t="shared" si="0"/>
        <v>-3.4450170031286614E-2</v>
      </c>
      <c r="J45">
        <v>0</v>
      </c>
      <c r="K45">
        <f t="shared" si="1"/>
        <v>-3.4450170031286614E-2</v>
      </c>
      <c r="L45">
        <f t="shared" si="2"/>
        <v>-3.4450170031286613</v>
      </c>
      <c r="M45">
        <v>-2.91</v>
      </c>
    </row>
    <row r="46" spans="1:13" x14ac:dyDescent="0.2">
      <c r="A46" s="1">
        <v>43955</v>
      </c>
      <c r="B46">
        <v>40.950001</v>
      </c>
      <c r="C46">
        <v>41.41</v>
      </c>
      <c r="D46">
        <v>40.490001999999997</v>
      </c>
      <c r="E46">
        <v>41.349997999999999</v>
      </c>
      <c r="F46">
        <v>40.037785</v>
      </c>
      <c r="G46">
        <v>15997700</v>
      </c>
      <c r="I46">
        <f t="shared" si="0"/>
        <v>1.0508353951595243E-2</v>
      </c>
      <c r="J46">
        <v>0</v>
      </c>
      <c r="K46">
        <f t="shared" si="1"/>
        <v>1.0508353951595243E-2</v>
      </c>
      <c r="L46">
        <f t="shared" si="2"/>
        <v>1.0508353951595244</v>
      </c>
      <c r="M46">
        <v>0.53</v>
      </c>
    </row>
    <row r="47" spans="1:13" x14ac:dyDescent="0.2">
      <c r="A47" s="1">
        <v>43956</v>
      </c>
      <c r="B47">
        <v>41.610000999999997</v>
      </c>
      <c r="C47">
        <v>41.93</v>
      </c>
      <c r="D47">
        <v>41.389999000000003</v>
      </c>
      <c r="E47">
        <v>41.459999000000003</v>
      </c>
      <c r="F47">
        <v>40.144291000000003</v>
      </c>
      <c r="G47">
        <v>15060200</v>
      </c>
      <c r="I47">
        <f t="shared" si="0"/>
        <v>2.6601371679278235E-3</v>
      </c>
      <c r="J47">
        <v>0</v>
      </c>
      <c r="K47">
        <f t="shared" si="1"/>
        <v>2.6601371679278235E-3</v>
      </c>
      <c r="L47">
        <f t="shared" si="2"/>
        <v>0.26601371679278235</v>
      </c>
      <c r="M47">
        <v>0.95</v>
      </c>
    </row>
    <row r="48" spans="1:13" x14ac:dyDescent="0.2">
      <c r="A48" s="1">
        <v>43957</v>
      </c>
      <c r="B48">
        <v>41.560001</v>
      </c>
      <c r="C48">
        <v>41.689999</v>
      </c>
      <c r="D48">
        <v>40.970001000000003</v>
      </c>
      <c r="E48">
        <v>41.150002000000001</v>
      </c>
      <c r="F48">
        <v>39.844130999999997</v>
      </c>
      <c r="G48">
        <v>16040300</v>
      </c>
      <c r="I48">
        <f t="shared" si="0"/>
        <v>-7.4770283027294042E-3</v>
      </c>
      <c r="J48">
        <v>0</v>
      </c>
      <c r="K48">
        <f t="shared" si="1"/>
        <v>-7.4770283027294042E-3</v>
      </c>
      <c r="L48">
        <f t="shared" si="2"/>
        <v>-0.74770283027294038</v>
      </c>
      <c r="M48">
        <v>-0.52</v>
      </c>
    </row>
    <row r="49" spans="1:13" x14ac:dyDescent="0.2">
      <c r="A49" s="1">
        <v>43958</v>
      </c>
      <c r="B49">
        <v>41.59</v>
      </c>
      <c r="C49">
        <v>41.77</v>
      </c>
      <c r="D49">
        <v>41.220001000000003</v>
      </c>
      <c r="E49">
        <v>41.369999</v>
      </c>
      <c r="F49">
        <v>40.057144000000001</v>
      </c>
      <c r="G49">
        <v>20173600</v>
      </c>
      <c r="I49">
        <f t="shared" si="0"/>
        <v>5.3461575056061254E-3</v>
      </c>
      <c r="J49">
        <v>0</v>
      </c>
      <c r="K49">
        <f t="shared" si="1"/>
        <v>5.3461575056061254E-3</v>
      </c>
      <c r="L49">
        <f t="shared" si="2"/>
        <v>0.5346157505606125</v>
      </c>
      <c r="M49">
        <v>1.33</v>
      </c>
    </row>
    <row r="50" spans="1:13" x14ac:dyDescent="0.2">
      <c r="A50" s="1">
        <v>43959</v>
      </c>
      <c r="B50">
        <v>42.02</v>
      </c>
      <c r="C50">
        <v>43.02</v>
      </c>
      <c r="D50">
        <v>41.700001</v>
      </c>
      <c r="E50">
        <v>42.990001999999997</v>
      </c>
      <c r="F50">
        <v>41.62574</v>
      </c>
      <c r="G50">
        <v>21962800</v>
      </c>
      <c r="I50">
        <f t="shared" si="0"/>
        <v>3.915895751329649E-2</v>
      </c>
      <c r="J50">
        <v>0</v>
      </c>
      <c r="K50">
        <f t="shared" si="1"/>
        <v>3.915895751329649E-2</v>
      </c>
      <c r="L50">
        <f t="shared" si="2"/>
        <v>3.9158957513296491</v>
      </c>
      <c r="M50">
        <v>1.9</v>
      </c>
    </row>
    <row r="51" spans="1:13" x14ac:dyDescent="0.2">
      <c r="A51" s="1">
        <v>43962</v>
      </c>
      <c r="B51">
        <v>42.779998999999997</v>
      </c>
      <c r="C51">
        <v>43.650002000000001</v>
      </c>
      <c r="D51">
        <v>42.610000999999997</v>
      </c>
      <c r="E51">
        <v>43.32</v>
      </c>
      <c r="F51">
        <v>41.945267000000001</v>
      </c>
      <c r="G51">
        <v>26182700</v>
      </c>
      <c r="I51">
        <f t="shared" si="0"/>
        <v>7.6761878587624094E-3</v>
      </c>
      <c r="J51">
        <v>0</v>
      </c>
      <c r="K51">
        <f t="shared" si="1"/>
        <v>7.6761878587624094E-3</v>
      </c>
      <c r="L51">
        <f t="shared" si="2"/>
        <v>0.76761878587624088</v>
      </c>
      <c r="M51">
        <v>7.0000000000000007E-2</v>
      </c>
    </row>
    <row r="52" spans="1:13" x14ac:dyDescent="0.2">
      <c r="A52" s="1">
        <v>43963</v>
      </c>
      <c r="B52">
        <v>43.939999</v>
      </c>
      <c r="C52">
        <v>44.299999</v>
      </c>
      <c r="D52">
        <v>43.189999</v>
      </c>
      <c r="E52">
        <v>43.220001000000003</v>
      </c>
      <c r="F52">
        <v>41.848441999999999</v>
      </c>
      <c r="G52">
        <v>25817100</v>
      </c>
      <c r="I52">
        <f t="shared" si="0"/>
        <v>-2.3083653276066308E-3</v>
      </c>
      <c r="J52">
        <v>0</v>
      </c>
      <c r="K52">
        <f t="shared" si="1"/>
        <v>-2.3083653276066308E-3</v>
      </c>
      <c r="L52">
        <f t="shared" si="2"/>
        <v>-0.23083653276066307</v>
      </c>
      <c r="M52">
        <v>-2.06</v>
      </c>
    </row>
    <row r="53" spans="1:13" x14ac:dyDescent="0.2">
      <c r="A53" s="1">
        <v>43964</v>
      </c>
      <c r="B53">
        <v>43.41</v>
      </c>
      <c r="C53">
        <v>43.57</v>
      </c>
      <c r="D53">
        <v>41.310001</v>
      </c>
      <c r="E53">
        <v>41.950001</v>
      </c>
      <c r="F53">
        <v>40.618744</v>
      </c>
      <c r="G53">
        <v>36986700</v>
      </c>
      <c r="I53">
        <f t="shared" si="0"/>
        <v>-2.9384558689186067E-2</v>
      </c>
      <c r="J53">
        <v>0</v>
      </c>
      <c r="K53">
        <f t="shared" si="1"/>
        <v>-2.9384558689186067E-2</v>
      </c>
      <c r="L53">
        <f t="shared" si="2"/>
        <v>-2.9384558689186067</v>
      </c>
      <c r="M53">
        <v>-1.89</v>
      </c>
    </row>
    <row r="54" spans="1:13" x14ac:dyDescent="0.2">
      <c r="A54" s="1">
        <v>43965</v>
      </c>
      <c r="B54">
        <v>43.43</v>
      </c>
      <c r="C54">
        <v>44.580002</v>
      </c>
      <c r="D54">
        <v>43.259998000000003</v>
      </c>
      <c r="E54">
        <v>43.849997999999999</v>
      </c>
      <c r="F54">
        <v>42.458447</v>
      </c>
      <c r="G54">
        <v>50417700</v>
      </c>
      <c r="I54">
        <f t="shared" si="0"/>
        <v>4.5291971607984732E-2</v>
      </c>
      <c r="J54">
        <v>0</v>
      </c>
      <c r="K54">
        <f t="shared" si="1"/>
        <v>4.5291971607984732E-2</v>
      </c>
      <c r="L54">
        <f t="shared" si="2"/>
        <v>4.5291971607984731</v>
      </c>
      <c r="M54">
        <v>1.1399999999999999</v>
      </c>
    </row>
    <row r="55" spans="1:13" x14ac:dyDescent="0.2">
      <c r="A55" s="1">
        <v>43966</v>
      </c>
      <c r="B55">
        <v>42.93</v>
      </c>
      <c r="C55">
        <v>44.380001</v>
      </c>
      <c r="D55">
        <v>42.849997999999999</v>
      </c>
      <c r="E55">
        <v>44.27</v>
      </c>
      <c r="F55">
        <v>42.865124000000002</v>
      </c>
      <c r="G55">
        <v>30573000</v>
      </c>
      <c r="I55">
        <f t="shared" si="0"/>
        <v>9.5782353980116593E-3</v>
      </c>
      <c r="J55">
        <v>0</v>
      </c>
      <c r="K55">
        <f t="shared" si="1"/>
        <v>9.5782353980116593E-3</v>
      </c>
      <c r="L55">
        <f t="shared" si="2"/>
        <v>0.95782353980116597</v>
      </c>
      <c r="M55">
        <v>0.56999999999999995</v>
      </c>
    </row>
    <row r="56" spans="1:13" x14ac:dyDescent="0.2">
      <c r="A56" s="1">
        <v>43969</v>
      </c>
      <c r="B56">
        <v>45.209999000000003</v>
      </c>
      <c r="C56">
        <v>45.299999</v>
      </c>
      <c r="D56">
        <v>44.330002</v>
      </c>
      <c r="E56">
        <v>45.060001</v>
      </c>
      <c r="F56">
        <v>43.630051000000002</v>
      </c>
      <c r="G56">
        <v>26980100</v>
      </c>
      <c r="I56">
        <f t="shared" si="0"/>
        <v>1.7844973456743064E-2</v>
      </c>
      <c r="J56">
        <v>0</v>
      </c>
      <c r="K56">
        <f t="shared" si="1"/>
        <v>1.7844973456743064E-2</v>
      </c>
      <c r="L56">
        <f t="shared" si="2"/>
        <v>1.7844973456743063</v>
      </c>
      <c r="M56">
        <v>3.24</v>
      </c>
    </row>
    <row r="57" spans="1:13" x14ac:dyDescent="0.2">
      <c r="A57" s="1">
        <v>43970</v>
      </c>
      <c r="B57">
        <v>44.830002</v>
      </c>
      <c r="C57">
        <v>44.98</v>
      </c>
      <c r="D57">
        <v>44.41</v>
      </c>
      <c r="E57">
        <v>44.610000999999997</v>
      </c>
      <c r="F57">
        <v>43.194332000000003</v>
      </c>
      <c r="G57">
        <v>24345400</v>
      </c>
      <c r="I57">
        <f t="shared" si="0"/>
        <v>-9.9866718010482927E-3</v>
      </c>
      <c r="J57">
        <v>0</v>
      </c>
      <c r="K57">
        <f t="shared" si="1"/>
        <v>-9.9866718010482927E-3</v>
      </c>
      <c r="L57">
        <f t="shared" si="2"/>
        <v>-0.99866718010482924</v>
      </c>
      <c r="M57">
        <v>-1.01</v>
      </c>
    </row>
    <row r="58" spans="1:13" x14ac:dyDescent="0.2">
      <c r="A58" s="1">
        <v>43971</v>
      </c>
      <c r="B58">
        <v>45.049999</v>
      </c>
      <c r="C58">
        <v>45.82</v>
      </c>
      <c r="D58">
        <v>45.029998999999997</v>
      </c>
      <c r="E58">
        <v>45.439999</v>
      </c>
      <c r="F58">
        <v>43.997985999999997</v>
      </c>
      <c r="G58">
        <v>20184500</v>
      </c>
      <c r="I58">
        <f t="shared" si="0"/>
        <v>1.8605542967998545E-2</v>
      </c>
      <c r="J58">
        <v>0</v>
      </c>
      <c r="K58">
        <f t="shared" si="1"/>
        <v>1.8605542967998545E-2</v>
      </c>
      <c r="L58">
        <f t="shared" si="2"/>
        <v>1.8605542967998545</v>
      </c>
      <c r="M58">
        <v>1.8</v>
      </c>
    </row>
    <row r="59" spans="1:13" x14ac:dyDescent="0.2">
      <c r="A59" s="1">
        <v>43972</v>
      </c>
      <c r="B59">
        <v>45.450001</v>
      </c>
      <c r="C59">
        <v>45.66</v>
      </c>
      <c r="D59">
        <v>44.560001</v>
      </c>
      <c r="E59">
        <v>44.639999000000003</v>
      </c>
      <c r="F59">
        <v>43.223381000000003</v>
      </c>
      <c r="G59">
        <v>18674900</v>
      </c>
      <c r="I59">
        <f t="shared" si="0"/>
        <v>-1.7605464941054211E-2</v>
      </c>
      <c r="J59">
        <v>0</v>
      </c>
      <c r="K59">
        <f t="shared" si="1"/>
        <v>-1.7605464941054211E-2</v>
      </c>
      <c r="L59">
        <f t="shared" si="2"/>
        <v>-1.7605464941054212</v>
      </c>
      <c r="M59">
        <v>-0.7</v>
      </c>
    </row>
    <row r="60" spans="1:13" x14ac:dyDescent="0.2">
      <c r="A60" s="1">
        <v>43973</v>
      </c>
      <c r="B60">
        <v>44.669998</v>
      </c>
      <c r="C60">
        <v>44.950001</v>
      </c>
      <c r="D60">
        <v>44.119999</v>
      </c>
      <c r="E60">
        <v>44.900002000000001</v>
      </c>
      <c r="F60">
        <v>43.475132000000002</v>
      </c>
      <c r="G60">
        <v>12592800</v>
      </c>
      <c r="I60">
        <f t="shared" si="0"/>
        <v>5.8244171135061994E-3</v>
      </c>
      <c r="J60">
        <v>0</v>
      </c>
      <c r="K60">
        <f t="shared" si="1"/>
        <v>5.8244171135061994E-3</v>
      </c>
      <c r="L60">
        <f t="shared" si="2"/>
        <v>0.58244171135061995</v>
      </c>
      <c r="M60">
        <v>0.27</v>
      </c>
    </row>
    <row r="61" spans="1:13" x14ac:dyDescent="0.2">
      <c r="A61" s="1">
        <v>43977</v>
      </c>
      <c r="B61">
        <v>45.779998999999997</v>
      </c>
      <c r="C61">
        <v>45.799999</v>
      </c>
      <c r="D61">
        <v>44.68</v>
      </c>
      <c r="E61">
        <v>44.84</v>
      </c>
      <c r="F61">
        <v>43.417034000000001</v>
      </c>
      <c r="G61">
        <v>21776900</v>
      </c>
      <c r="I61">
        <f t="shared" si="0"/>
        <v>-1.3363501691035944E-3</v>
      </c>
      <c r="J61">
        <v>0</v>
      </c>
      <c r="K61">
        <f t="shared" si="1"/>
        <v>-1.3363501691035944E-3</v>
      </c>
      <c r="L61">
        <f t="shared" si="2"/>
        <v>-0.13363501691035945</v>
      </c>
      <c r="M61">
        <v>1.23</v>
      </c>
    </row>
    <row r="62" spans="1:13" x14ac:dyDescent="0.2">
      <c r="A62" s="1">
        <v>43978</v>
      </c>
      <c r="B62">
        <v>45.040000999999997</v>
      </c>
      <c r="C62">
        <v>45.98</v>
      </c>
      <c r="D62">
        <v>44.799999</v>
      </c>
      <c r="E62">
        <v>45.959999000000003</v>
      </c>
      <c r="F62">
        <v>44.501488000000002</v>
      </c>
      <c r="G62">
        <v>22157200</v>
      </c>
      <c r="I62">
        <f t="shared" si="0"/>
        <v>2.4977615928347408E-2</v>
      </c>
      <c r="J62">
        <v>0</v>
      </c>
      <c r="K62">
        <f t="shared" si="1"/>
        <v>2.4977615928347408E-2</v>
      </c>
      <c r="L62">
        <f t="shared" si="2"/>
        <v>2.497761592834741</v>
      </c>
      <c r="M62">
        <v>1.54</v>
      </c>
    </row>
    <row r="63" spans="1:13" x14ac:dyDescent="0.2">
      <c r="A63" s="1">
        <v>43979</v>
      </c>
      <c r="B63">
        <v>45.900002000000001</v>
      </c>
      <c r="C63">
        <v>46.459999000000003</v>
      </c>
      <c r="D63">
        <v>45.369999</v>
      </c>
      <c r="E63">
        <v>45.599997999999999</v>
      </c>
      <c r="F63">
        <v>44.152912000000001</v>
      </c>
      <c r="G63">
        <v>20013000</v>
      </c>
      <c r="I63">
        <f t="shared" si="0"/>
        <v>-7.8329066210100964E-3</v>
      </c>
      <c r="J63">
        <v>0</v>
      </c>
      <c r="K63">
        <f t="shared" si="1"/>
        <v>-7.8329066210100964E-3</v>
      </c>
      <c r="L63">
        <f t="shared" si="2"/>
        <v>-0.78329066210100962</v>
      </c>
      <c r="M63">
        <v>-0.41</v>
      </c>
    </row>
    <row r="64" spans="1:13" x14ac:dyDescent="0.2">
      <c r="A64" s="1">
        <v>43980</v>
      </c>
      <c r="B64">
        <v>46.040000999999997</v>
      </c>
      <c r="C64">
        <v>47.82</v>
      </c>
      <c r="D64">
        <v>45.41</v>
      </c>
      <c r="E64">
        <v>47.82</v>
      </c>
      <c r="F64">
        <v>46.302464000000001</v>
      </c>
      <c r="G64">
        <v>43570400</v>
      </c>
      <c r="I64">
        <f t="shared" si="0"/>
        <v>4.8684263452430952E-2</v>
      </c>
      <c r="J64">
        <v>0</v>
      </c>
      <c r="K64">
        <f t="shared" si="1"/>
        <v>4.8684263452430952E-2</v>
      </c>
      <c r="L64">
        <f t="shared" si="2"/>
        <v>4.8684263452430949</v>
      </c>
      <c r="M64">
        <v>0.6</v>
      </c>
    </row>
    <row r="65" spans="1:13" x14ac:dyDescent="0.2">
      <c r="A65" s="1">
        <v>43983</v>
      </c>
      <c r="B65">
        <v>47.150002000000001</v>
      </c>
      <c r="C65">
        <v>47.290000999999997</v>
      </c>
      <c r="D65">
        <v>46.23</v>
      </c>
      <c r="E65">
        <v>46.299999</v>
      </c>
      <c r="F65">
        <v>44.830696000000003</v>
      </c>
      <c r="G65">
        <v>18712400</v>
      </c>
      <c r="I65">
        <f t="shared" si="0"/>
        <v>-3.1785954198895273E-2</v>
      </c>
      <c r="J65">
        <v>0</v>
      </c>
      <c r="K65">
        <f t="shared" si="1"/>
        <v>-3.1785954198895273E-2</v>
      </c>
      <c r="L65">
        <f t="shared" si="2"/>
        <v>-3.1785954198895272</v>
      </c>
      <c r="M65">
        <v>0.52</v>
      </c>
    </row>
    <row r="66" spans="1:13" x14ac:dyDescent="0.2">
      <c r="A66" s="1">
        <v>43984</v>
      </c>
      <c r="B66">
        <v>46.400002000000001</v>
      </c>
      <c r="C66">
        <v>46.900002000000001</v>
      </c>
      <c r="D66">
        <v>45.880001</v>
      </c>
      <c r="E66">
        <v>46.889999000000003</v>
      </c>
      <c r="F66">
        <v>45.401978</v>
      </c>
      <c r="G66">
        <v>17285900</v>
      </c>
      <c r="I66">
        <f t="shared" si="0"/>
        <v>1.2743099058734142E-2</v>
      </c>
      <c r="J66">
        <v>0</v>
      </c>
      <c r="K66">
        <f t="shared" si="1"/>
        <v>1.2743099058734142E-2</v>
      </c>
      <c r="L66">
        <f t="shared" si="2"/>
        <v>1.2743099058734142</v>
      </c>
      <c r="M66">
        <v>0.81</v>
      </c>
    </row>
    <row r="67" spans="1:13" x14ac:dyDescent="0.2">
      <c r="A67" s="1">
        <v>43985</v>
      </c>
      <c r="B67">
        <v>46.98</v>
      </c>
      <c r="C67">
        <v>47.200001</v>
      </c>
      <c r="D67">
        <v>46.540000999999997</v>
      </c>
      <c r="E67">
        <v>46.939999</v>
      </c>
      <c r="F67">
        <v>45.450386000000002</v>
      </c>
      <c r="G67">
        <v>17492000</v>
      </c>
      <c r="I67">
        <f t="shared" si="0"/>
        <v>1.0662090537113165E-3</v>
      </c>
      <c r="J67">
        <v>0</v>
      </c>
      <c r="K67">
        <f t="shared" si="1"/>
        <v>1.0662090537113165E-3</v>
      </c>
      <c r="L67">
        <f t="shared" si="2"/>
        <v>0.10662090537113164</v>
      </c>
      <c r="M67">
        <v>1.42</v>
      </c>
    </row>
    <row r="68" spans="1:13" x14ac:dyDescent="0.2">
      <c r="A68" s="1">
        <v>43986</v>
      </c>
      <c r="B68">
        <v>46.77</v>
      </c>
      <c r="C68">
        <v>47.25</v>
      </c>
      <c r="D68">
        <v>46.529998999999997</v>
      </c>
      <c r="E68">
        <v>46.860000999999997</v>
      </c>
      <c r="F68">
        <v>45.372928999999999</v>
      </c>
      <c r="G68">
        <v>14100700</v>
      </c>
      <c r="I68">
        <f t="shared" ref="I68:I131" si="3">(F68-F67)/F67</f>
        <v>-1.7042099488440549E-3</v>
      </c>
      <c r="J68">
        <v>0</v>
      </c>
      <c r="K68">
        <f t="shared" ref="K68:K131" si="4">I68-J68</f>
        <v>-1.7042099488440549E-3</v>
      </c>
      <c r="L68">
        <f t="shared" ref="L68:L131" si="5">100*K68</f>
        <v>-0.17042099488440549</v>
      </c>
      <c r="M68">
        <v>-0.34</v>
      </c>
    </row>
    <row r="69" spans="1:13" x14ac:dyDescent="0.2">
      <c r="A69" s="1">
        <v>43987</v>
      </c>
      <c r="B69">
        <v>47.27</v>
      </c>
      <c r="C69">
        <v>48.290000999999997</v>
      </c>
      <c r="D69">
        <v>47.200001</v>
      </c>
      <c r="E69">
        <v>47.830002</v>
      </c>
      <c r="F69">
        <v>46.312148999999998</v>
      </c>
      <c r="G69">
        <v>22591100</v>
      </c>
      <c r="I69">
        <f t="shared" si="3"/>
        <v>2.0700008148030268E-2</v>
      </c>
      <c r="J69">
        <v>0</v>
      </c>
      <c r="K69">
        <f t="shared" si="4"/>
        <v>2.0700008148030268E-2</v>
      </c>
      <c r="L69">
        <f t="shared" si="5"/>
        <v>2.0700008148030267</v>
      </c>
      <c r="M69">
        <v>2.5</v>
      </c>
    </row>
    <row r="70" spans="1:13" x14ac:dyDescent="0.2">
      <c r="A70" s="1">
        <v>43990</v>
      </c>
      <c r="B70">
        <v>47.459999000000003</v>
      </c>
      <c r="C70">
        <v>48.16</v>
      </c>
      <c r="D70">
        <v>47.119999</v>
      </c>
      <c r="E70">
        <v>48.130001</v>
      </c>
      <c r="F70">
        <v>46.602626999999998</v>
      </c>
      <c r="G70">
        <v>17820900</v>
      </c>
      <c r="I70">
        <f t="shared" si="3"/>
        <v>6.2721770911559347E-3</v>
      </c>
      <c r="J70">
        <v>0</v>
      </c>
      <c r="K70">
        <f t="shared" si="4"/>
        <v>6.2721770911559347E-3</v>
      </c>
      <c r="L70">
        <f t="shared" si="5"/>
        <v>0.62721770911559349</v>
      </c>
      <c r="M70">
        <v>1.39</v>
      </c>
    </row>
    <row r="71" spans="1:13" x14ac:dyDescent="0.2">
      <c r="A71" s="1">
        <v>43991</v>
      </c>
      <c r="B71">
        <v>48.02</v>
      </c>
      <c r="C71">
        <v>48.240001999999997</v>
      </c>
      <c r="D71">
        <v>47.490001999999997</v>
      </c>
      <c r="E71">
        <v>48.049999</v>
      </c>
      <c r="F71">
        <v>46.525165999999999</v>
      </c>
      <c r="G71">
        <v>18597300</v>
      </c>
      <c r="I71">
        <f t="shared" si="3"/>
        <v>-1.6621595173164714E-3</v>
      </c>
      <c r="J71">
        <v>0</v>
      </c>
      <c r="K71">
        <f t="shared" si="4"/>
        <v>-1.6621595173164714E-3</v>
      </c>
      <c r="L71">
        <f t="shared" si="5"/>
        <v>-0.16621595173164713</v>
      </c>
      <c r="M71">
        <v>-0.85</v>
      </c>
    </row>
    <row r="72" spans="1:13" x14ac:dyDescent="0.2">
      <c r="A72" s="1">
        <v>43992</v>
      </c>
      <c r="B72">
        <v>47.66</v>
      </c>
      <c r="C72">
        <v>47.830002</v>
      </c>
      <c r="D72">
        <v>47.119999</v>
      </c>
      <c r="E72">
        <v>47.419998</v>
      </c>
      <c r="F72">
        <v>45.915157000000001</v>
      </c>
      <c r="G72">
        <v>18462400</v>
      </c>
      <c r="I72">
        <f t="shared" si="3"/>
        <v>-1.3111377184554227E-2</v>
      </c>
      <c r="J72">
        <v>0</v>
      </c>
      <c r="K72">
        <f t="shared" si="4"/>
        <v>-1.3111377184554227E-2</v>
      </c>
      <c r="L72">
        <f t="shared" si="5"/>
        <v>-1.3111377184554227</v>
      </c>
      <c r="M72">
        <v>-0.56000000000000005</v>
      </c>
    </row>
    <row r="73" spans="1:13" x14ac:dyDescent="0.2">
      <c r="A73" s="1">
        <v>43993</v>
      </c>
      <c r="B73">
        <v>46.990001999999997</v>
      </c>
      <c r="C73">
        <v>47</v>
      </c>
      <c r="D73">
        <v>43.639999000000003</v>
      </c>
      <c r="E73">
        <v>43.669998</v>
      </c>
      <c r="F73">
        <v>42.284160999999997</v>
      </c>
      <c r="G73">
        <v>35582000</v>
      </c>
      <c r="I73">
        <f t="shared" si="3"/>
        <v>-7.9080552855345848E-2</v>
      </c>
      <c r="J73">
        <v>0</v>
      </c>
      <c r="K73">
        <f t="shared" si="4"/>
        <v>-7.9080552855345848E-2</v>
      </c>
      <c r="L73">
        <f t="shared" si="5"/>
        <v>-7.9080552855345845</v>
      </c>
      <c r="M73">
        <v>-5.91</v>
      </c>
    </row>
    <row r="74" spans="1:13" x14ac:dyDescent="0.2">
      <c r="A74" s="1">
        <v>43994</v>
      </c>
      <c r="B74">
        <v>44.959999000000003</v>
      </c>
      <c r="C74">
        <v>45.860000999999997</v>
      </c>
      <c r="D74">
        <v>44.110000999999997</v>
      </c>
      <c r="E74">
        <v>45.07</v>
      </c>
      <c r="F74">
        <v>43.639735999999999</v>
      </c>
      <c r="G74">
        <v>26125600</v>
      </c>
      <c r="I74">
        <f t="shared" si="3"/>
        <v>3.2058694507383079E-2</v>
      </c>
      <c r="J74">
        <v>0</v>
      </c>
      <c r="K74">
        <f t="shared" si="4"/>
        <v>3.2058694507383079E-2</v>
      </c>
      <c r="L74">
        <f t="shared" si="5"/>
        <v>3.2058694507383079</v>
      </c>
      <c r="M74">
        <v>1.29</v>
      </c>
    </row>
    <row r="75" spans="1:13" x14ac:dyDescent="0.2">
      <c r="A75" s="1">
        <v>43997</v>
      </c>
      <c r="B75">
        <v>44.119999</v>
      </c>
      <c r="C75">
        <v>45.759998000000003</v>
      </c>
      <c r="D75">
        <v>43.93</v>
      </c>
      <c r="E75">
        <v>45.349997999999999</v>
      </c>
      <c r="F75">
        <v>43.910846999999997</v>
      </c>
      <c r="G75">
        <v>21300100</v>
      </c>
      <c r="I75">
        <f t="shared" si="3"/>
        <v>6.2124802954811103E-3</v>
      </c>
      <c r="J75">
        <v>0</v>
      </c>
      <c r="K75">
        <f t="shared" si="4"/>
        <v>6.2124802954811103E-3</v>
      </c>
      <c r="L75">
        <f t="shared" si="5"/>
        <v>0.62124802954811098</v>
      </c>
      <c r="M75">
        <v>1.0900000000000001</v>
      </c>
    </row>
    <row r="76" spans="1:13" x14ac:dyDescent="0.2">
      <c r="A76" s="1">
        <v>43998</v>
      </c>
      <c r="B76">
        <v>47.41</v>
      </c>
      <c r="C76">
        <v>47.490001999999997</v>
      </c>
      <c r="D76">
        <v>45.91</v>
      </c>
      <c r="E76">
        <v>46.48</v>
      </c>
      <c r="F76">
        <v>45.004986000000002</v>
      </c>
      <c r="G76">
        <v>28074600</v>
      </c>
      <c r="I76">
        <f t="shared" si="3"/>
        <v>2.4917282966552788E-2</v>
      </c>
      <c r="J76">
        <v>0</v>
      </c>
      <c r="K76">
        <f t="shared" si="4"/>
        <v>2.4917282966552788E-2</v>
      </c>
      <c r="L76">
        <f t="shared" si="5"/>
        <v>2.4917282966552787</v>
      </c>
      <c r="M76">
        <v>1.86</v>
      </c>
    </row>
    <row r="77" spans="1:13" x14ac:dyDescent="0.2">
      <c r="A77" s="1">
        <v>43999</v>
      </c>
      <c r="B77">
        <v>46.75</v>
      </c>
      <c r="C77">
        <v>46.82</v>
      </c>
      <c r="D77">
        <v>45.900002000000001</v>
      </c>
      <c r="E77">
        <v>46.169998</v>
      </c>
      <c r="F77">
        <v>44.704825999999997</v>
      </c>
      <c r="G77">
        <v>20399100</v>
      </c>
      <c r="I77">
        <f t="shared" si="3"/>
        <v>-6.6694832434789622E-3</v>
      </c>
      <c r="J77">
        <v>0</v>
      </c>
      <c r="K77">
        <f t="shared" si="4"/>
        <v>-6.6694832434789622E-3</v>
      </c>
      <c r="L77">
        <f t="shared" si="5"/>
        <v>-0.66694832434789619</v>
      </c>
      <c r="M77">
        <v>-0.4</v>
      </c>
    </row>
    <row r="78" spans="1:13" x14ac:dyDescent="0.2">
      <c r="A78" s="1">
        <v>44000</v>
      </c>
      <c r="B78">
        <v>45.790000999999997</v>
      </c>
      <c r="C78">
        <v>46.049999</v>
      </c>
      <c r="D78">
        <v>45.349997999999999</v>
      </c>
      <c r="E78">
        <v>45.830002</v>
      </c>
      <c r="F78">
        <v>44.375613999999999</v>
      </c>
      <c r="G78">
        <v>22423500</v>
      </c>
      <c r="I78">
        <f t="shared" si="3"/>
        <v>-7.3641266381396561E-3</v>
      </c>
      <c r="J78">
        <v>0</v>
      </c>
      <c r="K78">
        <f t="shared" si="4"/>
        <v>-7.3641266381396561E-3</v>
      </c>
      <c r="L78">
        <f t="shared" si="5"/>
        <v>-0.73641266381396564</v>
      </c>
      <c r="M78">
        <v>0.19</v>
      </c>
    </row>
    <row r="79" spans="1:13" x14ac:dyDescent="0.2">
      <c r="A79" s="1">
        <v>44001</v>
      </c>
      <c r="B79">
        <v>46.259998000000003</v>
      </c>
      <c r="C79">
        <v>46.509998000000003</v>
      </c>
      <c r="D79">
        <v>45.049999</v>
      </c>
      <c r="E79">
        <v>45.32</v>
      </c>
      <c r="F79">
        <v>43.881798000000003</v>
      </c>
      <c r="G79">
        <v>36103200</v>
      </c>
      <c r="I79">
        <f t="shared" si="3"/>
        <v>-1.1128093912120189E-2</v>
      </c>
      <c r="J79">
        <v>0</v>
      </c>
      <c r="K79">
        <f t="shared" si="4"/>
        <v>-1.1128093912120189E-2</v>
      </c>
      <c r="L79">
        <f t="shared" si="5"/>
        <v>-1.1128093912120189</v>
      </c>
      <c r="M79">
        <v>-0.45</v>
      </c>
    </row>
    <row r="80" spans="1:13" x14ac:dyDescent="0.2">
      <c r="A80" s="1">
        <v>44004</v>
      </c>
      <c r="B80">
        <v>45.110000999999997</v>
      </c>
      <c r="C80">
        <v>45.459999000000003</v>
      </c>
      <c r="D80">
        <v>44.810001</v>
      </c>
      <c r="E80">
        <v>45.16</v>
      </c>
      <c r="F80">
        <v>43.726878999999997</v>
      </c>
      <c r="G80">
        <v>18398600</v>
      </c>
      <c r="I80">
        <f t="shared" si="3"/>
        <v>-3.5303703827269492E-3</v>
      </c>
      <c r="J80">
        <v>0</v>
      </c>
      <c r="K80">
        <f t="shared" si="4"/>
        <v>-3.5303703827269492E-3</v>
      </c>
      <c r="L80">
        <f t="shared" si="5"/>
        <v>-0.35303703827269495</v>
      </c>
      <c r="M80">
        <v>0.71</v>
      </c>
    </row>
    <row r="81" spans="1:13" x14ac:dyDescent="0.2">
      <c r="A81" s="1">
        <v>44005</v>
      </c>
      <c r="B81">
        <v>45.919998</v>
      </c>
      <c r="C81">
        <v>46.150002000000001</v>
      </c>
      <c r="D81">
        <v>45.32</v>
      </c>
      <c r="E81">
        <v>45.470001000000003</v>
      </c>
      <c r="F81">
        <v>44.027039000000002</v>
      </c>
      <c r="G81">
        <v>23222400</v>
      </c>
      <c r="I81">
        <f t="shared" si="3"/>
        <v>6.8644277127577601E-3</v>
      </c>
      <c r="J81">
        <v>0</v>
      </c>
      <c r="K81">
        <f t="shared" si="4"/>
        <v>6.8644277127577601E-3</v>
      </c>
      <c r="L81">
        <f t="shared" si="5"/>
        <v>0.68644277127577602</v>
      </c>
      <c r="M81">
        <v>0.42</v>
      </c>
    </row>
    <row r="82" spans="1:13" x14ac:dyDescent="0.2">
      <c r="A82" s="1">
        <v>44006</v>
      </c>
      <c r="B82">
        <v>45.290000999999997</v>
      </c>
      <c r="C82">
        <v>45.470001000000003</v>
      </c>
      <c r="D82">
        <v>44.389999000000003</v>
      </c>
      <c r="E82">
        <v>44.75</v>
      </c>
      <c r="F82">
        <v>43.329891000000003</v>
      </c>
      <c r="G82">
        <v>22840100</v>
      </c>
      <c r="I82">
        <f t="shared" si="3"/>
        <v>-1.5834542041312353E-2</v>
      </c>
      <c r="J82">
        <v>0</v>
      </c>
      <c r="K82">
        <f t="shared" si="4"/>
        <v>-1.5834542041312353E-2</v>
      </c>
      <c r="L82">
        <f t="shared" si="5"/>
        <v>-1.5834542041312354</v>
      </c>
      <c r="M82">
        <v>-2.61</v>
      </c>
    </row>
    <row r="83" spans="1:13" x14ac:dyDescent="0.2">
      <c r="A83" s="1">
        <v>44007</v>
      </c>
      <c r="B83">
        <v>44.77</v>
      </c>
      <c r="C83">
        <v>45.32</v>
      </c>
      <c r="D83">
        <v>44.200001</v>
      </c>
      <c r="E83">
        <v>45.220001000000003</v>
      </c>
      <c r="F83">
        <v>43.784973000000001</v>
      </c>
      <c r="G83">
        <v>19114900</v>
      </c>
      <c r="I83">
        <f t="shared" si="3"/>
        <v>1.0502726628137544E-2</v>
      </c>
      <c r="J83">
        <v>0</v>
      </c>
      <c r="K83">
        <f t="shared" si="4"/>
        <v>1.0502726628137544E-2</v>
      </c>
      <c r="L83">
        <f t="shared" si="5"/>
        <v>1.0502726628137544</v>
      </c>
      <c r="M83">
        <v>1.1200000000000001</v>
      </c>
    </row>
    <row r="84" spans="1:13" x14ac:dyDescent="0.2">
      <c r="A84" s="1">
        <v>44008</v>
      </c>
      <c r="B84">
        <v>45.119999</v>
      </c>
      <c r="C84">
        <v>46.509998000000003</v>
      </c>
      <c r="D84">
        <v>44.630001</v>
      </c>
      <c r="E84">
        <v>46.310001</v>
      </c>
      <c r="F84">
        <v>44.840381999999998</v>
      </c>
      <c r="G84">
        <v>106928300</v>
      </c>
      <c r="I84">
        <f t="shared" si="3"/>
        <v>2.4104365669016112E-2</v>
      </c>
      <c r="J84">
        <v>0</v>
      </c>
      <c r="K84">
        <f t="shared" si="4"/>
        <v>2.4104365669016112E-2</v>
      </c>
      <c r="L84">
        <f t="shared" si="5"/>
        <v>2.4104365669016112</v>
      </c>
      <c r="M84">
        <v>-2.44</v>
      </c>
    </row>
    <row r="85" spans="1:13" x14ac:dyDescent="0.2">
      <c r="A85" s="1">
        <v>44011</v>
      </c>
      <c r="B85">
        <v>46.34</v>
      </c>
      <c r="C85">
        <v>46.450001</v>
      </c>
      <c r="D85">
        <v>45.669998</v>
      </c>
      <c r="E85">
        <v>46.150002000000001</v>
      </c>
      <c r="F85">
        <v>44.685462999999999</v>
      </c>
      <c r="G85">
        <v>23875400</v>
      </c>
      <c r="I85">
        <f t="shared" si="3"/>
        <v>-3.454899202241399E-3</v>
      </c>
      <c r="J85">
        <v>0</v>
      </c>
      <c r="K85">
        <f t="shared" si="4"/>
        <v>-3.454899202241399E-3</v>
      </c>
      <c r="L85">
        <f t="shared" si="5"/>
        <v>-0.34548992022413988</v>
      </c>
      <c r="M85">
        <v>1.51</v>
      </c>
    </row>
    <row r="86" spans="1:13" x14ac:dyDescent="0.2">
      <c r="A86" s="1">
        <v>44012</v>
      </c>
      <c r="B86">
        <v>46.150002000000001</v>
      </c>
      <c r="C86">
        <v>47.009998000000003</v>
      </c>
      <c r="D86">
        <v>46.099997999999999</v>
      </c>
      <c r="E86">
        <v>46.639999000000003</v>
      </c>
      <c r="F86">
        <v>45.159911999999998</v>
      </c>
      <c r="G86">
        <v>21888800</v>
      </c>
      <c r="I86">
        <f t="shared" si="3"/>
        <v>1.0617524540363382E-2</v>
      </c>
      <c r="J86">
        <v>0</v>
      </c>
      <c r="K86">
        <f t="shared" si="4"/>
        <v>1.0617524540363382E-2</v>
      </c>
      <c r="L86">
        <f t="shared" si="5"/>
        <v>1.0617524540363381</v>
      </c>
      <c r="M86">
        <v>1.58</v>
      </c>
    </row>
    <row r="87" spans="1:13" x14ac:dyDescent="0.2">
      <c r="A87" s="1">
        <v>44013</v>
      </c>
      <c r="B87">
        <v>46.540000999999997</v>
      </c>
      <c r="C87">
        <v>46.720001000000003</v>
      </c>
      <c r="D87">
        <v>46</v>
      </c>
      <c r="E87">
        <v>46.060001</v>
      </c>
      <c r="F87">
        <v>44.598320000000001</v>
      </c>
      <c r="G87">
        <v>17129500</v>
      </c>
      <c r="I87">
        <f t="shared" si="3"/>
        <v>-1.2435630964028395E-2</v>
      </c>
      <c r="J87">
        <v>0</v>
      </c>
      <c r="K87">
        <f t="shared" si="4"/>
        <v>-1.2435630964028395E-2</v>
      </c>
      <c r="L87">
        <f t="shared" si="5"/>
        <v>-1.2435630964028395</v>
      </c>
      <c r="M87">
        <v>0.41</v>
      </c>
    </row>
    <row r="88" spans="1:13" x14ac:dyDescent="0.2">
      <c r="A88" s="1">
        <v>44014</v>
      </c>
      <c r="B88">
        <v>46.07</v>
      </c>
      <c r="C88">
        <v>46.220001000000003</v>
      </c>
      <c r="D88">
        <v>45.48</v>
      </c>
      <c r="E88">
        <v>45.630001</v>
      </c>
      <c r="F88">
        <v>44.530003000000001</v>
      </c>
      <c r="G88">
        <v>19632000</v>
      </c>
      <c r="I88">
        <f t="shared" si="3"/>
        <v>-1.5318290016305637E-3</v>
      </c>
      <c r="J88">
        <v>0</v>
      </c>
      <c r="K88">
        <f t="shared" si="4"/>
        <v>-1.5318290016305637E-3</v>
      </c>
      <c r="L88">
        <f t="shared" si="5"/>
        <v>-0.15318290016305636</v>
      </c>
      <c r="M88">
        <v>0.5</v>
      </c>
    </row>
    <row r="89" spans="1:13" x14ac:dyDescent="0.2">
      <c r="A89" s="1">
        <v>44018</v>
      </c>
      <c r="B89">
        <v>46.07</v>
      </c>
      <c r="C89">
        <v>46.490001999999997</v>
      </c>
      <c r="D89">
        <v>45.869999</v>
      </c>
      <c r="E89">
        <v>46.419998</v>
      </c>
      <c r="F89">
        <v>45.300956999999997</v>
      </c>
      <c r="G89">
        <v>16152900</v>
      </c>
      <c r="I89">
        <f t="shared" si="3"/>
        <v>1.7313136044477609E-2</v>
      </c>
      <c r="J89">
        <v>0</v>
      </c>
      <c r="K89">
        <f t="shared" si="4"/>
        <v>1.7313136044477609E-2</v>
      </c>
      <c r="L89">
        <f t="shared" si="5"/>
        <v>1.7313136044477608</v>
      </c>
      <c r="M89">
        <v>1.65</v>
      </c>
    </row>
    <row r="90" spans="1:13" x14ac:dyDescent="0.2">
      <c r="A90" s="1">
        <v>44019</v>
      </c>
      <c r="B90">
        <v>46.119999</v>
      </c>
      <c r="C90">
        <v>46.290000999999997</v>
      </c>
      <c r="D90">
        <v>45.560001</v>
      </c>
      <c r="E90">
        <v>45.630001</v>
      </c>
      <c r="F90">
        <v>44.530003000000001</v>
      </c>
      <c r="G90">
        <v>17102800</v>
      </c>
      <c r="I90">
        <f t="shared" si="3"/>
        <v>-1.7018492567386516E-2</v>
      </c>
      <c r="J90">
        <v>0</v>
      </c>
      <c r="K90">
        <f t="shared" si="4"/>
        <v>-1.7018492567386516E-2</v>
      </c>
      <c r="L90">
        <f t="shared" si="5"/>
        <v>-1.7018492567386516</v>
      </c>
      <c r="M90">
        <v>-1.03</v>
      </c>
    </row>
    <row r="91" spans="1:13" x14ac:dyDescent="0.2">
      <c r="A91" s="1">
        <v>44020</v>
      </c>
      <c r="B91">
        <v>45.59</v>
      </c>
      <c r="C91">
        <v>46.07</v>
      </c>
      <c r="D91">
        <v>45.32</v>
      </c>
      <c r="E91">
        <v>45.810001</v>
      </c>
      <c r="F91">
        <v>44.705666000000001</v>
      </c>
      <c r="G91">
        <v>15020800</v>
      </c>
      <c r="I91">
        <f t="shared" si="3"/>
        <v>3.9448234485858925E-3</v>
      </c>
      <c r="J91">
        <v>0</v>
      </c>
      <c r="K91">
        <f t="shared" si="4"/>
        <v>3.9448234485858925E-3</v>
      </c>
      <c r="L91">
        <f t="shared" si="5"/>
        <v>0.39448234485858924</v>
      </c>
      <c r="M91">
        <v>0.91</v>
      </c>
    </row>
    <row r="92" spans="1:13" x14ac:dyDescent="0.2">
      <c r="A92" s="1">
        <v>44021</v>
      </c>
      <c r="B92">
        <v>46.599997999999999</v>
      </c>
      <c r="C92">
        <v>47.200001</v>
      </c>
      <c r="D92">
        <v>46.220001000000003</v>
      </c>
      <c r="E92">
        <v>46.700001</v>
      </c>
      <c r="F92">
        <v>45.574210999999998</v>
      </c>
      <c r="G92">
        <v>26027700</v>
      </c>
      <c r="I92">
        <f t="shared" si="3"/>
        <v>1.9428074284812073E-2</v>
      </c>
      <c r="J92">
        <v>0</v>
      </c>
      <c r="K92">
        <f t="shared" si="4"/>
        <v>1.9428074284812073E-2</v>
      </c>
      <c r="L92">
        <f t="shared" si="5"/>
        <v>1.9428074284812074</v>
      </c>
      <c r="M92">
        <v>-0.53</v>
      </c>
    </row>
    <row r="93" spans="1:13" x14ac:dyDescent="0.2">
      <c r="A93" s="1">
        <v>44022</v>
      </c>
      <c r="B93">
        <v>46.73</v>
      </c>
      <c r="C93">
        <v>46.919998</v>
      </c>
      <c r="D93">
        <v>46.240001999999997</v>
      </c>
      <c r="E93">
        <v>46.66</v>
      </c>
      <c r="F93">
        <v>45.535175000000002</v>
      </c>
      <c r="G93">
        <v>13775700</v>
      </c>
      <c r="I93">
        <f t="shared" si="3"/>
        <v>-8.565370446017344E-4</v>
      </c>
      <c r="J93">
        <v>0</v>
      </c>
      <c r="K93">
        <f t="shared" si="4"/>
        <v>-8.565370446017344E-4</v>
      </c>
      <c r="L93">
        <f t="shared" si="5"/>
        <v>-8.5653704460173438E-2</v>
      </c>
      <c r="M93">
        <v>1.1100000000000001</v>
      </c>
    </row>
    <row r="94" spans="1:13" x14ac:dyDescent="0.2">
      <c r="A94" s="1">
        <v>44025</v>
      </c>
      <c r="B94">
        <v>46.869999</v>
      </c>
      <c r="C94">
        <v>46.990001999999997</v>
      </c>
      <c r="D94">
        <v>45.779998999999997</v>
      </c>
      <c r="E94">
        <v>45.93</v>
      </c>
      <c r="F94">
        <v>44.822772999999998</v>
      </c>
      <c r="G94">
        <v>17965500</v>
      </c>
      <c r="I94">
        <f t="shared" si="3"/>
        <v>-1.5645091953638137E-2</v>
      </c>
      <c r="J94">
        <v>0</v>
      </c>
      <c r="K94">
        <f t="shared" si="4"/>
        <v>-1.5645091953638137E-2</v>
      </c>
      <c r="L94">
        <f t="shared" si="5"/>
        <v>-1.5645091953638137</v>
      </c>
      <c r="M94">
        <v>-1.2</v>
      </c>
    </row>
    <row r="95" spans="1:13" x14ac:dyDescent="0.2">
      <c r="A95" s="1">
        <v>44026</v>
      </c>
      <c r="B95">
        <v>45.490001999999997</v>
      </c>
      <c r="C95">
        <v>46.5</v>
      </c>
      <c r="D95">
        <v>45.41</v>
      </c>
      <c r="E95">
        <v>46.259998000000003</v>
      </c>
      <c r="F95">
        <v>45.144813999999997</v>
      </c>
      <c r="G95">
        <v>19303500</v>
      </c>
      <c r="I95">
        <f t="shared" si="3"/>
        <v>7.1847629775158867E-3</v>
      </c>
      <c r="J95">
        <v>0</v>
      </c>
      <c r="K95">
        <f t="shared" si="4"/>
        <v>7.1847629775158867E-3</v>
      </c>
      <c r="L95">
        <f t="shared" si="5"/>
        <v>0.71847629775158872</v>
      </c>
      <c r="M95">
        <v>1.35</v>
      </c>
    </row>
    <row r="96" spans="1:13" x14ac:dyDescent="0.2">
      <c r="A96" s="1">
        <v>44027</v>
      </c>
      <c r="B96">
        <v>46.5</v>
      </c>
      <c r="C96">
        <v>46.830002</v>
      </c>
      <c r="D96">
        <v>45.990001999999997</v>
      </c>
      <c r="E96">
        <v>46.400002000000001</v>
      </c>
      <c r="F96">
        <v>45.281444999999998</v>
      </c>
      <c r="G96">
        <v>15705000</v>
      </c>
      <c r="I96">
        <f t="shared" si="3"/>
        <v>3.0265048827092583E-3</v>
      </c>
      <c r="J96">
        <v>0</v>
      </c>
      <c r="K96">
        <f t="shared" si="4"/>
        <v>3.0265048827092583E-3</v>
      </c>
      <c r="L96">
        <f t="shared" si="5"/>
        <v>0.30265048827092583</v>
      </c>
      <c r="M96">
        <v>1.1399999999999999</v>
      </c>
    </row>
    <row r="97" spans="1:13" x14ac:dyDescent="0.2">
      <c r="A97" s="1">
        <v>44028</v>
      </c>
      <c r="B97">
        <v>45.700001</v>
      </c>
      <c r="C97">
        <v>45.830002</v>
      </c>
      <c r="D97">
        <v>45.200001</v>
      </c>
      <c r="E97">
        <v>45.779998999999997</v>
      </c>
      <c r="F97">
        <v>44.676388000000003</v>
      </c>
      <c r="G97">
        <v>17709400</v>
      </c>
      <c r="I97">
        <f t="shared" si="3"/>
        <v>-1.3362139834539183E-2</v>
      </c>
      <c r="J97">
        <v>0</v>
      </c>
      <c r="K97">
        <f t="shared" si="4"/>
        <v>-1.3362139834539183E-2</v>
      </c>
      <c r="L97">
        <f t="shared" si="5"/>
        <v>-1.3362139834539182</v>
      </c>
      <c r="M97">
        <v>-0.37</v>
      </c>
    </row>
    <row r="98" spans="1:13" x14ac:dyDescent="0.2">
      <c r="A98" s="1">
        <v>44029</v>
      </c>
      <c r="B98">
        <v>46.040000999999997</v>
      </c>
      <c r="C98">
        <v>46.93</v>
      </c>
      <c r="D98">
        <v>45.880001</v>
      </c>
      <c r="E98">
        <v>46.75</v>
      </c>
      <c r="F98">
        <v>45.623004999999999</v>
      </c>
      <c r="G98">
        <v>20389700</v>
      </c>
      <c r="I98">
        <f t="shared" si="3"/>
        <v>2.1188306449482806E-2</v>
      </c>
      <c r="J98">
        <v>0</v>
      </c>
      <c r="K98">
        <f t="shared" si="4"/>
        <v>2.1188306449482806E-2</v>
      </c>
      <c r="L98">
        <f t="shared" si="5"/>
        <v>2.1188306449482806</v>
      </c>
      <c r="M98">
        <v>0.3</v>
      </c>
    </row>
    <row r="99" spans="1:13" x14ac:dyDescent="0.2">
      <c r="A99" s="1">
        <v>44032</v>
      </c>
      <c r="B99">
        <v>46.669998</v>
      </c>
      <c r="C99">
        <v>47.099997999999999</v>
      </c>
      <c r="D99">
        <v>46.259998000000003</v>
      </c>
      <c r="E99">
        <v>46.970001000000003</v>
      </c>
      <c r="F99">
        <v>45.837699999999998</v>
      </c>
      <c r="G99">
        <v>15966500</v>
      </c>
      <c r="I99">
        <f t="shared" si="3"/>
        <v>4.7058496037251157E-3</v>
      </c>
      <c r="J99">
        <v>0</v>
      </c>
      <c r="K99">
        <f t="shared" si="4"/>
        <v>4.7058496037251157E-3</v>
      </c>
      <c r="L99">
        <f t="shared" si="5"/>
        <v>0.47058496037251157</v>
      </c>
      <c r="M99">
        <v>1.01</v>
      </c>
    </row>
    <row r="100" spans="1:13" x14ac:dyDescent="0.2">
      <c r="A100" s="1">
        <v>44033</v>
      </c>
      <c r="B100">
        <v>47.279998999999997</v>
      </c>
      <c r="C100">
        <v>47.330002</v>
      </c>
      <c r="D100">
        <v>46.849997999999999</v>
      </c>
      <c r="E100">
        <v>47.02</v>
      </c>
      <c r="F100">
        <v>45.886493999999999</v>
      </c>
      <c r="G100">
        <v>16074700</v>
      </c>
      <c r="I100">
        <f t="shared" si="3"/>
        <v>1.0644949462996812E-3</v>
      </c>
      <c r="J100">
        <v>0</v>
      </c>
      <c r="K100">
        <f t="shared" si="4"/>
        <v>1.0644949462996812E-3</v>
      </c>
      <c r="L100">
        <f t="shared" si="5"/>
        <v>0.10644949462996812</v>
      </c>
      <c r="M100">
        <v>0.16</v>
      </c>
    </row>
    <row r="101" spans="1:13" x14ac:dyDescent="0.2">
      <c r="A101" s="1">
        <v>44034</v>
      </c>
      <c r="B101">
        <v>47.02</v>
      </c>
      <c r="C101">
        <v>47.110000999999997</v>
      </c>
      <c r="D101">
        <v>46.529998999999997</v>
      </c>
      <c r="E101">
        <v>46.900002000000001</v>
      </c>
      <c r="F101">
        <v>45.769390000000001</v>
      </c>
      <c r="G101">
        <v>27218300</v>
      </c>
      <c r="I101">
        <f t="shared" si="3"/>
        <v>-2.5520363355718057E-3</v>
      </c>
      <c r="J101">
        <v>0</v>
      </c>
      <c r="K101">
        <f t="shared" si="4"/>
        <v>-2.5520363355718057E-3</v>
      </c>
      <c r="L101">
        <f t="shared" si="5"/>
        <v>-0.25520363355718056</v>
      </c>
      <c r="M101">
        <v>0.49</v>
      </c>
    </row>
    <row r="102" spans="1:13" x14ac:dyDescent="0.2">
      <c r="A102" s="1">
        <v>44035</v>
      </c>
      <c r="B102">
        <v>46.98</v>
      </c>
      <c r="C102">
        <v>47.700001</v>
      </c>
      <c r="D102">
        <v>46.68</v>
      </c>
      <c r="E102">
        <v>47.41</v>
      </c>
      <c r="F102">
        <v>46.267094</v>
      </c>
      <c r="G102">
        <v>23750200</v>
      </c>
      <c r="I102">
        <f t="shared" si="3"/>
        <v>1.0874167210880433E-2</v>
      </c>
      <c r="J102">
        <v>0</v>
      </c>
      <c r="K102">
        <f t="shared" si="4"/>
        <v>1.0874167210880433E-2</v>
      </c>
      <c r="L102">
        <f t="shared" si="5"/>
        <v>1.0874167210880434</v>
      </c>
      <c r="M102">
        <v>-1.2</v>
      </c>
    </row>
    <row r="103" spans="1:13" x14ac:dyDescent="0.2">
      <c r="A103" s="1">
        <v>44036</v>
      </c>
      <c r="B103">
        <v>47.490001999999997</v>
      </c>
      <c r="C103">
        <v>47.639999000000003</v>
      </c>
      <c r="D103">
        <v>46.110000999999997</v>
      </c>
      <c r="E103">
        <v>46.400002000000001</v>
      </c>
      <c r="F103">
        <v>45.281444999999998</v>
      </c>
      <c r="G103">
        <v>16983600</v>
      </c>
      <c r="I103">
        <f t="shared" si="3"/>
        <v>-2.1303455972402376E-2</v>
      </c>
      <c r="J103">
        <v>0</v>
      </c>
      <c r="K103">
        <f t="shared" si="4"/>
        <v>-2.1303455972402376E-2</v>
      </c>
      <c r="L103">
        <f t="shared" si="5"/>
        <v>-2.1303455972402374</v>
      </c>
      <c r="M103">
        <v>-0.75</v>
      </c>
    </row>
    <row r="104" spans="1:13" x14ac:dyDescent="0.2">
      <c r="A104" s="1">
        <v>44039</v>
      </c>
      <c r="B104">
        <v>46.66</v>
      </c>
      <c r="C104">
        <v>47.259998000000003</v>
      </c>
      <c r="D104">
        <v>46.150002000000001</v>
      </c>
      <c r="E104">
        <v>47.189999</v>
      </c>
      <c r="F104">
        <v>46.052399000000001</v>
      </c>
      <c r="G104">
        <v>15576000</v>
      </c>
      <c r="I104">
        <f t="shared" si="3"/>
        <v>1.7025825920528891E-2</v>
      </c>
      <c r="J104">
        <v>0</v>
      </c>
      <c r="K104">
        <f t="shared" si="4"/>
        <v>1.7025825920528891E-2</v>
      </c>
      <c r="L104">
        <f t="shared" si="5"/>
        <v>1.702582592052889</v>
      </c>
      <c r="M104">
        <v>0.88</v>
      </c>
    </row>
    <row r="105" spans="1:13" x14ac:dyDescent="0.2">
      <c r="A105" s="1">
        <v>44040</v>
      </c>
      <c r="B105">
        <v>46.98</v>
      </c>
      <c r="C105">
        <v>47.080002</v>
      </c>
      <c r="D105">
        <v>46.209999000000003</v>
      </c>
      <c r="E105">
        <v>46.279998999999997</v>
      </c>
      <c r="F105">
        <v>45.164332999999999</v>
      </c>
      <c r="G105">
        <v>13975300</v>
      </c>
      <c r="I105">
        <f t="shared" si="3"/>
        <v>-1.9283816245924606E-2</v>
      </c>
      <c r="J105">
        <v>0</v>
      </c>
      <c r="K105">
        <f t="shared" si="4"/>
        <v>-1.9283816245924606E-2</v>
      </c>
      <c r="L105">
        <f t="shared" si="5"/>
        <v>-1.9283816245924605</v>
      </c>
      <c r="M105">
        <v>-0.81</v>
      </c>
    </row>
    <row r="106" spans="1:13" x14ac:dyDescent="0.2">
      <c r="A106" s="1">
        <v>44041</v>
      </c>
      <c r="B106">
        <v>46.400002000000001</v>
      </c>
      <c r="C106">
        <v>46.880001</v>
      </c>
      <c r="D106">
        <v>46.369999</v>
      </c>
      <c r="E106">
        <v>46.709999000000003</v>
      </c>
      <c r="F106">
        <v>45.583964999999999</v>
      </c>
      <c r="G106">
        <v>11618200</v>
      </c>
      <c r="I106">
        <f t="shared" si="3"/>
        <v>9.2912254455302153E-3</v>
      </c>
      <c r="J106">
        <v>0</v>
      </c>
      <c r="K106">
        <f t="shared" si="4"/>
        <v>9.2912254455302153E-3</v>
      </c>
      <c r="L106">
        <f t="shared" si="5"/>
        <v>0.92912254455302157</v>
      </c>
      <c r="M106">
        <v>1.35</v>
      </c>
    </row>
    <row r="107" spans="1:13" x14ac:dyDescent="0.2">
      <c r="A107" s="1">
        <v>44042</v>
      </c>
      <c r="B107">
        <v>46.130001</v>
      </c>
      <c r="C107">
        <v>46.459999000000003</v>
      </c>
      <c r="D107">
        <v>45.380001</v>
      </c>
      <c r="E107">
        <v>46.439999</v>
      </c>
      <c r="F107">
        <v>45.320476999999997</v>
      </c>
      <c r="G107">
        <v>15385100</v>
      </c>
      <c r="I107">
        <f t="shared" si="3"/>
        <v>-5.7802782184481405E-3</v>
      </c>
      <c r="J107">
        <v>0</v>
      </c>
      <c r="K107">
        <f t="shared" si="4"/>
        <v>-5.7802782184481405E-3</v>
      </c>
      <c r="L107">
        <f t="shared" si="5"/>
        <v>-0.57802782184481405</v>
      </c>
      <c r="M107">
        <v>-0.28999999999999998</v>
      </c>
    </row>
    <row r="108" spans="1:13" x14ac:dyDescent="0.2">
      <c r="A108" s="1">
        <v>44043</v>
      </c>
      <c r="B108">
        <v>46.389999000000003</v>
      </c>
      <c r="C108">
        <v>47.110000999999997</v>
      </c>
      <c r="D108">
        <v>45.860000999999997</v>
      </c>
      <c r="E108">
        <v>47.099997999999999</v>
      </c>
      <c r="F108">
        <v>45.964561000000003</v>
      </c>
      <c r="G108">
        <v>17706400</v>
      </c>
      <c r="I108">
        <f t="shared" si="3"/>
        <v>1.4211765688167991E-2</v>
      </c>
      <c r="J108">
        <v>0</v>
      </c>
      <c r="K108">
        <f t="shared" si="4"/>
        <v>1.4211765688167991E-2</v>
      </c>
      <c r="L108">
        <f t="shared" si="5"/>
        <v>1.421176568816799</v>
      </c>
      <c r="M108">
        <v>0.61</v>
      </c>
    </row>
    <row r="109" spans="1:13" x14ac:dyDescent="0.2">
      <c r="A109" s="1">
        <v>44046</v>
      </c>
      <c r="B109">
        <v>47.139999000000003</v>
      </c>
      <c r="C109">
        <v>47.360000999999997</v>
      </c>
      <c r="D109">
        <v>46.68</v>
      </c>
      <c r="E109">
        <v>47.16</v>
      </c>
      <c r="F109">
        <v>46.023121000000003</v>
      </c>
      <c r="G109">
        <v>14141100</v>
      </c>
      <c r="I109">
        <f t="shared" si="3"/>
        <v>1.2740250037414681E-3</v>
      </c>
      <c r="J109">
        <v>0</v>
      </c>
      <c r="K109">
        <f t="shared" si="4"/>
        <v>1.2740250037414681E-3</v>
      </c>
      <c r="L109">
        <f t="shared" si="5"/>
        <v>0.1274025003741468</v>
      </c>
      <c r="M109">
        <v>0.98</v>
      </c>
    </row>
    <row r="110" spans="1:13" x14ac:dyDescent="0.2">
      <c r="A110" s="1">
        <v>44047</v>
      </c>
      <c r="B110">
        <v>47.009998000000003</v>
      </c>
      <c r="C110">
        <v>47.669998</v>
      </c>
      <c r="D110">
        <v>46.91</v>
      </c>
      <c r="E110">
        <v>47.669998</v>
      </c>
      <c r="F110">
        <v>46.520823999999998</v>
      </c>
      <c r="G110">
        <v>12839500</v>
      </c>
      <c r="I110">
        <f t="shared" si="3"/>
        <v>1.0814194891302443E-2</v>
      </c>
      <c r="J110">
        <v>0</v>
      </c>
      <c r="K110">
        <f t="shared" si="4"/>
        <v>1.0814194891302443E-2</v>
      </c>
      <c r="L110">
        <f t="shared" si="5"/>
        <v>1.0814194891302442</v>
      </c>
      <c r="M110">
        <v>0.37</v>
      </c>
    </row>
    <row r="111" spans="1:13" x14ac:dyDescent="0.2">
      <c r="A111" s="1">
        <v>44048</v>
      </c>
      <c r="B111">
        <v>47.669998</v>
      </c>
      <c r="C111">
        <v>47.73</v>
      </c>
      <c r="D111">
        <v>47.049999</v>
      </c>
      <c r="E111">
        <v>47.330002</v>
      </c>
      <c r="F111">
        <v>46.189022000000001</v>
      </c>
      <c r="G111">
        <v>13077600</v>
      </c>
      <c r="I111">
        <f t="shared" si="3"/>
        <v>-7.1323328236833506E-3</v>
      </c>
      <c r="J111">
        <v>0</v>
      </c>
      <c r="K111">
        <f t="shared" si="4"/>
        <v>-7.1323328236833506E-3</v>
      </c>
      <c r="L111">
        <f t="shared" si="5"/>
        <v>-0.71323328236833505</v>
      </c>
      <c r="M111">
        <v>0.78</v>
      </c>
    </row>
    <row r="112" spans="1:13" x14ac:dyDescent="0.2">
      <c r="A112" s="1">
        <v>44049</v>
      </c>
      <c r="B112">
        <v>47.23</v>
      </c>
      <c r="C112">
        <v>47.830002</v>
      </c>
      <c r="D112">
        <v>47.099997999999999</v>
      </c>
      <c r="E112">
        <v>47.77</v>
      </c>
      <c r="F112">
        <v>46.618411999999999</v>
      </c>
      <c r="G112">
        <v>14190900</v>
      </c>
      <c r="I112">
        <f t="shared" si="3"/>
        <v>9.2963648375148089E-3</v>
      </c>
      <c r="J112">
        <v>0</v>
      </c>
      <c r="K112">
        <f t="shared" si="4"/>
        <v>9.2963648375148089E-3</v>
      </c>
      <c r="L112">
        <f t="shared" si="5"/>
        <v>0.92963648375148089</v>
      </c>
      <c r="M112">
        <v>0.53</v>
      </c>
    </row>
    <row r="113" spans="1:13" x14ac:dyDescent="0.2">
      <c r="A113" s="1">
        <v>44050</v>
      </c>
      <c r="B113">
        <v>47.330002</v>
      </c>
      <c r="C113">
        <v>47.599997999999999</v>
      </c>
      <c r="D113">
        <v>47.029998999999997</v>
      </c>
      <c r="E113">
        <v>47.43</v>
      </c>
      <c r="F113">
        <v>46.286613000000003</v>
      </c>
      <c r="G113">
        <v>17054300</v>
      </c>
      <c r="I113">
        <f t="shared" si="3"/>
        <v>-7.1173381023788762E-3</v>
      </c>
      <c r="J113">
        <v>0</v>
      </c>
      <c r="K113">
        <f t="shared" si="4"/>
        <v>-7.1173381023788762E-3</v>
      </c>
      <c r="L113">
        <f t="shared" si="5"/>
        <v>-0.71173381023788762</v>
      </c>
      <c r="M113">
        <v>0.02</v>
      </c>
    </row>
    <row r="114" spans="1:13" x14ac:dyDescent="0.2">
      <c r="A114" s="1">
        <v>44053</v>
      </c>
      <c r="B114">
        <v>47.16</v>
      </c>
      <c r="C114">
        <v>48</v>
      </c>
      <c r="D114">
        <v>47.16</v>
      </c>
      <c r="E114">
        <v>47.73</v>
      </c>
      <c r="F114">
        <v>46.579376000000003</v>
      </c>
      <c r="G114">
        <v>14999200</v>
      </c>
      <c r="I114">
        <f t="shared" si="3"/>
        <v>6.3250037327207496E-3</v>
      </c>
      <c r="J114">
        <v>0</v>
      </c>
      <c r="K114">
        <f t="shared" si="4"/>
        <v>6.3250037327207496E-3</v>
      </c>
      <c r="L114">
        <f t="shared" si="5"/>
        <v>0.63250037327207498</v>
      </c>
      <c r="M114">
        <v>0.24</v>
      </c>
    </row>
    <row r="115" spans="1:13" x14ac:dyDescent="0.2">
      <c r="A115" s="1">
        <v>44054</v>
      </c>
      <c r="B115">
        <v>47.900002000000001</v>
      </c>
      <c r="C115">
        <v>48.450001</v>
      </c>
      <c r="D115">
        <v>47.09</v>
      </c>
      <c r="E115">
        <v>47.189999</v>
      </c>
      <c r="F115">
        <v>46.052399000000001</v>
      </c>
      <c r="G115">
        <v>18859600</v>
      </c>
      <c r="I115">
        <f t="shared" si="3"/>
        <v>-1.1313526398464467E-2</v>
      </c>
      <c r="J115">
        <v>0</v>
      </c>
      <c r="K115">
        <f t="shared" si="4"/>
        <v>-1.1313526398464467E-2</v>
      </c>
      <c r="L115">
        <f t="shared" si="5"/>
        <v>-1.1313526398464466</v>
      </c>
      <c r="M115">
        <v>-0.83</v>
      </c>
    </row>
    <row r="116" spans="1:13" x14ac:dyDescent="0.2">
      <c r="A116" s="1">
        <v>44055</v>
      </c>
      <c r="B116">
        <v>47.279998999999997</v>
      </c>
      <c r="C116">
        <v>48.130001</v>
      </c>
      <c r="D116">
        <v>47.27</v>
      </c>
      <c r="E116">
        <v>48.099997999999999</v>
      </c>
      <c r="F116">
        <v>46.940460000000002</v>
      </c>
      <c r="G116">
        <v>27023700</v>
      </c>
      <c r="I116">
        <f t="shared" si="3"/>
        <v>1.928370767394768E-2</v>
      </c>
      <c r="J116">
        <v>0</v>
      </c>
      <c r="K116">
        <f t="shared" si="4"/>
        <v>1.928370767394768E-2</v>
      </c>
      <c r="L116">
        <f t="shared" si="5"/>
        <v>1.9283707673947679</v>
      </c>
      <c r="M116">
        <v>1.4</v>
      </c>
    </row>
    <row r="117" spans="1:13" x14ac:dyDescent="0.2">
      <c r="A117" s="1">
        <v>44056</v>
      </c>
      <c r="B117">
        <v>43.790000999999997</v>
      </c>
      <c r="C117">
        <v>43.84</v>
      </c>
      <c r="D117">
        <v>42.380001</v>
      </c>
      <c r="E117">
        <v>42.720001000000003</v>
      </c>
      <c r="F117">
        <v>41.690154999999997</v>
      </c>
      <c r="G117">
        <v>91849500</v>
      </c>
      <c r="I117">
        <f t="shared" si="3"/>
        <v>-0.1118503099458336</v>
      </c>
      <c r="J117">
        <v>0</v>
      </c>
      <c r="K117">
        <f t="shared" si="4"/>
        <v>-0.1118503099458336</v>
      </c>
      <c r="L117">
        <f t="shared" si="5"/>
        <v>-11.185030994583361</v>
      </c>
      <c r="M117">
        <v>-0.01</v>
      </c>
    </row>
    <row r="118" spans="1:13" x14ac:dyDescent="0.2">
      <c r="A118" s="1">
        <v>44057</v>
      </c>
      <c r="B118">
        <v>42.490001999999997</v>
      </c>
      <c r="C118">
        <v>42.880001</v>
      </c>
      <c r="D118">
        <v>42.27</v>
      </c>
      <c r="E118">
        <v>42.5</v>
      </c>
      <c r="F118">
        <v>41.475456000000001</v>
      </c>
      <c r="G118">
        <v>32539500</v>
      </c>
      <c r="I118">
        <f t="shared" si="3"/>
        <v>-5.1498729136410263E-3</v>
      </c>
      <c r="J118">
        <v>0</v>
      </c>
      <c r="K118">
        <f t="shared" si="4"/>
        <v>-5.1498729136410263E-3</v>
      </c>
      <c r="L118">
        <f t="shared" si="5"/>
        <v>-0.5149872913641026</v>
      </c>
      <c r="M118">
        <v>-0.04</v>
      </c>
    </row>
    <row r="119" spans="1:13" x14ac:dyDescent="0.2">
      <c r="A119" s="1">
        <v>44060</v>
      </c>
      <c r="B119">
        <v>42.549999</v>
      </c>
      <c r="C119">
        <v>42.759998000000003</v>
      </c>
      <c r="D119">
        <v>41.860000999999997</v>
      </c>
      <c r="E119">
        <v>42.09</v>
      </c>
      <c r="F119">
        <v>41.075344000000001</v>
      </c>
      <c r="G119">
        <v>30511700</v>
      </c>
      <c r="I119">
        <f t="shared" si="3"/>
        <v>-9.6469584324763071E-3</v>
      </c>
      <c r="J119">
        <v>0</v>
      </c>
      <c r="K119">
        <f t="shared" si="4"/>
        <v>-9.6469584324763071E-3</v>
      </c>
      <c r="L119">
        <f t="shared" si="5"/>
        <v>-0.96469584324763069</v>
      </c>
      <c r="M119">
        <v>0.45</v>
      </c>
    </row>
    <row r="120" spans="1:13" x14ac:dyDescent="0.2">
      <c r="A120" s="1">
        <v>44061</v>
      </c>
      <c r="B120">
        <v>42.130001</v>
      </c>
      <c r="C120">
        <v>42.290000999999997</v>
      </c>
      <c r="D120">
        <v>41.810001</v>
      </c>
      <c r="E120">
        <v>41.98</v>
      </c>
      <c r="F120">
        <v>40.967995000000002</v>
      </c>
      <c r="G120">
        <v>23344600</v>
      </c>
      <c r="I120">
        <f t="shared" si="3"/>
        <v>-2.6134656352482222E-3</v>
      </c>
      <c r="J120">
        <v>0</v>
      </c>
      <c r="K120">
        <f t="shared" si="4"/>
        <v>-2.6134656352482222E-3</v>
      </c>
      <c r="L120">
        <f t="shared" si="5"/>
        <v>-0.26134656352482222</v>
      </c>
      <c r="M120">
        <v>0.22</v>
      </c>
    </row>
    <row r="121" spans="1:13" x14ac:dyDescent="0.2">
      <c r="A121" s="1">
        <v>44062</v>
      </c>
      <c r="B121">
        <v>42.099997999999999</v>
      </c>
      <c r="C121">
        <v>42.349997999999999</v>
      </c>
      <c r="D121">
        <v>41.779998999999997</v>
      </c>
      <c r="E121">
        <v>41.869999</v>
      </c>
      <c r="F121">
        <v>40.860644999999998</v>
      </c>
      <c r="G121">
        <v>20097400</v>
      </c>
      <c r="I121">
        <f t="shared" si="3"/>
        <v>-2.6203381444467521E-3</v>
      </c>
      <c r="J121">
        <v>0</v>
      </c>
      <c r="K121">
        <f t="shared" si="4"/>
        <v>-2.6203381444467521E-3</v>
      </c>
      <c r="L121">
        <f t="shared" si="5"/>
        <v>-0.26203381444467522</v>
      </c>
      <c r="M121">
        <v>-0.38</v>
      </c>
    </row>
    <row r="122" spans="1:13" x14ac:dyDescent="0.2">
      <c r="A122" s="1">
        <v>44063</v>
      </c>
      <c r="B122">
        <v>41.869999</v>
      </c>
      <c r="C122">
        <v>42.419998</v>
      </c>
      <c r="D122">
        <v>41.73</v>
      </c>
      <c r="E122">
        <v>42.310001</v>
      </c>
      <c r="F122">
        <v>41.290039</v>
      </c>
      <c r="G122">
        <v>18443900</v>
      </c>
      <c r="I122">
        <f t="shared" si="3"/>
        <v>1.0508742581033709E-2</v>
      </c>
      <c r="J122">
        <v>0</v>
      </c>
      <c r="K122">
        <f t="shared" si="4"/>
        <v>1.0508742581033709E-2</v>
      </c>
      <c r="L122">
        <f t="shared" si="5"/>
        <v>1.050874258103371</v>
      </c>
      <c r="M122">
        <v>0.31</v>
      </c>
    </row>
    <row r="123" spans="1:13" x14ac:dyDescent="0.2">
      <c r="A123" s="1">
        <v>44064</v>
      </c>
      <c r="B123">
        <v>42.049999</v>
      </c>
      <c r="C123">
        <v>42.299999</v>
      </c>
      <c r="D123">
        <v>41.810001</v>
      </c>
      <c r="E123">
        <v>42.25</v>
      </c>
      <c r="F123">
        <v>41.231482999999997</v>
      </c>
      <c r="G123">
        <v>17389600</v>
      </c>
      <c r="I123">
        <f t="shared" si="3"/>
        <v>-1.4181628648983098E-3</v>
      </c>
      <c r="J123">
        <v>0</v>
      </c>
      <c r="K123">
        <f t="shared" si="4"/>
        <v>-1.4181628648983098E-3</v>
      </c>
      <c r="L123">
        <f t="shared" si="5"/>
        <v>-0.14181628648983097</v>
      </c>
      <c r="M123">
        <v>0.25</v>
      </c>
    </row>
    <row r="124" spans="1:13" x14ac:dyDescent="0.2">
      <c r="A124" s="1">
        <v>44067</v>
      </c>
      <c r="B124">
        <v>42.07</v>
      </c>
      <c r="C124">
        <v>42.470001000000003</v>
      </c>
      <c r="D124">
        <v>42</v>
      </c>
      <c r="E124">
        <v>42.18</v>
      </c>
      <c r="F124">
        <v>41.163173999999998</v>
      </c>
      <c r="G124">
        <v>17742900</v>
      </c>
      <c r="I124">
        <f t="shared" si="3"/>
        <v>-1.6567194539182423E-3</v>
      </c>
      <c r="J124">
        <v>0</v>
      </c>
      <c r="K124">
        <f t="shared" si="4"/>
        <v>-1.6567194539182423E-3</v>
      </c>
      <c r="L124">
        <f t="shared" si="5"/>
        <v>-0.16567194539182423</v>
      </c>
      <c r="M124">
        <v>0.92</v>
      </c>
    </row>
    <row r="125" spans="1:13" x14ac:dyDescent="0.2">
      <c r="A125" s="1">
        <v>44068</v>
      </c>
      <c r="B125">
        <v>42.23</v>
      </c>
      <c r="C125">
        <v>42.299999</v>
      </c>
      <c r="D125">
        <v>41.779998999999997</v>
      </c>
      <c r="E125">
        <v>41.959999000000003</v>
      </c>
      <c r="F125">
        <v>40.948475000000002</v>
      </c>
      <c r="G125">
        <v>15417400</v>
      </c>
      <c r="I125">
        <f t="shared" si="3"/>
        <v>-5.2158028435804289E-3</v>
      </c>
      <c r="J125">
        <v>0</v>
      </c>
      <c r="K125">
        <f t="shared" si="4"/>
        <v>-5.2158028435804289E-3</v>
      </c>
      <c r="L125">
        <f t="shared" si="5"/>
        <v>-0.52158028435804293</v>
      </c>
      <c r="M125">
        <v>0.36</v>
      </c>
    </row>
    <row r="126" spans="1:13" x14ac:dyDescent="0.2">
      <c r="A126" s="1">
        <v>44069</v>
      </c>
      <c r="B126">
        <v>41.650002000000001</v>
      </c>
      <c r="C126">
        <v>42.279998999999997</v>
      </c>
      <c r="D126">
        <v>41.450001</v>
      </c>
      <c r="E126">
        <v>42.25</v>
      </c>
      <c r="F126">
        <v>41.231482999999997</v>
      </c>
      <c r="G126">
        <v>21625800</v>
      </c>
      <c r="I126">
        <f t="shared" si="3"/>
        <v>6.9113196523190486E-3</v>
      </c>
      <c r="J126">
        <v>0</v>
      </c>
      <c r="K126">
        <f t="shared" si="4"/>
        <v>6.9113196523190486E-3</v>
      </c>
      <c r="L126">
        <f t="shared" si="5"/>
        <v>0.6911319652319049</v>
      </c>
      <c r="M126">
        <v>1</v>
      </c>
    </row>
    <row r="127" spans="1:13" x14ac:dyDescent="0.2">
      <c r="A127" s="1">
        <v>44070</v>
      </c>
      <c r="B127">
        <v>42.400002000000001</v>
      </c>
      <c r="C127">
        <v>42.470001000000003</v>
      </c>
      <c r="D127">
        <v>42.02</v>
      </c>
      <c r="E127">
        <v>42.290000999999997</v>
      </c>
      <c r="F127">
        <v>41.270519</v>
      </c>
      <c r="G127">
        <v>22456800</v>
      </c>
      <c r="I127">
        <f t="shared" si="3"/>
        <v>9.4675226695103249E-4</v>
      </c>
      <c r="J127">
        <v>0</v>
      </c>
      <c r="K127">
        <f t="shared" si="4"/>
        <v>9.4675226695103249E-4</v>
      </c>
      <c r="L127">
        <f t="shared" si="5"/>
        <v>9.4675226695103254E-2</v>
      </c>
      <c r="M127">
        <v>0.18</v>
      </c>
    </row>
    <row r="128" spans="1:13" x14ac:dyDescent="0.2">
      <c r="A128" s="1">
        <v>44071</v>
      </c>
      <c r="B128">
        <v>42.139999000000003</v>
      </c>
      <c r="C128">
        <v>42.299999</v>
      </c>
      <c r="D128">
        <v>42</v>
      </c>
      <c r="E128">
        <v>42.200001</v>
      </c>
      <c r="F128">
        <v>41.182693</v>
      </c>
      <c r="G128">
        <v>16573600</v>
      </c>
      <c r="I128">
        <f t="shared" si="3"/>
        <v>-2.1280565916798801E-3</v>
      </c>
      <c r="J128">
        <v>0</v>
      </c>
      <c r="K128">
        <f t="shared" si="4"/>
        <v>-2.1280565916798801E-3</v>
      </c>
      <c r="L128">
        <f t="shared" si="5"/>
        <v>-0.21280565916798802</v>
      </c>
      <c r="M128">
        <v>0.7</v>
      </c>
    </row>
    <row r="129" spans="1:13" x14ac:dyDescent="0.2">
      <c r="A129" s="1">
        <v>44074</v>
      </c>
      <c r="B129">
        <v>42.099997999999999</v>
      </c>
      <c r="C129">
        <v>42.349997999999999</v>
      </c>
      <c r="D129">
        <v>41.939999</v>
      </c>
      <c r="E129">
        <v>42.220001000000003</v>
      </c>
      <c r="F129">
        <v>41.202209000000003</v>
      </c>
      <c r="G129">
        <v>21298000</v>
      </c>
      <c r="I129">
        <f t="shared" si="3"/>
        <v>4.7388838801782523E-4</v>
      </c>
      <c r="J129">
        <v>0</v>
      </c>
      <c r="K129">
        <f t="shared" si="4"/>
        <v>4.7388838801782523E-4</v>
      </c>
      <c r="L129">
        <f t="shared" si="5"/>
        <v>4.7388838801782525E-2</v>
      </c>
      <c r="M129">
        <v>-0.04</v>
      </c>
    </row>
    <row r="130" spans="1:13" x14ac:dyDescent="0.2">
      <c r="A130" s="1">
        <v>44075</v>
      </c>
      <c r="B130">
        <v>42</v>
      </c>
      <c r="C130">
        <v>42.07</v>
      </c>
      <c r="D130">
        <v>41.5</v>
      </c>
      <c r="E130">
        <v>42.029998999999997</v>
      </c>
      <c r="F130">
        <v>41.016784999999999</v>
      </c>
      <c r="G130">
        <v>23344900</v>
      </c>
      <c r="I130">
        <f t="shared" si="3"/>
        <v>-4.5003412317044626E-3</v>
      </c>
      <c r="J130">
        <v>0</v>
      </c>
      <c r="K130">
        <f t="shared" si="4"/>
        <v>-4.5003412317044626E-3</v>
      </c>
      <c r="L130">
        <f t="shared" si="5"/>
        <v>-0.45003412317044628</v>
      </c>
      <c r="M130">
        <v>0.92</v>
      </c>
    </row>
    <row r="131" spans="1:13" x14ac:dyDescent="0.2">
      <c r="A131" s="1">
        <v>44076</v>
      </c>
      <c r="B131">
        <v>42.040000999999997</v>
      </c>
      <c r="C131">
        <v>42.689999</v>
      </c>
      <c r="D131">
        <v>42.029998999999997</v>
      </c>
      <c r="E131">
        <v>42.419998</v>
      </c>
      <c r="F131">
        <v>41.397385</v>
      </c>
      <c r="G131">
        <v>30045700</v>
      </c>
      <c r="I131">
        <f t="shared" si="3"/>
        <v>9.2791280447748689E-3</v>
      </c>
      <c r="J131">
        <v>0</v>
      </c>
      <c r="K131">
        <f t="shared" si="4"/>
        <v>9.2791280447748689E-3</v>
      </c>
      <c r="L131">
        <f t="shared" si="5"/>
        <v>0.92791280447748692</v>
      </c>
      <c r="M131">
        <v>1.27</v>
      </c>
    </row>
    <row r="132" spans="1:13" x14ac:dyDescent="0.2">
      <c r="A132" s="1">
        <v>44077</v>
      </c>
      <c r="B132">
        <v>41.75</v>
      </c>
      <c r="C132">
        <v>41.830002</v>
      </c>
      <c r="D132">
        <v>40.669998</v>
      </c>
      <c r="E132">
        <v>40.950001</v>
      </c>
      <c r="F132">
        <v>39.962826</v>
      </c>
      <c r="G132">
        <v>39288100</v>
      </c>
      <c r="I132">
        <f t="shared" ref="I132:I195" si="6">(F132-F131)/F131</f>
        <v>-3.4653372429200545E-2</v>
      </c>
      <c r="J132">
        <v>0</v>
      </c>
      <c r="K132">
        <f t="shared" ref="K132:K195" si="7">I132-J132</f>
        <v>-3.4653372429200545E-2</v>
      </c>
      <c r="L132">
        <f t="shared" ref="L132:L195" si="8">100*K132</f>
        <v>-3.4653372429200546</v>
      </c>
      <c r="M132">
        <v>-3.7</v>
      </c>
    </row>
    <row r="133" spans="1:13" x14ac:dyDescent="0.2">
      <c r="A133" s="1">
        <v>44078</v>
      </c>
      <c r="B133">
        <v>41.200001</v>
      </c>
      <c r="C133">
        <v>41.43</v>
      </c>
      <c r="D133">
        <v>40.439999</v>
      </c>
      <c r="E133">
        <v>40.82</v>
      </c>
      <c r="F133">
        <v>39.835957000000001</v>
      </c>
      <c r="G133">
        <v>34867400</v>
      </c>
      <c r="I133">
        <f t="shared" si="6"/>
        <v>-3.1746753845686296E-3</v>
      </c>
      <c r="J133">
        <v>0</v>
      </c>
      <c r="K133">
        <f t="shared" si="7"/>
        <v>-3.1746753845686296E-3</v>
      </c>
      <c r="L133">
        <f t="shared" si="8"/>
        <v>-0.31746753845686299</v>
      </c>
      <c r="M133">
        <v>-0.87</v>
      </c>
    </row>
    <row r="134" spans="1:13" x14ac:dyDescent="0.2">
      <c r="A134" s="1">
        <v>44082</v>
      </c>
      <c r="B134">
        <v>40.049999</v>
      </c>
      <c r="C134">
        <v>40.610000999999997</v>
      </c>
      <c r="D134">
        <v>39.970001000000003</v>
      </c>
      <c r="E134">
        <v>40</v>
      </c>
      <c r="F134">
        <v>39.035724999999999</v>
      </c>
      <c r="G134">
        <v>29101800</v>
      </c>
      <c r="I134">
        <f t="shared" si="6"/>
        <v>-2.0088183145694258E-2</v>
      </c>
      <c r="J134">
        <v>0</v>
      </c>
      <c r="K134">
        <f t="shared" si="7"/>
        <v>-2.0088183145694258E-2</v>
      </c>
      <c r="L134">
        <f t="shared" si="8"/>
        <v>-2.0088183145694258</v>
      </c>
      <c r="M134">
        <v>-2.91</v>
      </c>
    </row>
    <row r="135" spans="1:13" x14ac:dyDescent="0.2">
      <c r="A135" s="1">
        <v>44083</v>
      </c>
      <c r="B135">
        <v>40.099997999999999</v>
      </c>
      <c r="C135">
        <v>40.479999999999997</v>
      </c>
      <c r="D135">
        <v>39.720001000000003</v>
      </c>
      <c r="E135">
        <v>40.130001</v>
      </c>
      <c r="F135">
        <v>39.162590000000002</v>
      </c>
      <c r="G135">
        <v>23351600</v>
      </c>
      <c r="I135">
        <f t="shared" si="6"/>
        <v>3.2499716605750816E-3</v>
      </c>
      <c r="J135">
        <v>0</v>
      </c>
      <c r="K135">
        <f t="shared" si="7"/>
        <v>3.2499716605750816E-3</v>
      </c>
      <c r="L135">
        <f t="shared" si="8"/>
        <v>0.32499716605750817</v>
      </c>
      <c r="M135">
        <v>2.0699999999999998</v>
      </c>
    </row>
    <row r="136" spans="1:13" x14ac:dyDescent="0.2">
      <c r="A136" s="1">
        <v>44084</v>
      </c>
      <c r="B136">
        <v>40.029998999999997</v>
      </c>
      <c r="C136">
        <v>40.639999000000003</v>
      </c>
      <c r="D136">
        <v>39.419998</v>
      </c>
      <c r="E136">
        <v>39.57</v>
      </c>
      <c r="F136">
        <v>38.616089000000002</v>
      </c>
      <c r="G136">
        <v>25108800</v>
      </c>
      <c r="I136">
        <f t="shared" si="6"/>
        <v>-1.3954669494535454E-2</v>
      </c>
      <c r="J136">
        <v>0</v>
      </c>
      <c r="K136">
        <f t="shared" si="7"/>
        <v>-1.3954669494535454E-2</v>
      </c>
      <c r="L136">
        <f t="shared" si="8"/>
        <v>-1.3954669494535454</v>
      </c>
      <c r="M136">
        <v>-1.64</v>
      </c>
    </row>
    <row r="137" spans="1:13" x14ac:dyDescent="0.2">
      <c r="A137" s="1">
        <v>44085</v>
      </c>
      <c r="B137">
        <v>39.770000000000003</v>
      </c>
      <c r="C137">
        <v>40.049999</v>
      </c>
      <c r="D137">
        <v>39.520000000000003</v>
      </c>
      <c r="E137">
        <v>39.880001</v>
      </c>
      <c r="F137">
        <v>38.918616999999998</v>
      </c>
      <c r="G137">
        <v>21853000</v>
      </c>
      <c r="I137">
        <f t="shared" si="6"/>
        <v>7.8342475334567205E-3</v>
      </c>
      <c r="J137">
        <v>0</v>
      </c>
      <c r="K137">
        <f t="shared" si="7"/>
        <v>7.8342475334567205E-3</v>
      </c>
      <c r="L137">
        <f t="shared" si="8"/>
        <v>0.78342475334567208</v>
      </c>
      <c r="M137">
        <v>-0.06</v>
      </c>
    </row>
    <row r="138" spans="1:13" x14ac:dyDescent="0.2">
      <c r="A138" s="1">
        <v>44088</v>
      </c>
      <c r="B138">
        <v>40.220001000000003</v>
      </c>
      <c r="C138">
        <v>40.639999000000003</v>
      </c>
      <c r="D138">
        <v>40.049999</v>
      </c>
      <c r="E138">
        <v>40.369999</v>
      </c>
      <c r="F138">
        <v>39.396801000000004</v>
      </c>
      <c r="G138">
        <v>19866700</v>
      </c>
      <c r="I138">
        <f t="shared" si="6"/>
        <v>1.2286767538528051E-2</v>
      </c>
      <c r="J138">
        <v>0</v>
      </c>
      <c r="K138">
        <f t="shared" si="7"/>
        <v>1.2286767538528051E-2</v>
      </c>
      <c r="L138">
        <f t="shared" si="8"/>
        <v>1.2286767538528052</v>
      </c>
      <c r="M138">
        <v>1.59</v>
      </c>
    </row>
    <row r="139" spans="1:13" x14ac:dyDescent="0.2">
      <c r="A139" s="1">
        <v>44089</v>
      </c>
      <c r="B139">
        <v>40.509998000000003</v>
      </c>
      <c r="C139">
        <v>40.840000000000003</v>
      </c>
      <c r="D139">
        <v>40.380001</v>
      </c>
      <c r="E139">
        <v>40.599997999999999</v>
      </c>
      <c r="F139">
        <v>39.621257999999997</v>
      </c>
      <c r="G139">
        <v>19024100</v>
      </c>
      <c r="I139">
        <f t="shared" si="6"/>
        <v>5.6973407561693628E-3</v>
      </c>
      <c r="J139">
        <v>0</v>
      </c>
      <c r="K139">
        <f t="shared" si="7"/>
        <v>5.6973407561693628E-3</v>
      </c>
      <c r="L139">
        <f t="shared" si="8"/>
        <v>0.56973407561693623</v>
      </c>
      <c r="M139">
        <v>0.56999999999999995</v>
      </c>
    </row>
    <row r="140" spans="1:13" x14ac:dyDescent="0.2">
      <c r="A140" s="1">
        <v>44090</v>
      </c>
      <c r="B140">
        <v>40.720001000000003</v>
      </c>
      <c r="C140">
        <v>41.169998</v>
      </c>
      <c r="D140">
        <v>40.389999000000003</v>
      </c>
      <c r="E140">
        <v>40.419998</v>
      </c>
      <c r="F140">
        <v>39.445602000000001</v>
      </c>
      <c r="G140">
        <v>24310200</v>
      </c>
      <c r="I140">
        <f t="shared" si="6"/>
        <v>-4.4333776580237939E-3</v>
      </c>
      <c r="J140">
        <v>0</v>
      </c>
      <c r="K140">
        <f t="shared" si="7"/>
        <v>-4.4333776580237939E-3</v>
      </c>
      <c r="L140">
        <f t="shared" si="8"/>
        <v>-0.44333776580237938</v>
      </c>
      <c r="M140">
        <v>-0.39</v>
      </c>
    </row>
    <row r="141" spans="1:13" x14ac:dyDescent="0.2">
      <c r="A141" s="1">
        <v>44091</v>
      </c>
      <c r="B141">
        <v>39.659999999999997</v>
      </c>
      <c r="C141">
        <v>40.400002000000001</v>
      </c>
      <c r="D141">
        <v>39.509998000000003</v>
      </c>
      <c r="E141">
        <v>40.369999</v>
      </c>
      <c r="F141">
        <v>39.396801000000004</v>
      </c>
      <c r="G141">
        <v>22225900</v>
      </c>
      <c r="I141">
        <f t="shared" si="6"/>
        <v>-1.2371721440579721E-3</v>
      </c>
      <c r="J141">
        <v>0</v>
      </c>
      <c r="K141">
        <f t="shared" si="7"/>
        <v>-1.2371721440579721E-3</v>
      </c>
      <c r="L141">
        <f t="shared" si="8"/>
        <v>-0.12371721440579721</v>
      </c>
      <c r="M141">
        <v>-0.85</v>
      </c>
    </row>
    <row r="142" spans="1:13" x14ac:dyDescent="0.2">
      <c r="A142" s="1">
        <v>44092</v>
      </c>
      <c r="B142">
        <v>40.18</v>
      </c>
      <c r="C142">
        <v>40.32</v>
      </c>
      <c r="D142">
        <v>39.580002</v>
      </c>
      <c r="E142">
        <v>39.810001</v>
      </c>
      <c r="F142">
        <v>38.850307000000001</v>
      </c>
      <c r="G142">
        <v>44450800</v>
      </c>
      <c r="I142">
        <f t="shared" si="6"/>
        <v>-1.3871532361218939E-2</v>
      </c>
      <c r="J142">
        <v>0</v>
      </c>
      <c r="K142">
        <f t="shared" si="7"/>
        <v>-1.3871532361218939E-2</v>
      </c>
      <c r="L142">
        <f t="shared" si="8"/>
        <v>-1.3871532361218939</v>
      </c>
      <c r="M142">
        <v>-0.88</v>
      </c>
    </row>
    <row r="143" spans="1:13" x14ac:dyDescent="0.2">
      <c r="A143" s="1">
        <v>44095</v>
      </c>
      <c r="B143">
        <v>39.310001</v>
      </c>
      <c r="C143">
        <v>39.470001000000003</v>
      </c>
      <c r="D143">
        <v>38.689999</v>
      </c>
      <c r="E143">
        <v>39.040000999999997</v>
      </c>
      <c r="F143">
        <v>38.098869000000001</v>
      </c>
      <c r="G143">
        <v>28495000</v>
      </c>
      <c r="I143">
        <f t="shared" si="6"/>
        <v>-1.9341880618858436E-2</v>
      </c>
      <c r="J143">
        <v>0</v>
      </c>
      <c r="K143">
        <f t="shared" si="7"/>
        <v>-1.9341880618858436E-2</v>
      </c>
      <c r="L143">
        <f t="shared" si="8"/>
        <v>-1.9341880618858436</v>
      </c>
      <c r="M143">
        <v>-1.08</v>
      </c>
    </row>
    <row r="144" spans="1:13" x14ac:dyDescent="0.2">
      <c r="A144" s="1">
        <v>44096</v>
      </c>
      <c r="B144">
        <v>39.18</v>
      </c>
      <c r="C144">
        <v>39.459999000000003</v>
      </c>
      <c r="D144">
        <v>38.880001</v>
      </c>
      <c r="E144">
        <v>39.32</v>
      </c>
      <c r="F144">
        <v>38.372120000000002</v>
      </c>
      <c r="G144">
        <v>17656800</v>
      </c>
      <c r="I144">
        <f t="shared" si="6"/>
        <v>7.1721551629262779E-3</v>
      </c>
      <c r="J144">
        <v>0</v>
      </c>
      <c r="K144">
        <f t="shared" si="7"/>
        <v>7.1721551629262779E-3</v>
      </c>
      <c r="L144">
        <f t="shared" si="8"/>
        <v>0.71721551629262781</v>
      </c>
      <c r="M144">
        <v>1.02</v>
      </c>
    </row>
    <row r="145" spans="1:13" x14ac:dyDescent="0.2">
      <c r="A145" s="1">
        <v>44097</v>
      </c>
      <c r="B145">
        <v>39.229999999999997</v>
      </c>
      <c r="C145">
        <v>39.389999000000003</v>
      </c>
      <c r="D145">
        <v>38.18</v>
      </c>
      <c r="E145">
        <v>38.279998999999997</v>
      </c>
      <c r="F145">
        <v>37.357188999999998</v>
      </c>
      <c r="G145">
        <v>24843200</v>
      </c>
      <c r="I145">
        <f t="shared" si="6"/>
        <v>-2.6449698374757614E-2</v>
      </c>
      <c r="J145">
        <v>0</v>
      </c>
      <c r="K145">
        <f t="shared" si="7"/>
        <v>-2.6449698374757614E-2</v>
      </c>
      <c r="L145">
        <f t="shared" si="8"/>
        <v>-2.6449698374757613</v>
      </c>
      <c r="M145">
        <v>-2.48</v>
      </c>
    </row>
    <row r="146" spans="1:13" x14ac:dyDescent="0.2">
      <c r="A146" s="1">
        <v>44098</v>
      </c>
      <c r="B146">
        <v>38</v>
      </c>
      <c r="C146">
        <v>38.159999999999997</v>
      </c>
      <c r="D146">
        <v>37.599997999999999</v>
      </c>
      <c r="E146">
        <v>37.849997999999999</v>
      </c>
      <c r="F146">
        <v>36.937556999999998</v>
      </c>
      <c r="G146">
        <v>30910400</v>
      </c>
      <c r="I146">
        <f t="shared" si="6"/>
        <v>-1.1232965092742925E-2</v>
      </c>
      <c r="J146">
        <v>0</v>
      </c>
      <c r="K146">
        <f t="shared" si="7"/>
        <v>-1.1232965092742925E-2</v>
      </c>
      <c r="L146">
        <f t="shared" si="8"/>
        <v>-1.1232965092742926</v>
      </c>
      <c r="M146">
        <v>0.25</v>
      </c>
    </row>
    <row r="147" spans="1:13" x14ac:dyDescent="0.2">
      <c r="A147" s="1">
        <v>44099</v>
      </c>
      <c r="B147">
        <v>37.759998000000003</v>
      </c>
      <c r="C147">
        <v>38.540000999999997</v>
      </c>
      <c r="D147">
        <v>37.619999</v>
      </c>
      <c r="E147">
        <v>38.450001</v>
      </c>
      <c r="F147">
        <v>37.523090000000003</v>
      </c>
      <c r="G147">
        <v>22966600</v>
      </c>
      <c r="I147">
        <f t="shared" si="6"/>
        <v>1.5851968769889282E-2</v>
      </c>
      <c r="J147">
        <v>0</v>
      </c>
      <c r="K147">
        <f t="shared" si="7"/>
        <v>1.5851968769889282E-2</v>
      </c>
      <c r="L147">
        <f t="shared" si="8"/>
        <v>1.5851968769889282</v>
      </c>
      <c r="M147">
        <v>1.72</v>
      </c>
    </row>
    <row r="148" spans="1:13" x14ac:dyDescent="0.2">
      <c r="A148" s="1">
        <v>44102</v>
      </c>
      <c r="B148">
        <v>39.200001</v>
      </c>
      <c r="C148">
        <v>39.290000999999997</v>
      </c>
      <c r="D148">
        <v>38.790000999999997</v>
      </c>
      <c r="E148">
        <v>39.130001</v>
      </c>
      <c r="F148">
        <v>38.186698999999997</v>
      </c>
      <c r="G148">
        <v>24275700</v>
      </c>
      <c r="I148">
        <f t="shared" si="6"/>
        <v>1.7685350540160575E-2</v>
      </c>
      <c r="J148">
        <v>0</v>
      </c>
      <c r="K148">
        <f t="shared" si="7"/>
        <v>1.7685350540160575E-2</v>
      </c>
      <c r="L148">
        <f t="shared" si="8"/>
        <v>1.7685350540160576</v>
      </c>
      <c r="M148">
        <v>1.66</v>
      </c>
    </row>
    <row r="149" spans="1:13" x14ac:dyDescent="0.2">
      <c r="A149" s="1">
        <v>44103</v>
      </c>
      <c r="B149">
        <v>39.07</v>
      </c>
      <c r="C149">
        <v>39.380001</v>
      </c>
      <c r="D149">
        <v>38.830002</v>
      </c>
      <c r="E149">
        <v>39.060001</v>
      </c>
      <c r="F149">
        <v>38.118385000000004</v>
      </c>
      <c r="G149">
        <v>16353700</v>
      </c>
      <c r="I149">
        <f t="shared" si="6"/>
        <v>-1.7889475076123698E-3</v>
      </c>
      <c r="J149">
        <v>0</v>
      </c>
      <c r="K149">
        <f t="shared" si="7"/>
        <v>-1.7889475076123698E-3</v>
      </c>
      <c r="L149">
        <f t="shared" si="8"/>
        <v>-0.17889475076123698</v>
      </c>
      <c r="M149">
        <v>-0.42</v>
      </c>
    </row>
    <row r="150" spans="1:13" x14ac:dyDescent="0.2">
      <c r="A150" s="1">
        <v>44104</v>
      </c>
      <c r="B150">
        <v>39.090000000000003</v>
      </c>
      <c r="C150">
        <v>39.700001</v>
      </c>
      <c r="D150">
        <v>39.020000000000003</v>
      </c>
      <c r="E150">
        <v>39.389999000000003</v>
      </c>
      <c r="F150">
        <v>38.440429999999999</v>
      </c>
      <c r="G150">
        <v>27113200</v>
      </c>
      <c r="I150">
        <f t="shared" si="6"/>
        <v>8.448547859517019E-3</v>
      </c>
      <c r="J150">
        <v>0</v>
      </c>
      <c r="K150">
        <f t="shared" si="7"/>
        <v>8.448547859517019E-3</v>
      </c>
      <c r="L150">
        <f t="shared" si="8"/>
        <v>0.84485478595170194</v>
      </c>
      <c r="M150">
        <v>0.79</v>
      </c>
    </row>
    <row r="151" spans="1:13" x14ac:dyDescent="0.2">
      <c r="A151" s="1">
        <v>44105</v>
      </c>
      <c r="B151">
        <v>39.099997999999999</v>
      </c>
      <c r="C151">
        <v>39.310001</v>
      </c>
      <c r="D151">
        <v>38.57</v>
      </c>
      <c r="E151">
        <v>38.799999</v>
      </c>
      <c r="F151">
        <v>38.213901999999997</v>
      </c>
      <c r="G151">
        <v>20763500</v>
      </c>
      <c r="I151">
        <f t="shared" si="6"/>
        <v>-5.8929621755012063E-3</v>
      </c>
      <c r="J151">
        <v>0</v>
      </c>
      <c r="K151">
        <f t="shared" si="7"/>
        <v>-5.8929621755012063E-3</v>
      </c>
      <c r="L151">
        <f t="shared" si="8"/>
        <v>-0.58929621755012063</v>
      </c>
      <c r="M151">
        <v>0.79</v>
      </c>
    </row>
    <row r="152" spans="1:13" x14ac:dyDescent="0.2">
      <c r="A152" s="1">
        <v>44106</v>
      </c>
      <c r="B152">
        <v>38.049999</v>
      </c>
      <c r="C152">
        <v>38.549999</v>
      </c>
      <c r="D152">
        <v>37.970001000000003</v>
      </c>
      <c r="E152">
        <v>38.270000000000003</v>
      </c>
      <c r="F152">
        <v>37.69191</v>
      </c>
      <c r="G152">
        <v>24493000</v>
      </c>
      <c r="I152">
        <f t="shared" si="6"/>
        <v>-1.3659740897435635E-2</v>
      </c>
      <c r="J152">
        <v>0</v>
      </c>
      <c r="K152">
        <f t="shared" si="7"/>
        <v>-1.3659740897435635E-2</v>
      </c>
      <c r="L152">
        <f t="shared" si="8"/>
        <v>-1.3659740897435635</v>
      </c>
      <c r="M152">
        <v>-0.96</v>
      </c>
    </row>
    <row r="153" spans="1:13" x14ac:dyDescent="0.2">
      <c r="A153" s="1">
        <v>44109</v>
      </c>
      <c r="B153">
        <v>38.479999999999997</v>
      </c>
      <c r="C153">
        <v>38.790000999999997</v>
      </c>
      <c r="D153">
        <v>38.279998999999997</v>
      </c>
      <c r="E153">
        <v>38.57</v>
      </c>
      <c r="F153">
        <v>37.987380999999999</v>
      </c>
      <c r="G153">
        <v>26929100</v>
      </c>
      <c r="I153">
        <f t="shared" si="6"/>
        <v>7.839109241213808E-3</v>
      </c>
      <c r="J153">
        <v>0</v>
      </c>
      <c r="K153">
        <f t="shared" si="7"/>
        <v>7.839109241213808E-3</v>
      </c>
      <c r="L153">
        <f t="shared" si="8"/>
        <v>0.78391092412138075</v>
      </c>
      <c r="M153">
        <v>1.93</v>
      </c>
    </row>
    <row r="154" spans="1:13" x14ac:dyDescent="0.2">
      <c r="A154" s="1">
        <v>44110</v>
      </c>
      <c r="B154">
        <v>38.5</v>
      </c>
      <c r="C154">
        <v>39.349997999999999</v>
      </c>
      <c r="D154">
        <v>38.400002000000001</v>
      </c>
      <c r="E154">
        <v>38.57</v>
      </c>
      <c r="F154">
        <v>37.987380999999999</v>
      </c>
      <c r="G154">
        <v>28430800</v>
      </c>
      <c r="I154">
        <f t="shared" si="6"/>
        <v>0</v>
      </c>
      <c r="J154">
        <v>0</v>
      </c>
      <c r="K154">
        <f t="shared" si="7"/>
        <v>0</v>
      </c>
      <c r="L154">
        <f t="shared" si="8"/>
        <v>0</v>
      </c>
      <c r="M154">
        <v>-1.28</v>
      </c>
    </row>
    <row r="155" spans="1:13" x14ac:dyDescent="0.2">
      <c r="A155" s="1">
        <v>44111</v>
      </c>
      <c r="B155">
        <v>38.979999999999997</v>
      </c>
      <c r="C155">
        <v>39.580002</v>
      </c>
      <c r="D155">
        <v>38.779998999999997</v>
      </c>
      <c r="E155">
        <v>39.400002000000001</v>
      </c>
      <c r="F155">
        <v>38.804844000000003</v>
      </c>
      <c r="G155">
        <v>20593700</v>
      </c>
      <c r="I155">
        <f t="shared" si="6"/>
        <v>2.1519330327089504E-2</v>
      </c>
      <c r="J155">
        <v>0</v>
      </c>
      <c r="K155">
        <f t="shared" si="7"/>
        <v>2.1519330327089504E-2</v>
      </c>
      <c r="L155">
        <f t="shared" si="8"/>
        <v>2.1519330327089503</v>
      </c>
      <c r="M155">
        <v>1.84</v>
      </c>
    </row>
    <row r="156" spans="1:13" x14ac:dyDescent="0.2">
      <c r="A156" s="1">
        <v>44112</v>
      </c>
      <c r="B156">
        <v>39.799999</v>
      </c>
      <c r="C156">
        <v>40.18</v>
      </c>
      <c r="D156">
        <v>39.659999999999997</v>
      </c>
      <c r="E156">
        <v>39.790000999999997</v>
      </c>
      <c r="F156">
        <v>39.188949999999998</v>
      </c>
      <c r="G156">
        <v>19031300</v>
      </c>
      <c r="I156">
        <f t="shared" si="6"/>
        <v>9.8984034055128681E-3</v>
      </c>
      <c r="J156">
        <v>0</v>
      </c>
      <c r="K156">
        <f t="shared" si="7"/>
        <v>9.8984034055128681E-3</v>
      </c>
      <c r="L156">
        <f t="shared" si="8"/>
        <v>0.98984034055128678</v>
      </c>
      <c r="M156">
        <v>0.8</v>
      </c>
    </row>
    <row r="157" spans="1:13" x14ac:dyDescent="0.2">
      <c r="A157" s="1">
        <v>44113</v>
      </c>
      <c r="B157">
        <v>40.150002000000001</v>
      </c>
      <c r="C157">
        <v>40.229999999999997</v>
      </c>
      <c r="D157">
        <v>39.720001000000003</v>
      </c>
      <c r="E157">
        <v>39.849997999999999</v>
      </c>
      <c r="F157">
        <v>39.248043000000003</v>
      </c>
      <c r="G157">
        <v>16167500</v>
      </c>
      <c r="I157">
        <f t="shared" si="6"/>
        <v>1.5078995482145931E-3</v>
      </c>
      <c r="J157">
        <v>0</v>
      </c>
      <c r="K157">
        <f t="shared" si="7"/>
        <v>1.5078995482145931E-3</v>
      </c>
      <c r="L157">
        <f t="shared" si="8"/>
        <v>0.15078995482145932</v>
      </c>
      <c r="M157">
        <v>0.93</v>
      </c>
    </row>
    <row r="158" spans="1:13" x14ac:dyDescent="0.2">
      <c r="A158" s="1">
        <v>44116</v>
      </c>
      <c r="B158">
        <v>39.93</v>
      </c>
      <c r="C158">
        <v>40.529998999999997</v>
      </c>
      <c r="D158">
        <v>39.630001</v>
      </c>
      <c r="E158">
        <v>40.360000999999997</v>
      </c>
      <c r="F158">
        <v>39.750343000000001</v>
      </c>
      <c r="G158">
        <v>22757200</v>
      </c>
      <c r="I158">
        <f t="shared" si="6"/>
        <v>1.2798090340453361E-2</v>
      </c>
      <c r="J158">
        <v>0</v>
      </c>
      <c r="K158">
        <f t="shared" si="7"/>
        <v>1.2798090340453361E-2</v>
      </c>
      <c r="L158">
        <f t="shared" si="8"/>
        <v>1.2798090340453361</v>
      </c>
      <c r="M158">
        <v>1.53</v>
      </c>
    </row>
    <row r="159" spans="1:13" x14ac:dyDescent="0.2">
      <c r="A159" s="1">
        <v>44117</v>
      </c>
      <c r="B159">
        <v>40.540000999999997</v>
      </c>
      <c r="C159">
        <v>40.610000999999997</v>
      </c>
      <c r="D159">
        <v>39.709999000000003</v>
      </c>
      <c r="E159">
        <v>39.810001</v>
      </c>
      <c r="F159">
        <v>39.208649000000001</v>
      </c>
      <c r="G159">
        <v>23438300</v>
      </c>
      <c r="I159">
        <f t="shared" si="6"/>
        <v>-1.3627404422648622E-2</v>
      </c>
      <c r="J159">
        <v>0</v>
      </c>
      <c r="K159">
        <f t="shared" si="7"/>
        <v>-1.3627404422648622E-2</v>
      </c>
      <c r="L159">
        <f t="shared" si="8"/>
        <v>-1.3627404422648621</v>
      </c>
      <c r="M159">
        <v>-0.41</v>
      </c>
    </row>
    <row r="160" spans="1:13" x14ac:dyDescent="0.2">
      <c r="A160" s="1">
        <v>44118</v>
      </c>
      <c r="B160">
        <v>39.849997999999999</v>
      </c>
      <c r="C160">
        <v>40.419998</v>
      </c>
      <c r="D160">
        <v>39.759998000000003</v>
      </c>
      <c r="E160">
        <v>39.889999000000003</v>
      </c>
      <c r="F160">
        <v>39.287441000000001</v>
      </c>
      <c r="G160">
        <v>16444700</v>
      </c>
      <c r="I160">
        <f t="shared" si="6"/>
        <v>2.0095566159395077E-3</v>
      </c>
      <c r="J160">
        <v>0</v>
      </c>
      <c r="K160">
        <f t="shared" si="7"/>
        <v>2.0095566159395077E-3</v>
      </c>
      <c r="L160">
        <f t="shared" si="8"/>
        <v>0.20095566159395079</v>
      </c>
      <c r="M160">
        <v>-0.65</v>
      </c>
    </row>
    <row r="161" spans="1:13" x14ac:dyDescent="0.2">
      <c r="A161" s="1">
        <v>44119</v>
      </c>
      <c r="B161">
        <v>39.470001000000003</v>
      </c>
      <c r="C161">
        <v>40</v>
      </c>
      <c r="D161">
        <v>39.349997999999999</v>
      </c>
      <c r="E161">
        <v>39.970001000000003</v>
      </c>
      <c r="F161">
        <v>39.366230000000002</v>
      </c>
      <c r="G161">
        <v>15451400</v>
      </c>
      <c r="I161">
        <f t="shared" si="6"/>
        <v>2.0054500368196656E-3</v>
      </c>
      <c r="J161">
        <v>0</v>
      </c>
      <c r="K161">
        <f t="shared" si="7"/>
        <v>2.0054500368196656E-3</v>
      </c>
      <c r="L161">
        <f t="shared" si="8"/>
        <v>0.20054500368196657</v>
      </c>
      <c r="M161">
        <v>-0.08</v>
      </c>
    </row>
    <row r="162" spans="1:13" x14ac:dyDescent="0.2">
      <c r="A162" s="1">
        <v>44120</v>
      </c>
      <c r="B162">
        <v>39.880001</v>
      </c>
      <c r="C162">
        <v>40.299999</v>
      </c>
      <c r="D162">
        <v>39.549999</v>
      </c>
      <c r="E162">
        <v>40.159999999999997</v>
      </c>
      <c r="F162">
        <v>39.553359999999998</v>
      </c>
      <c r="G162">
        <v>21292500</v>
      </c>
      <c r="I162">
        <f t="shared" si="6"/>
        <v>4.7535666991732825E-3</v>
      </c>
      <c r="J162">
        <v>0</v>
      </c>
      <c r="K162">
        <f t="shared" si="7"/>
        <v>4.7535666991732825E-3</v>
      </c>
      <c r="L162">
        <f t="shared" si="8"/>
        <v>0.47535666991732828</v>
      </c>
      <c r="M162">
        <v>-0.06</v>
      </c>
    </row>
    <row r="163" spans="1:13" x14ac:dyDescent="0.2">
      <c r="A163" s="1">
        <v>44123</v>
      </c>
      <c r="B163">
        <v>40.150002000000001</v>
      </c>
      <c r="C163">
        <v>40.380001</v>
      </c>
      <c r="D163">
        <v>39.159999999999997</v>
      </c>
      <c r="E163">
        <v>39.299999</v>
      </c>
      <c r="F163">
        <v>38.706347999999998</v>
      </c>
      <c r="G163">
        <v>19600500</v>
      </c>
      <c r="I163">
        <f t="shared" si="6"/>
        <v>-2.1414413339347137E-2</v>
      </c>
      <c r="J163">
        <v>0</v>
      </c>
      <c r="K163">
        <f t="shared" si="7"/>
        <v>-2.1414413339347137E-2</v>
      </c>
      <c r="L163">
        <f t="shared" si="8"/>
        <v>-2.1414413339347136</v>
      </c>
      <c r="M163">
        <v>-1.53</v>
      </c>
    </row>
    <row r="164" spans="1:13" x14ac:dyDescent="0.2">
      <c r="A164" s="1">
        <v>44124</v>
      </c>
      <c r="B164">
        <v>39.439999</v>
      </c>
      <c r="C164">
        <v>39.509998000000003</v>
      </c>
      <c r="D164">
        <v>39.029998999999997</v>
      </c>
      <c r="E164">
        <v>39.200001</v>
      </c>
      <c r="F164">
        <v>38.607863999999999</v>
      </c>
      <c r="G164">
        <v>16564900</v>
      </c>
      <c r="I164">
        <f t="shared" si="6"/>
        <v>-2.5443888428843542E-3</v>
      </c>
      <c r="J164">
        <v>0</v>
      </c>
      <c r="K164">
        <f t="shared" si="7"/>
        <v>-2.5443888428843542E-3</v>
      </c>
      <c r="L164">
        <f t="shared" si="8"/>
        <v>-0.25443888428843542</v>
      </c>
      <c r="M164">
        <v>0.34</v>
      </c>
    </row>
    <row r="165" spans="1:13" x14ac:dyDescent="0.2">
      <c r="A165" s="1">
        <v>44125</v>
      </c>
      <c r="B165">
        <v>39.310001</v>
      </c>
      <c r="C165">
        <v>39.57</v>
      </c>
      <c r="D165">
        <v>38.979999999999997</v>
      </c>
      <c r="E165">
        <v>39.060001</v>
      </c>
      <c r="F165">
        <v>38.469977999999998</v>
      </c>
      <c r="G165">
        <v>17016300</v>
      </c>
      <c r="I165">
        <f t="shared" si="6"/>
        <v>-3.5714485525540013E-3</v>
      </c>
      <c r="J165">
        <v>0</v>
      </c>
      <c r="K165">
        <f t="shared" si="7"/>
        <v>-3.5714485525540013E-3</v>
      </c>
      <c r="L165">
        <f t="shared" si="8"/>
        <v>-0.35714485525540013</v>
      </c>
      <c r="M165">
        <v>-0.36</v>
      </c>
    </row>
    <row r="166" spans="1:13" x14ac:dyDescent="0.2">
      <c r="A166" s="1">
        <v>44126</v>
      </c>
      <c r="B166">
        <v>38.849997999999999</v>
      </c>
      <c r="C166">
        <v>38.959999000000003</v>
      </c>
      <c r="D166">
        <v>38.380001</v>
      </c>
      <c r="E166">
        <v>38.82</v>
      </c>
      <c r="F166">
        <v>38.233601</v>
      </c>
      <c r="G166">
        <v>20399000</v>
      </c>
      <c r="I166">
        <f t="shared" si="6"/>
        <v>-6.1444537348058119E-3</v>
      </c>
      <c r="J166">
        <v>0</v>
      </c>
      <c r="K166">
        <f t="shared" si="7"/>
        <v>-6.1444537348058119E-3</v>
      </c>
      <c r="L166">
        <f t="shared" si="8"/>
        <v>-0.61444537348058115</v>
      </c>
      <c r="M166">
        <v>0.67</v>
      </c>
    </row>
    <row r="167" spans="1:13" x14ac:dyDescent="0.2">
      <c r="A167" s="1">
        <v>44127</v>
      </c>
      <c r="B167">
        <v>38.93</v>
      </c>
      <c r="C167">
        <v>38.970001000000003</v>
      </c>
      <c r="D167">
        <v>38.650002000000001</v>
      </c>
      <c r="E167">
        <v>38.82</v>
      </c>
      <c r="F167">
        <v>38.233601</v>
      </c>
      <c r="G167">
        <v>15556100</v>
      </c>
      <c r="I167">
        <f t="shared" si="6"/>
        <v>0</v>
      </c>
      <c r="J167">
        <v>0</v>
      </c>
      <c r="K167">
        <f t="shared" si="7"/>
        <v>0</v>
      </c>
      <c r="L167">
        <f t="shared" si="8"/>
        <v>0</v>
      </c>
      <c r="M167">
        <v>0.38</v>
      </c>
    </row>
    <row r="168" spans="1:13" x14ac:dyDescent="0.2">
      <c r="A168" s="1">
        <v>44130</v>
      </c>
      <c r="B168">
        <v>38.400002000000001</v>
      </c>
      <c r="C168">
        <v>38.43</v>
      </c>
      <c r="D168">
        <v>37.150002000000001</v>
      </c>
      <c r="E168">
        <v>37.669998</v>
      </c>
      <c r="F168">
        <v>37.100971000000001</v>
      </c>
      <c r="G168">
        <v>29146500</v>
      </c>
      <c r="I168">
        <f t="shared" si="6"/>
        <v>-2.9623942562982727E-2</v>
      </c>
      <c r="J168">
        <v>0</v>
      </c>
      <c r="K168">
        <f t="shared" si="7"/>
        <v>-2.9623942562982727E-2</v>
      </c>
      <c r="L168">
        <f t="shared" si="8"/>
        <v>-2.9623942562982726</v>
      </c>
      <c r="M168">
        <v>-1.85</v>
      </c>
    </row>
    <row r="169" spans="1:13" x14ac:dyDescent="0.2">
      <c r="A169" s="1">
        <v>44131</v>
      </c>
      <c r="B169">
        <v>37.380001</v>
      </c>
      <c r="C169">
        <v>37.5</v>
      </c>
      <c r="D169">
        <v>36.590000000000003</v>
      </c>
      <c r="E169">
        <v>36.869999</v>
      </c>
      <c r="F169">
        <v>36.313057000000001</v>
      </c>
      <c r="G169">
        <v>37911500</v>
      </c>
      <c r="I169">
        <f t="shared" si="6"/>
        <v>-2.1237018297984724E-2</v>
      </c>
      <c r="J169">
        <v>0</v>
      </c>
      <c r="K169">
        <f t="shared" si="7"/>
        <v>-2.1237018297984724E-2</v>
      </c>
      <c r="L169">
        <f t="shared" si="8"/>
        <v>-2.1237018297984722</v>
      </c>
      <c r="M169">
        <v>-0.23</v>
      </c>
    </row>
    <row r="170" spans="1:13" x14ac:dyDescent="0.2">
      <c r="A170" s="1">
        <v>44132</v>
      </c>
      <c r="B170">
        <v>36.32</v>
      </c>
      <c r="C170">
        <v>36.509998000000003</v>
      </c>
      <c r="D170">
        <v>35.68</v>
      </c>
      <c r="E170">
        <v>35.709999000000003</v>
      </c>
      <c r="F170">
        <v>35.170577999999999</v>
      </c>
      <c r="G170">
        <v>34561500</v>
      </c>
      <c r="I170">
        <f t="shared" si="6"/>
        <v>-3.146193392641114E-2</v>
      </c>
      <c r="J170">
        <v>0</v>
      </c>
      <c r="K170">
        <f t="shared" si="7"/>
        <v>-3.146193392641114E-2</v>
      </c>
      <c r="L170">
        <f t="shared" si="8"/>
        <v>-3.1461933926411141</v>
      </c>
      <c r="M170">
        <v>-3.41</v>
      </c>
    </row>
    <row r="171" spans="1:13" x14ac:dyDescent="0.2">
      <c r="A171" s="1">
        <v>44133</v>
      </c>
      <c r="B171">
        <v>35.509998000000003</v>
      </c>
      <c r="C171">
        <v>36.07</v>
      </c>
      <c r="D171">
        <v>35.279998999999997</v>
      </c>
      <c r="E171">
        <v>35.689999</v>
      </c>
      <c r="F171">
        <v>35.150883</v>
      </c>
      <c r="G171">
        <v>35332000</v>
      </c>
      <c r="I171">
        <f t="shared" si="6"/>
        <v>-5.5998511028163044E-4</v>
      </c>
      <c r="J171">
        <v>0</v>
      </c>
      <c r="K171">
        <f t="shared" si="7"/>
        <v>-5.5998511028163044E-4</v>
      </c>
      <c r="L171">
        <f t="shared" si="8"/>
        <v>-5.5998511028163042E-2</v>
      </c>
      <c r="M171">
        <v>1.1299999999999999</v>
      </c>
    </row>
    <row r="172" spans="1:13" x14ac:dyDescent="0.2">
      <c r="A172" s="1">
        <v>44134</v>
      </c>
      <c r="B172">
        <v>35.599997999999999</v>
      </c>
      <c r="C172">
        <v>35.93</v>
      </c>
      <c r="D172">
        <v>35.490001999999997</v>
      </c>
      <c r="E172">
        <v>35.900002000000001</v>
      </c>
      <c r="F172">
        <v>35.357711999999999</v>
      </c>
      <c r="G172">
        <v>29151200</v>
      </c>
      <c r="I172">
        <f t="shared" si="6"/>
        <v>5.8840342645161726E-3</v>
      </c>
      <c r="J172">
        <v>0</v>
      </c>
      <c r="K172">
        <f t="shared" si="7"/>
        <v>5.8840342645161726E-3</v>
      </c>
      <c r="L172">
        <f t="shared" si="8"/>
        <v>0.58840342645161725</v>
      </c>
      <c r="M172">
        <v>-1.45</v>
      </c>
    </row>
    <row r="173" spans="1:13" x14ac:dyDescent="0.2">
      <c r="A173" s="1">
        <v>44137</v>
      </c>
      <c r="B173">
        <v>36.189999</v>
      </c>
      <c r="C173">
        <v>36.349997999999999</v>
      </c>
      <c r="D173">
        <v>35.669998</v>
      </c>
      <c r="E173">
        <v>35.900002000000001</v>
      </c>
      <c r="F173">
        <v>35.357711999999999</v>
      </c>
      <c r="G173">
        <v>23483100</v>
      </c>
      <c r="I173">
        <f t="shared" si="6"/>
        <v>0</v>
      </c>
      <c r="J173">
        <v>0</v>
      </c>
      <c r="K173">
        <f t="shared" si="7"/>
        <v>0</v>
      </c>
      <c r="L173">
        <f t="shared" si="8"/>
        <v>0</v>
      </c>
      <c r="M173">
        <v>1.17</v>
      </c>
    </row>
    <row r="174" spans="1:13" x14ac:dyDescent="0.2">
      <c r="A174" s="1">
        <v>44138</v>
      </c>
      <c r="B174">
        <v>36.360000999999997</v>
      </c>
      <c r="C174">
        <v>37.330002</v>
      </c>
      <c r="D174">
        <v>36.299999</v>
      </c>
      <c r="E174">
        <v>36.68</v>
      </c>
      <c r="F174">
        <v>36.125926999999997</v>
      </c>
      <c r="G174">
        <v>27342900</v>
      </c>
      <c r="I174">
        <f t="shared" si="6"/>
        <v>2.1726943191346711E-2</v>
      </c>
      <c r="J174">
        <v>0</v>
      </c>
      <c r="K174">
        <f t="shared" si="7"/>
        <v>2.1726943191346711E-2</v>
      </c>
      <c r="L174">
        <f t="shared" si="8"/>
        <v>2.172694319134671</v>
      </c>
      <c r="M174">
        <v>1.93</v>
      </c>
    </row>
    <row r="175" spans="1:13" x14ac:dyDescent="0.2">
      <c r="A175" s="1">
        <v>44139</v>
      </c>
      <c r="B175">
        <v>37.029998999999997</v>
      </c>
      <c r="C175">
        <v>37.299999</v>
      </c>
      <c r="D175">
        <v>36.5</v>
      </c>
      <c r="E175">
        <v>36.57</v>
      </c>
      <c r="F175">
        <v>36.017589999999998</v>
      </c>
      <c r="G175">
        <v>30121900</v>
      </c>
      <c r="I175">
        <f t="shared" si="6"/>
        <v>-2.9988711431543002E-3</v>
      </c>
      <c r="J175">
        <v>0</v>
      </c>
      <c r="K175">
        <f t="shared" si="7"/>
        <v>-2.9988711431543002E-3</v>
      </c>
      <c r="L175">
        <f t="shared" si="8"/>
        <v>-0.29988711431543003</v>
      </c>
      <c r="M175">
        <v>2.25</v>
      </c>
    </row>
    <row r="176" spans="1:13" x14ac:dyDescent="0.2">
      <c r="A176" s="1">
        <v>44140</v>
      </c>
      <c r="B176">
        <v>37.020000000000003</v>
      </c>
      <c r="C176">
        <v>37.299999</v>
      </c>
      <c r="D176">
        <v>36.909999999999997</v>
      </c>
      <c r="E176">
        <v>37.229999999999997</v>
      </c>
      <c r="F176">
        <v>36.667617999999997</v>
      </c>
      <c r="G176">
        <v>23149700</v>
      </c>
      <c r="I176">
        <f t="shared" si="6"/>
        <v>1.8047515116919231E-2</v>
      </c>
      <c r="J176">
        <v>0</v>
      </c>
      <c r="K176">
        <f t="shared" si="7"/>
        <v>1.8047515116919231E-2</v>
      </c>
      <c r="L176">
        <f t="shared" si="8"/>
        <v>1.804751511691923</v>
      </c>
      <c r="M176">
        <v>2.13</v>
      </c>
    </row>
    <row r="177" spans="1:13" x14ac:dyDescent="0.2">
      <c r="A177" s="1">
        <v>44141</v>
      </c>
      <c r="B177">
        <v>37.560001</v>
      </c>
      <c r="C177">
        <v>37.599997999999999</v>
      </c>
      <c r="D177">
        <v>37.080002</v>
      </c>
      <c r="E177">
        <v>37.529998999999997</v>
      </c>
      <c r="F177">
        <v>36.963085</v>
      </c>
      <c r="G177">
        <v>19475300</v>
      </c>
      <c r="I177">
        <f t="shared" si="6"/>
        <v>8.0579818410893827E-3</v>
      </c>
      <c r="J177">
        <v>0</v>
      </c>
      <c r="K177">
        <f t="shared" si="7"/>
        <v>8.0579818410893827E-3</v>
      </c>
      <c r="L177">
        <f t="shared" si="8"/>
        <v>0.80579818410893822</v>
      </c>
      <c r="M177">
        <v>0.01</v>
      </c>
    </row>
    <row r="178" spans="1:13" x14ac:dyDescent="0.2">
      <c r="A178" s="1">
        <v>44144</v>
      </c>
      <c r="B178">
        <v>39.919998</v>
      </c>
      <c r="C178">
        <v>40.229999999999997</v>
      </c>
      <c r="D178">
        <v>38.119999</v>
      </c>
      <c r="E178">
        <v>38.200001</v>
      </c>
      <c r="F178">
        <v>37.622967000000003</v>
      </c>
      <c r="G178">
        <v>42649500</v>
      </c>
      <c r="I178">
        <f t="shared" si="6"/>
        <v>1.7852460096336741E-2</v>
      </c>
      <c r="J178">
        <v>0</v>
      </c>
      <c r="K178">
        <f t="shared" si="7"/>
        <v>1.7852460096336741E-2</v>
      </c>
      <c r="L178">
        <f t="shared" si="8"/>
        <v>1.7852460096336742</v>
      </c>
      <c r="M178">
        <v>0.82</v>
      </c>
    </row>
    <row r="179" spans="1:13" x14ac:dyDescent="0.2">
      <c r="A179" s="1">
        <v>44145</v>
      </c>
      <c r="B179">
        <v>38.209999000000003</v>
      </c>
      <c r="C179">
        <v>39.029998999999997</v>
      </c>
      <c r="D179">
        <v>38.169998</v>
      </c>
      <c r="E179">
        <v>38.720001000000003</v>
      </c>
      <c r="F179">
        <v>38.135117000000001</v>
      </c>
      <c r="G179">
        <v>31514500</v>
      </c>
      <c r="I179">
        <f t="shared" si="6"/>
        <v>1.3612695670705563E-2</v>
      </c>
      <c r="J179">
        <v>0</v>
      </c>
      <c r="K179">
        <f t="shared" si="7"/>
        <v>1.3612695670705563E-2</v>
      </c>
      <c r="L179">
        <f t="shared" si="8"/>
        <v>1.3612695670705564</v>
      </c>
      <c r="M179">
        <v>-0.17</v>
      </c>
    </row>
    <row r="180" spans="1:13" x14ac:dyDescent="0.2">
      <c r="A180" s="1">
        <v>44146</v>
      </c>
      <c r="B180">
        <v>39.009998000000003</v>
      </c>
      <c r="C180">
        <v>39.450001</v>
      </c>
      <c r="D180">
        <v>38.439999</v>
      </c>
      <c r="E180">
        <v>39.330002</v>
      </c>
      <c r="F180">
        <v>38.735897000000001</v>
      </c>
      <c r="G180">
        <v>27332800</v>
      </c>
      <c r="I180">
        <f t="shared" si="6"/>
        <v>1.5753983395409545E-2</v>
      </c>
      <c r="J180">
        <v>0</v>
      </c>
      <c r="K180">
        <f t="shared" si="7"/>
        <v>1.5753983395409545E-2</v>
      </c>
      <c r="L180">
        <f t="shared" si="8"/>
        <v>1.5753983395409545</v>
      </c>
      <c r="M180">
        <v>0.88</v>
      </c>
    </row>
    <row r="181" spans="1:13" x14ac:dyDescent="0.2">
      <c r="A181" s="1">
        <v>44147</v>
      </c>
      <c r="B181">
        <v>38.979999999999997</v>
      </c>
      <c r="C181">
        <v>39.389999000000003</v>
      </c>
      <c r="D181">
        <v>38.400002000000001</v>
      </c>
      <c r="E181">
        <v>38.669998</v>
      </c>
      <c r="F181">
        <v>38.085864999999998</v>
      </c>
      <c r="G181">
        <v>29368300</v>
      </c>
      <c r="I181">
        <f t="shared" si="6"/>
        <v>-1.6781126818878184E-2</v>
      </c>
      <c r="J181">
        <v>0</v>
      </c>
      <c r="K181">
        <f t="shared" si="7"/>
        <v>-1.6781126818878184E-2</v>
      </c>
      <c r="L181">
        <f t="shared" si="8"/>
        <v>-1.6781126818878185</v>
      </c>
      <c r="M181">
        <v>-0.94</v>
      </c>
    </row>
    <row r="182" spans="1:13" x14ac:dyDescent="0.2">
      <c r="A182" s="1">
        <v>44148</v>
      </c>
      <c r="B182">
        <v>41.200001</v>
      </c>
      <c r="C182">
        <v>41.52</v>
      </c>
      <c r="D182">
        <v>40.560001</v>
      </c>
      <c r="E182">
        <v>41.400002000000001</v>
      </c>
      <c r="F182">
        <v>40.774631999999997</v>
      </c>
      <c r="G182">
        <v>49106400</v>
      </c>
      <c r="I182">
        <f t="shared" si="6"/>
        <v>7.0597503824581603E-2</v>
      </c>
      <c r="J182">
        <v>0</v>
      </c>
      <c r="K182">
        <f t="shared" si="7"/>
        <v>7.0597503824581603E-2</v>
      </c>
      <c r="L182">
        <f t="shared" si="8"/>
        <v>7.0597503824581604</v>
      </c>
      <c r="M182">
        <v>1.31</v>
      </c>
    </row>
    <row r="183" spans="1:13" x14ac:dyDescent="0.2">
      <c r="A183" s="1">
        <v>44151</v>
      </c>
      <c r="B183">
        <v>41.740001999999997</v>
      </c>
      <c r="C183">
        <v>42.59</v>
      </c>
      <c r="D183">
        <v>41.349997999999999</v>
      </c>
      <c r="E183">
        <v>42.540000999999997</v>
      </c>
      <c r="F183">
        <v>41.897410999999998</v>
      </c>
      <c r="G183">
        <v>34572600</v>
      </c>
      <c r="I183">
        <f t="shared" si="6"/>
        <v>2.7536214183367772E-2</v>
      </c>
      <c r="J183">
        <v>0</v>
      </c>
      <c r="K183">
        <f t="shared" si="7"/>
        <v>2.7536214183367772E-2</v>
      </c>
      <c r="L183">
        <f t="shared" si="8"/>
        <v>2.7536214183367771</v>
      </c>
      <c r="M183">
        <v>1.22</v>
      </c>
    </row>
    <row r="184" spans="1:13" x14ac:dyDescent="0.2">
      <c r="A184" s="1">
        <v>44152</v>
      </c>
      <c r="B184">
        <v>41.919998</v>
      </c>
      <c r="C184">
        <v>42.349997999999999</v>
      </c>
      <c r="D184">
        <v>41.619999</v>
      </c>
      <c r="E184">
        <v>41.880001</v>
      </c>
      <c r="F184">
        <v>41.247379000000002</v>
      </c>
      <c r="G184">
        <v>23140900</v>
      </c>
      <c r="I184">
        <f t="shared" si="6"/>
        <v>-1.5514848876938863E-2</v>
      </c>
      <c r="J184">
        <v>0</v>
      </c>
      <c r="K184">
        <f t="shared" si="7"/>
        <v>-1.5514848876938863E-2</v>
      </c>
      <c r="L184">
        <f t="shared" si="8"/>
        <v>-1.5514848876938863</v>
      </c>
      <c r="M184">
        <v>-0.19</v>
      </c>
    </row>
    <row r="185" spans="1:13" x14ac:dyDescent="0.2">
      <c r="A185" s="1">
        <v>44153</v>
      </c>
      <c r="B185">
        <v>41.900002000000001</v>
      </c>
      <c r="C185">
        <v>42.240001999999997</v>
      </c>
      <c r="D185">
        <v>41.259998000000003</v>
      </c>
      <c r="E185">
        <v>41.32</v>
      </c>
      <c r="F185">
        <v>40.695838999999999</v>
      </c>
      <c r="G185">
        <v>21327700</v>
      </c>
      <c r="I185">
        <f t="shared" si="6"/>
        <v>-1.3371516284707514E-2</v>
      </c>
      <c r="J185">
        <v>0</v>
      </c>
      <c r="K185">
        <f t="shared" si="7"/>
        <v>-1.3371516284707514E-2</v>
      </c>
      <c r="L185">
        <f t="shared" si="8"/>
        <v>-1.3371516284707514</v>
      </c>
      <c r="M185">
        <v>-0.93</v>
      </c>
    </row>
    <row r="186" spans="1:13" x14ac:dyDescent="0.2">
      <c r="A186" s="1">
        <v>44154</v>
      </c>
      <c r="B186">
        <v>41</v>
      </c>
      <c r="C186">
        <v>41.369999</v>
      </c>
      <c r="D186">
        <v>40.770000000000003</v>
      </c>
      <c r="E186">
        <v>41.169998</v>
      </c>
      <c r="F186">
        <v>40.548102999999998</v>
      </c>
      <c r="G186">
        <v>22177700</v>
      </c>
      <c r="I186">
        <f t="shared" si="6"/>
        <v>-3.6302482914777078E-3</v>
      </c>
      <c r="J186">
        <v>0</v>
      </c>
      <c r="K186">
        <f t="shared" si="7"/>
        <v>-3.6302482914777078E-3</v>
      </c>
      <c r="L186">
        <f t="shared" si="8"/>
        <v>-0.36302482914777079</v>
      </c>
      <c r="M186">
        <v>0.59</v>
      </c>
    </row>
    <row r="187" spans="1:13" x14ac:dyDescent="0.2">
      <c r="A187" s="1">
        <v>44155</v>
      </c>
      <c r="B187">
        <v>41.049999</v>
      </c>
      <c r="C187">
        <v>41.389999000000003</v>
      </c>
      <c r="D187">
        <v>40.919998</v>
      </c>
      <c r="E187">
        <v>40.970001000000003</v>
      </c>
      <c r="F187">
        <v>40.351123999999999</v>
      </c>
      <c r="G187">
        <v>19776300</v>
      </c>
      <c r="I187">
        <f t="shared" si="6"/>
        <v>-4.8579091357245224E-3</v>
      </c>
      <c r="J187">
        <v>0</v>
      </c>
      <c r="K187">
        <f t="shared" si="7"/>
        <v>-4.8579091357245224E-3</v>
      </c>
      <c r="L187">
        <f t="shared" si="8"/>
        <v>-0.48579091357245224</v>
      </c>
      <c r="M187">
        <v>-0.51</v>
      </c>
    </row>
    <row r="188" spans="1:13" x14ac:dyDescent="0.2">
      <c r="A188" s="1">
        <v>44158</v>
      </c>
      <c r="B188">
        <v>41.029998999999997</v>
      </c>
      <c r="C188">
        <v>41.799999</v>
      </c>
      <c r="D188">
        <v>41.02</v>
      </c>
      <c r="E188">
        <v>41.639999000000003</v>
      </c>
      <c r="F188">
        <v>41.011004999999997</v>
      </c>
      <c r="G188">
        <v>19651400</v>
      </c>
      <c r="I188">
        <f t="shared" si="6"/>
        <v>1.6353472582325057E-2</v>
      </c>
      <c r="J188">
        <v>0</v>
      </c>
      <c r="K188">
        <f t="shared" si="7"/>
        <v>1.6353472582325057E-2</v>
      </c>
      <c r="L188">
        <f t="shared" si="8"/>
        <v>1.6353472582325057</v>
      </c>
      <c r="M188">
        <v>0.83</v>
      </c>
    </row>
    <row r="189" spans="1:13" x14ac:dyDescent="0.2">
      <c r="A189" s="1">
        <v>44159</v>
      </c>
      <c r="B189">
        <v>42.139999000000003</v>
      </c>
      <c r="C189">
        <v>42.709999000000003</v>
      </c>
      <c r="D189">
        <v>41.900002000000001</v>
      </c>
      <c r="E189">
        <v>42.610000999999997</v>
      </c>
      <c r="F189">
        <v>41.966351000000003</v>
      </c>
      <c r="G189">
        <v>22849700</v>
      </c>
      <c r="I189">
        <f t="shared" si="6"/>
        <v>2.3294869267407758E-2</v>
      </c>
      <c r="J189">
        <v>0</v>
      </c>
      <c r="K189">
        <f t="shared" si="7"/>
        <v>2.3294869267407758E-2</v>
      </c>
      <c r="L189">
        <f t="shared" si="8"/>
        <v>2.3294869267407758</v>
      </c>
      <c r="M189">
        <v>1.56</v>
      </c>
    </row>
    <row r="190" spans="1:13" x14ac:dyDescent="0.2">
      <c r="A190" s="1">
        <v>44160</v>
      </c>
      <c r="B190">
        <v>42.779998999999997</v>
      </c>
      <c r="C190">
        <v>42.799999</v>
      </c>
      <c r="D190">
        <v>42.209999000000003</v>
      </c>
      <c r="E190">
        <v>42.5</v>
      </c>
      <c r="F190">
        <v>41.858013</v>
      </c>
      <c r="G190">
        <v>22617700</v>
      </c>
      <c r="I190">
        <f t="shared" si="6"/>
        <v>-2.5815444378283776E-3</v>
      </c>
      <c r="J190">
        <v>0</v>
      </c>
      <c r="K190">
        <f t="shared" si="7"/>
        <v>-2.5815444378283776E-3</v>
      </c>
      <c r="L190">
        <f t="shared" si="8"/>
        <v>-0.25815444378283775</v>
      </c>
      <c r="M190">
        <v>0.03</v>
      </c>
    </row>
    <row r="191" spans="1:13" x14ac:dyDescent="0.2">
      <c r="A191" s="1">
        <v>44162</v>
      </c>
      <c r="B191">
        <v>42.860000999999997</v>
      </c>
      <c r="C191">
        <v>42.98</v>
      </c>
      <c r="D191">
        <v>42.639999000000003</v>
      </c>
      <c r="E191">
        <v>42.700001</v>
      </c>
      <c r="F191">
        <v>42.054993000000003</v>
      </c>
      <c r="G191">
        <v>10769500</v>
      </c>
      <c r="I191">
        <f t="shared" si="6"/>
        <v>4.7059089976393166E-3</v>
      </c>
      <c r="J191">
        <v>0</v>
      </c>
      <c r="K191">
        <f t="shared" si="7"/>
        <v>4.7059089976393166E-3</v>
      </c>
      <c r="L191">
        <f t="shared" si="8"/>
        <v>0.47059089976393165</v>
      </c>
      <c r="M191">
        <v>0.43</v>
      </c>
    </row>
    <row r="192" spans="1:13" x14ac:dyDescent="0.2">
      <c r="A192" s="1">
        <v>44165</v>
      </c>
      <c r="B192">
        <v>42.439999</v>
      </c>
      <c r="C192">
        <v>43.049999</v>
      </c>
      <c r="D192">
        <v>42.41</v>
      </c>
      <c r="E192">
        <v>43.02</v>
      </c>
      <c r="F192">
        <v>42.370159000000001</v>
      </c>
      <c r="G192">
        <v>34741600</v>
      </c>
      <c r="I192">
        <f t="shared" si="6"/>
        <v>7.4941398753769336E-3</v>
      </c>
      <c r="J192">
        <v>0</v>
      </c>
      <c r="K192">
        <f t="shared" si="7"/>
        <v>7.4941398753769336E-3</v>
      </c>
      <c r="L192">
        <f t="shared" si="8"/>
        <v>0.74941398753769339</v>
      </c>
      <c r="M192">
        <v>-0.53</v>
      </c>
    </row>
    <row r="193" spans="1:13" x14ac:dyDescent="0.2">
      <c r="A193" s="1">
        <v>44166</v>
      </c>
      <c r="B193">
        <v>43.009998000000003</v>
      </c>
      <c r="C193">
        <v>44.07</v>
      </c>
      <c r="D193">
        <v>43.009998000000003</v>
      </c>
      <c r="E193">
        <v>43.540000999999997</v>
      </c>
      <c r="F193">
        <v>42.882305000000002</v>
      </c>
      <c r="G193">
        <v>23948800</v>
      </c>
      <c r="I193">
        <f t="shared" si="6"/>
        <v>1.2087422187865788E-2</v>
      </c>
      <c r="J193">
        <v>0</v>
      </c>
      <c r="K193">
        <f t="shared" si="7"/>
        <v>1.2087422187865788E-2</v>
      </c>
      <c r="L193">
        <f t="shared" si="8"/>
        <v>1.2087422187865788</v>
      </c>
      <c r="M193">
        <v>0.98</v>
      </c>
    </row>
    <row r="194" spans="1:13" x14ac:dyDescent="0.2">
      <c r="A194" s="1">
        <v>44167</v>
      </c>
      <c r="B194">
        <v>43.389999000000003</v>
      </c>
      <c r="C194">
        <v>43.959999000000003</v>
      </c>
      <c r="D194">
        <v>43.349997999999999</v>
      </c>
      <c r="E194">
        <v>43.889999000000003</v>
      </c>
      <c r="F194">
        <v>43.227015999999999</v>
      </c>
      <c r="G194">
        <v>17422200</v>
      </c>
      <c r="I194">
        <f t="shared" si="6"/>
        <v>8.0385371075551246E-3</v>
      </c>
      <c r="J194">
        <v>0</v>
      </c>
      <c r="K194">
        <f t="shared" si="7"/>
        <v>8.0385371075551246E-3</v>
      </c>
      <c r="L194">
        <f t="shared" si="8"/>
        <v>0.80385371075551248</v>
      </c>
      <c r="M194">
        <v>0.11</v>
      </c>
    </row>
    <row r="195" spans="1:13" x14ac:dyDescent="0.2">
      <c r="A195" s="1">
        <v>44168</v>
      </c>
      <c r="B195">
        <v>43.779998999999997</v>
      </c>
      <c r="C195">
        <v>44.139999000000003</v>
      </c>
      <c r="D195">
        <v>43.599997999999999</v>
      </c>
      <c r="E195">
        <v>44.110000999999997</v>
      </c>
      <c r="F195">
        <v>43.443694999999998</v>
      </c>
      <c r="G195">
        <v>27710700</v>
      </c>
      <c r="I195">
        <f t="shared" si="6"/>
        <v>5.0125828717855333E-3</v>
      </c>
      <c r="J195">
        <v>0</v>
      </c>
      <c r="K195">
        <f t="shared" si="7"/>
        <v>5.0125828717855333E-3</v>
      </c>
      <c r="L195">
        <f t="shared" si="8"/>
        <v>0.50125828717855336</v>
      </c>
      <c r="M195">
        <v>0.18</v>
      </c>
    </row>
    <row r="196" spans="1:13" x14ac:dyDescent="0.2">
      <c r="A196" s="1">
        <v>44169</v>
      </c>
      <c r="B196">
        <v>43.889999000000003</v>
      </c>
      <c r="C196">
        <v>44.509998000000003</v>
      </c>
      <c r="D196">
        <v>43.889999000000003</v>
      </c>
      <c r="E196">
        <v>44.380001</v>
      </c>
      <c r="F196">
        <v>43.709614000000002</v>
      </c>
      <c r="G196">
        <v>17319800</v>
      </c>
      <c r="I196">
        <f t="shared" ref="I196:I252" si="9">(F196-F195)/F195</f>
        <v>6.121003289430234E-3</v>
      </c>
      <c r="J196">
        <v>0</v>
      </c>
      <c r="K196">
        <f t="shared" ref="K196:K252" si="10">I196-J196</f>
        <v>6.121003289430234E-3</v>
      </c>
      <c r="L196">
        <f t="shared" ref="L196:L252" si="11">100*K196</f>
        <v>0.61210032894302335</v>
      </c>
      <c r="M196">
        <v>1.02</v>
      </c>
    </row>
    <row r="197" spans="1:13" x14ac:dyDescent="0.2">
      <c r="A197" s="1">
        <v>44172</v>
      </c>
      <c r="B197">
        <v>44.290000999999997</v>
      </c>
      <c r="C197">
        <v>44.490001999999997</v>
      </c>
      <c r="D197">
        <v>43.91</v>
      </c>
      <c r="E197">
        <v>44.349997999999999</v>
      </c>
      <c r="F197">
        <v>43.680064999999999</v>
      </c>
      <c r="G197">
        <v>14086800</v>
      </c>
      <c r="I197">
        <f t="shared" si="9"/>
        <v>-6.7602976315469024E-4</v>
      </c>
      <c r="J197">
        <v>0</v>
      </c>
      <c r="K197">
        <f t="shared" si="10"/>
        <v>-6.7602976315469024E-4</v>
      </c>
      <c r="L197">
        <f t="shared" si="11"/>
        <v>-6.7602976315469021E-2</v>
      </c>
      <c r="M197">
        <v>0.03</v>
      </c>
    </row>
    <row r="198" spans="1:13" x14ac:dyDescent="0.2">
      <c r="A198" s="1">
        <v>44173</v>
      </c>
      <c r="B198">
        <v>44.209999000000003</v>
      </c>
      <c r="C198">
        <v>44.529998999999997</v>
      </c>
      <c r="D198">
        <v>43.93</v>
      </c>
      <c r="E198">
        <v>44.369999</v>
      </c>
      <c r="F198">
        <v>43.699764000000002</v>
      </c>
      <c r="G198">
        <v>13348500</v>
      </c>
      <c r="I198">
        <f t="shared" si="9"/>
        <v>4.5098376112770889E-4</v>
      </c>
      <c r="J198">
        <v>0</v>
      </c>
      <c r="K198">
        <f t="shared" si="10"/>
        <v>4.5098376112770889E-4</v>
      </c>
      <c r="L198">
        <f t="shared" si="11"/>
        <v>4.5098376112770885E-2</v>
      </c>
      <c r="M198">
        <v>0.47</v>
      </c>
    </row>
    <row r="199" spans="1:13" x14ac:dyDescent="0.2">
      <c r="A199" s="1">
        <v>44174</v>
      </c>
      <c r="B199">
        <v>44.470001000000003</v>
      </c>
      <c r="C199">
        <v>44.830002</v>
      </c>
      <c r="D199">
        <v>44.360000999999997</v>
      </c>
      <c r="E199">
        <v>44.689999</v>
      </c>
      <c r="F199">
        <v>44.014930999999997</v>
      </c>
      <c r="G199">
        <v>22679800</v>
      </c>
      <c r="I199">
        <f t="shared" si="9"/>
        <v>7.212098445199734E-3</v>
      </c>
      <c r="J199">
        <v>0</v>
      </c>
      <c r="K199">
        <f t="shared" si="10"/>
        <v>7.212098445199734E-3</v>
      </c>
      <c r="L199">
        <f t="shared" si="11"/>
        <v>0.72120984451997339</v>
      </c>
      <c r="M199">
        <v>-1.03</v>
      </c>
    </row>
    <row r="200" spans="1:13" x14ac:dyDescent="0.2">
      <c r="A200" s="1">
        <v>44175</v>
      </c>
      <c r="B200">
        <v>44.540000999999997</v>
      </c>
      <c r="C200">
        <v>44.610000999999997</v>
      </c>
      <c r="D200">
        <v>44.110000999999997</v>
      </c>
      <c r="E200">
        <v>44.32</v>
      </c>
      <c r="F200">
        <v>43.65052</v>
      </c>
      <c r="G200">
        <v>17741500</v>
      </c>
      <c r="I200">
        <f t="shared" si="9"/>
        <v>-8.2792586906474293E-3</v>
      </c>
      <c r="J200">
        <v>0</v>
      </c>
      <c r="K200">
        <f t="shared" si="10"/>
        <v>-8.2792586906474293E-3</v>
      </c>
      <c r="L200">
        <f t="shared" si="11"/>
        <v>-0.82792586906474297</v>
      </c>
      <c r="M200">
        <v>0.24</v>
      </c>
    </row>
    <row r="201" spans="1:13" x14ac:dyDescent="0.2">
      <c r="A201" s="1">
        <v>44176</v>
      </c>
      <c r="B201">
        <v>43.939999</v>
      </c>
      <c r="C201">
        <v>44.330002</v>
      </c>
      <c r="D201">
        <v>43.720001000000003</v>
      </c>
      <c r="E201">
        <v>44.32</v>
      </c>
      <c r="F201">
        <v>43.65052</v>
      </c>
      <c r="G201">
        <v>14577700</v>
      </c>
      <c r="I201">
        <f t="shared" si="9"/>
        <v>0</v>
      </c>
      <c r="J201">
        <v>0</v>
      </c>
      <c r="K201">
        <f t="shared" si="10"/>
        <v>0</v>
      </c>
      <c r="L201">
        <f t="shared" si="11"/>
        <v>0</v>
      </c>
      <c r="M201">
        <v>-0.2</v>
      </c>
    </row>
    <row r="202" spans="1:13" x14ac:dyDescent="0.2">
      <c r="A202" s="1">
        <v>44179</v>
      </c>
      <c r="B202">
        <v>44.27</v>
      </c>
      <c r="C202">
        <v>44.91</v>
      </c>
      <c r="D202">
        <v>44.150002000000001</v>
      </c>
      <c r="E202">
        <v>44.240001999999997</v>
      </c>
      <c r="F202">
        <v>43.571731999999997</v>
      </c>
      <c r="G202">
        <v>16112300</v>
      </c>
      <c r="I202">
        <f t="shared" si="9"/>
        <v>-1.8049727700839065E-3</v>
      </c>
      <c r="J202">
        <v>0</v>
      </c>
      <c r="K202">
        <f t="shared" si="10"/>
        <v>-1.8049727700839065E-3</v>
      </c>
      <c r="L202">
        <f t="shared" si="11"/>
        <v>-0.18049727700839066</v>
      </c>
      <c r="M202">
        <v>-0.28000000000000003</v>
      </c>
    </row>
    <row r="203" spans="1:13" x14ac:dyDescent="0.2">
      <c r="A203" s="1">
        <v>44180</v>
      </c>
      <c r="B203">
        <v>44.389999000000003</v>
      </c>
      <c r="C203">
        <v>44.799999</v>
      </c>
      <c r="D203">
        <v>44.139999000000003</v>
      </c>
      <c r="E203">
        <v>44.720001000000003</v>
      </c>
      <c r="F203">
        <v>44.044479000000003</v>
      </c>
      <c r="G203">
        <v>18165300</v>
      </c>
      <c r="I203">
        <f t="shared" si="9"/>
        <v>1.0849855589858246E-2</v>
      </c>
      <c r="J203">
        <v>0</v>
      </c>
      <c r="K203">
        <f t="shared" si="10"/>
        <v>1.0849855589858246E-2</v>
      </c>
      <c r="L203">
        <f t="shared" si="11"/>
        <v>1.0849855589858246</v>
      </c>
      <c r="M203">
        <v>1.28</v>
      </c>
    </row>
    <row r="204" spans="1:13" x14ac:dyDescent="0.2">
      <c r="A204" s="1">
        <v>44181</v>
      </c>
      <c r="B204">
        <v>44.700001</v>
      </c>
      <c r="C204">
        <v>45.139999000000003</v>
      </c>
      <c r="D204">
        <v>44.529998999999997</v>
      </c>
      <c r="E204">
        <v>44.720001000000003</v>
      </c>
      <c r="F204">
        <v>44.044479000000003</v>
      </c>
      <c r="G204">
        <v>16192000</v>
      </c>
      <c r="I204">
        <f t="shared" si="9"/>
        <v>0</v>
      </c>
      <c r="J204">
        <v>0</v>
      </c>
      <c r="K204">
        <f t="shared" si="10"/>
        <v>0</v>
      </c>
      <c r="L204">
        <f t="shared" si="11"/>
        <v>0</v>
      </c>
      <c r="M204">
        <v>0.17</v>
      </c>
    </row>
    <row r="205" spans="1:13" x14ac:dyDescent="0.2">
      <c r="A205" s="1">
        <v>44182</v>
      </c>
      <c r="B205">
        <v>44.91</v>
      </c>
      <c r="C205">
        <v>44.93</v>
      </c>
      <c r="D205">
        <v>44.599997999999999</v>
      </c>
      <c r="E205">
        <v>44.82</v>
      </c>
      <c r="F205">
        <v>44.142966999999999</v>
      </c>
      <c r="G205">
        <v>16141600</v>
      </c>
      <c r="I205">
        <f t="shared" si="9"/>
        <v>2.2361031901409513E-3</v>
      </c>
      <c r="J205">
        <v>0</v>
      </c>
      <c r="K205">
        <f t="shared" si="10"/>
        <v>2.2361031901409513E-3</v>
      </c>
      <c r="L205">
        <f t="shared" si="11"/>
        <v>0.22361031901409512</v>
      </c>
      <c r="M205">
        <v>0.79</v>
      </c>
    </row>
    <row r="206" spans="1:13" x14ac:dyDescent="0.2">
      <c r="A206" s="1">
        <v>44183</v>
      </c>
      <c r="B206">
        <v>44.900002000000001</v>
      </c>
      <c r="C206">
        <v>45.57</v>
      </c>
      <c r="D206">
        <v>44.77</v>
      </c>
      <c r="E206">
        <v>45.439999</v>
      </c>
      <c r="F206">
        <v>44.753601000000003</v>
      </c>
      <c r="G206">
        <v>41027000</v>
      </c>
      <c r="I206">
        <f t="shared" si="9"/>
        <v>1.3833098260024174E-2</v>
      </c>
      <c r="J206">
        <v>0</v>
      </c>
      <c r="K206">
        <f t="shared" si="10"/>
        <v>1.3833098260024174E-2</v>
      </c>
      <c r="L206">
        <f t="shared" si="11"/>
        <v>1.3833098260024175</v>
      </c>
      <c r="M206">
        <v>-0.12</v>
      </c>
    </row>
    <row r="207" spans="1:13" x14ac:dyDescent="0.2">
      <c r="A207" s="1">
        <v>44186</v>
      </c>
      <c r="B207">
        <v>44.470001000000003</v>
      </c>
      <c r="C207">
        <v>44.959999000000003</v>
      </c>
      <c r="D207">
        <v>44.07</v>
      </c>
      <c r="E207">
        <v>44.880001</v>
      </c>
      <c r="F207">
        <v>44.202061</v>
      </c>
      <c r="G207">
        <v>19865300</v>
      </c>
      <c r="I207">
        <f t="shared" si="9"/>
        <v>-1.2323924503862891E-2</v>
      </c>
      <c r="J207">
        <v>0</v>
      </c>
      <c r="K207">
        <f t="shared" si="10"/>
        <v>-1.2323924503862891E-2</v>
      </c>
      <c r="L207">
        <f t="shared" si="11"/>
        <v>-1.2323924503862891</v>
      </c>
      <c r="M207">
        <v>-0.23</v>
      </c>
    </row>
    <row r="208" spans="1:13" x14ac:dyDescent="0.2">
      <c r="A208" s="1">
        <v>44187</v>
      </c>
      <c r="B208">
        <v>44.439999</v>
      </c>
      <c r="C208">
        <v>45.07</v>
      </c>
      <c r="D208">
        <v>44.439999</v>
      </c>
      <c r="E208">
        <v>44.689999</v>
      </c>
      <c r="F208">
        <v>44.014930999999997</v>
      </c>
      <c r="G208">
        <v>16024000</v>
      </c>
      <c r="I208">
        <f t="shared" si="9"/>
        <v>-4.2335130029344864E-3</v>
      </c>
      <c r="J208">
        <v>0</v>
      </c>
      <c r="K208">
        <f t="shared" si="10"/>
        <v>-4.2335130029344864E-3</v>
      </c>
      <c r="L208">
        <f t="shared" si="11"/>
        <v>-0.42335130029344864</v>
      </c>
      <c r="M208">
        <v>0.06</v>
      </c>
    </row>
    <row r="209" spans="1:13" x14ac:dyDescent="0.2">
      <c r="A209" s="1">
        <v>44188</v>
      </c>
      <c r="B209">
        <v>44.650002000000001</v>
      </c>
      <c r="C209">
        <v>44.799999</v>
      </c>
      <c r="D209">
        <v>44.349997999999999</v>
      </c>
      <c r="E209">
        <v>44.380001</v>
      </c>
      <c r="F209">
        <v>43.709614000000002</v>
      </c>
      <c r="G209">
        <v>12032600</v>
      </c>
      <c r="I209">
        <f t="shared" si="9"/>
        <v>-6.9366688317651845E-3</v>
      </c>
      <c r="J209">
        <v>0</v>
      </c>
      <c r="K209">
        <f t="shared" si="10"/>
        <v>-6.9366688317651845E-3</v>
      </c>
      <c r="L209">
        <f t="shared" si="11"/>
        <v>-0.69366688317651848</v>
      </c>
      <c r="M209">
        <v>0.1</v>
      </c>
    </row>
    <row r="210" spans="1:13" x14ac:dyDescent="0.2">
      <c r="A210" s="1">
        <v>44189</v>
      </c>
      <c r="B210">
        <v>44.450001</v>
      </c>
      <c r="C210">
        <v>44.59</v>
      </c>
      <c r="D210">
        <v>44.23</v>
      </c>
      <c r="E210">
        <v>44.540000999999997</v>
      </c>
      <c r="F210">
        <v>43.867198999999999</v>
      </c>
      <c r="G210">
        <v>5720500</v>
      </c>
      <c r="I210">
        <f t="shared" si="9"/>
        <v>3.605270913625488E-3</v>
      </c>
      <c r="J210">
        <v>0</v>
      </c>
      <c r="K210">
        <f t="shared" si="10"/>
        <v>3.605270913625488E-3</v>
      </c>
      <c r="L210">
        <f t="shared" si="11"/>
        <v>0.36052709136254879</v>
      </c>
      <c r="M210">
        <v>0.21</v>
      </c>
    </row>
    <row r="211" spans="1:13" x14ac:dyDescent="0.2">
      <c r="A211" s="1">
        <v>44193</v>
      </c>
      <c r="B211">
        <v>44.93</v>
      </c>
      <c r="C211">
        <v>45.34</v>
      </c>
      <c r="D211">
        <v>44.720001000000003</v>
      </c>
      <c r="E211">
        <v>44.919998</v>
      </c>
      <c r="F211">
        <v>44.241458999999999</v>
      </c>
      <c r="G211">
        <v>13458400</v>
      </c>
      <c r="I211">
        <f t="shared" si="9"/>
        <v>8.5316593840422689E-3</v>
      </c>
      <c r="J211">
        <v>0</v>
      </c>
      <c r="K211">
        <f t="shared" si="10"/>
        <v>8.5316593840422689E-3</v>
      </c>
      <c r="L211">
        <f t="shared" si="11"/>
        <v>0.85316593840422694</v>
      </c>
      <c r="M211">
        <v>0.46</v>
      </c>
    </row>
    <row r="212" spans="1:13" x14ac:dyDescent="0.2">
      <c r="A212" s="1">
        <v>44194</v>
      </c>
      <c r="B212">
        <v>44.970001000000003</v>
      </c>
      <c r="C212">
        <v>45.25</v>
      </c>
      <c r="D212">
        <v>44.529998999999997</v>
      </c>
      <c r="E212">
        <v>44.639999000000003</v>
      </c>
      <c r="F212">
        <v>43.965687000000003</v>
      </c>
      <c r="G212">
        <v>11829000</v>
      </c>
      <c r="I212">
        <f t="shared" si="9"/>
        <v>-6.233338733245582E-3</v>
      </c>
      <c r="J212">
        <v>0</v>
      </c>
      <c r="K212">
        <f t="shared" si="10"/>
        <v>-6.233338733245582E-3</v>
      </c>
      <c r="L212">
        <f t="shared" si="11"/>
        <v>-0.62333387332455825</v>
      </c>
      <c r="M212">
        <v>-0.4</v>
      </c>
    </row>
    <row r="213" spans="1:13" x14ac:dyDescent="0.2">
      <c r="A213" s="1">
        <v>44195</v>
      </c>
      <c r="B213">
        <v>44.740001999999997</v>
      </c>
      <c r="C213">
        <v>45.060001</v>
      </c>
      <c r="D213">
        <v>44.439999</v>
      </c>
      <c r="E213">
        <v>44.48</v>
      </c>
      <c r="F213">
        <v>43.808104999999998</v>
      </c>
      <c r="G213">
        <v>11043100</v>
      </c>
      <c r="I213">
        <f t="shared" si="9"/>
        <v>-3.5842041999708768E-3</v>
      </c>
      <c r="J213">
        <v>0</v>
      </c>
      <c r="K213">
        <f t="shared" si="10"/>
        <v>-3.5842041999708768E-3</v>
      </c>
      <c r="L213">
        <f t="shared" si="11"/>
        <v>-0.35842041999708768</v>
      </c>
      <c r="M213">
        <v>0.27</v>
      </c>
    </row>
    <row r="214" spans="1:13" x14ac:dyDescent="0.2">
      <c r="A214" s="1">
        <v>44196</v>
      </c>
      <c r="B214">
        <v>44.380001</v>
      </c>
      <c r="C214">
        <v>44.84</v>
      </c>
      <c r="D214">
        <v>44.16</v>
      </c>
      <c r="E214">
        <v>44.75</v>
      </c>
      <c r="F214">
        <v>44.074027999999998</v>
      </c>
      <c r="G214">
        <v>15105500</v>
      </c>
      <c r="I214">
        <f t="shared" si="9"/>
        <v>6.0701781097356484E-3</v>
      </c>
      <c r="J214">
        <v>0</v>
      </c>
      <c r="K214">
        <f t="shared" si="10"/>
        <v>6.0701781097356484E-3</v>
      </c>
      <c r="L214">
        <f t="shared" si="11"/>
        <v>0.60701781097356489</v>
      </c>
      <c r="M214">
        <v>0.39</v>
      </c>
    </row>
    <row r="215" spans="1:13" x14ac:dyDescent="0.2">
      <c r="A215" s="1">
        <v>44200</v>
      </c>
      <c r="B215">
        <v>44.310001</v>
      </c>
      <c r="C215">
        <v>44.369999</v>
      </c>
      <c r="D215">
        <v>43.349997999999999</v>
      </c>
      <c r="E215">
        <v>43.959999000000003</v>
      </c>
      <c r="F215">
        <v>43.647086999999999</v>
      </c>
      <c r="G215">
        <v>24392500</v>
      </c>
      <c r="I215">
        <f t="shared" si="9"/>
        <v>-9.6869067651361336E-3</v>
      </c>
      <c r="J215">
        <v>0</v>
      </c>
      <c r="K215">
        <f t="shared" si="10"/>
        <v>-9.6869067651361336E-3</v>
      </c>
      <c r="L215">
        <f t="shared" si="11"/>
        <v>-0.9686906765136134</v>
      </c>
      <c r="M215">
        <v>-1.41</v>
      </c>
    </row>
    <row r="216" spans="1:13" x14ac:dyDescent="0.2">
      <c r="A216" s="1">
        <v>44201</v>
      </c>
      <c r="B216">
        <v>43.68</v>
      </c>
      <c r="C216">
        <v>44.07</v>
      </c>
      <c r="D216">
        <v>43.380001</v>
      </c>
      <c r="E216">
        <v>43.98</v>
      </c>
      <c r="F216">
        <v>43.666946000000003</v>
      </c>
      <c r="G216">
        <v>17763700</v>
      </c>
      <c r="I216">
        <f t="shared" si="9"/>
        <v>4.5499027231768859E-4</v>
      </c>
      <c r="J216">
        <v>0</v>
      </c>
      <c r="K216">
        <f t="shared" si="10"/>
        <v>4.5499027231768859E-4</v>
      </c>
      <c r="L216">
        <f t="shared" si="11"/>
        <v>4.5499027231768858E-2</v>
      </c>
      <c r="M216">
        <v>0.86</v>
      </c>
    </row>
    <row r="217" spans="1:13" x14ac:dyDescent="0.2">
      <c r="A217" s="1">
        <v>44202</v>
      </c>
      <c r="B217">
        <v>44.130001</v>
      </c>
      <c r="C217">
        <v>44.869999</v>
      </c>
      <c r="D217">
        <v>43.889999000000003</v>
      </c>
      <c r="E217">
        <v>44.400002000000001</v>
      </c>
      <c r="F217">
        <v>44.083958000000003</v>
      </c>
      <c r="G217">
        <v>21823100</v>
      </c>
      <c r="I217">
        <f t="shared" si="9"/>
        <v>9.5498320400057221E-3</v>
      </c>
      <c r="J217">
        <v>0</v>
      </c>
      <c r="K217">
        <f t="shared" si="10"/>
        <v>9.5498320400057221E-3</v>
      </c>
      <c r="L217">
        <f t="shared" si="11"/>
        <v>0.95498320400057224</v>
      </c>
      <c r="M217">
        <v>0.79</v>
      </c>
    </row>
    <row r="218" spans="1:13" x14ac:dyDescent="0.2">
      <c r="A218" s="1">
        <v>44203</v>
      </c>
      <c r="B218">
        <v>44.200001</v>
      </c>
      <c r="C218">
        <v>45.110000999999997</v>
      </c>
      <c r="D218">
        <v>44.169998</v>
      </c>
      <c r="E218">
        <v>44.959999000000003</v>
      </c>
      <c r="F218">
        <v>44.639969000000001</v>
      </c>
      <c r="G218">
        <v>18218800</v>
      </c>
      <c r="I218">
        <f t="shared" si="9"/>
        <v>1.2612547176458112E-2</v>
      </c>
      <c r="J218">
        <v>0</v>
      </c>
      <c r="K218">
        <f t="shared" si="10"/>
        <v>1.2612547176458112E-2</v>
      </c>
      <c r="L218">
        <f t="shared" si="11"/>
        <v>1.2612547176458111</v>
      </c>
      <c r="M218">
        <v>1.76</v>
      </c>
    </row>
    <row r="219" spans="1:13" x14ac:dyDescent="0.2">
      <c r="A219" s="1">
        <v>44204</v>
      </c>
      <c r="B219">
        <v>44.48</v>
      </c>
      <c r="C219">
        <v>45.41</v>
      </c>
      <c r="D219">
        <v>44.25</v>
      </c>
      <c r="E219">
        <v>45.060001</v>
      </c>
      <c r="F219">
        <v>44.739258</v>
      </c>
      <c r="G219">
        <v>20936300</v>
      </c>
      <c r="I219">
        <f t="shared" si="9"/>
        <v>2.224217494416245E-3</v>
      </c>
      <c r="J219">
        <v>0</v>
      </c>
      <c r="K219">
        <f t="shared" si="10"/>
        <v>2.224217494416245E-3</v>
      </c>
      <c r="L219">
        <f t="shared" si="11"/>
        <v>0.22242174944162452</v>
      </c>
      <c r="M219">
        <v>0.51</v>
      </c>
    </row>
    <row r="220" spans="1:13" x14ac:dyDescent="0.2">
      <c r="A220" s="1">
        <v>44207</v>
      </c>
      <c r="B220">
        <v>45.150002000000001</v>
      </c>
      <c r="C220">
        <v>45.950001</v>
      </c>
      <c r="D220">
        <v>45.02</v>
      </c>
      <c r="E220">
        <v>45.360000999999997</v>
      </c>
      <c r="F220">
        <v>45.037125000000003</v>
      </c>
      <c r="G220">
        <v>25062300</v>
      </c>
      <c r="I220">
        <f t="shared" si="9"/>
        <v>6.6578439901708621E-3</v>
      </c>
      <c r="J220">
        <v>0</v>
      </c>
      <c r="K220">
        <f t="shared" si="10"/>
        <v>6.6578439901708621E-3</v>
      </c>
      <c r="L220">
        <f t="shared" si="11"/>
        <v>0.66578439901708619</v>
      </c>
      <c r="M220">
        <v>-0.51</v>
      </c>
    </row>
    <row r="221" spans="1:13" x14ac:dyDescent="0.2">
      <c r="A221" s="1">
        <v>44208</v>
      </c>
      <c r="B221">
        <v>45.299999</v>
      </c>
      <c r="C221">
        <v>45.93</v>
      </c>
      <c r="D221">
        <v>44.959999000000003</v>
      </c>
      <c r="E221">
        <v>45.790000999999997</v>
      </c>
      <c r="F221">
        <v>45.464061999999998</v>
      </c>
      <c r="G221">
        <v>20145000</v>
      </c>
      <c r="I221">
        <f t="shared" si="9"/>
        <v>9.479668162654593E-3</v>
      </c>
      <c r="J221">
        <v>0</v>
      </c>
      <c r="K221">
        <f t="shared" si="10"/>
        <v>9.479668162654593E-3</v>
      </c>
      <c r="L221">
        <f t="shared" si="11"/>
        <v>0.94796681626545931</v>
      </c>
      <c r="M221">
        <v>0.38</v>
      </c>
    </row>
    <row r="222" spans="1:13" x14ac:dyDescent="0.2">
      <c r="A222" s="1">
        <v>44209</v>
      </c>
      <c r="B222">
        <v>45.290000999999997</v>
      </c>
      <c r="C222">
        <v>45.970001000000003</v>
      </c>
      <c r="D222">
        <v>45.18</v>
      </c>
      <c r="E222">
        <v>45.360000999999997</v>
      </c>
      <c r="F222">
        <v>45.037125000000003</v>
      </c>
      <c r="G222">
        <v>19367300</v>
      </c>
      <c r="I222">
        <f t="shared" si="9"/>
        <v>-9.3906479363853428E-3</v>
      </c>
      <c r="J222">
        <v>0</v>
      </c>
      <c r="K222">
        <f t="shared" si="10"/>
        <v>-9.3906479363853428E-3</v>
      </c>
      <c r="L222">
        <f t="shared" si="11"/>
        <v>-0.93906479363853423</v>
      </c>
      <c r="M222">
        <v>7.0000000000000007E-2</v>
      </c>
    </row>
    <row r="223" spans="1:13" x14ac:dyDescent="0.2">
      <c r="A223" s="1">
        <v>44210</v>
      </c>
      <c r="B223">
        <v>44.869999</v>
      </c>
      <c r="C223">
        <v>45.599997999999999</v>
      </c>
      <c r="D223">
        <v>44.849997999999999</v>
      </c>
      <c r="E223">
        <v>45.150002000000001</v>
      </c>
      <c r="F223">
        <v>44.828620999999998</v>
      </c>
      <c r="G223">
        <v>22333500</v>
      </c>
      <c r="I223">
        <f t="shared" si="9"/>
        <v>-4.6296027999124028E-3</v>
      </c>
      <c r="J223">
        <v>0</v>
      </c>
      <c r="K223">
        <f t="shared" si="10"/>
        <v>-4.6296027999124028E-3</v>
      </c>
      <c r="L223">
        <f t="shared" si="11"/>
        <v>-0.46296027999124029</v>
      </c>
      <c r="M223">
        <v>-0.11</v>
      </c>
    </row>
    <row r="224" spans="1:13" x14ac:dyDescent="0.2">
      <c r="A224" s="1">
        <v>44211</v>
      </c>
      <c r="B224">
        <v>44.959999000000003</v>
      </c>
      <c r="C224">
        <v>45.650002000000001</v>
      </c>
      <c r="D224">
        <v>44.880001</v>
      </c>
      <c r="E224">
        <v>45.43</v>
      </c>
      <c r="F224">
        <v>45.106625000000001</v>
      </c>
      <c r="G224">
        <v>30271700</v>
      </c>
      <c r="I224">
        <f t="shared" si="9"/>
        <v>6.2014845381927501E-3</v>
      </c>
      <c r="J224">
        <v>0</v>
      </c>
      <c r="K224">
        <f t="shared" si="10"/>
        <v>6.2014845381927501E-3</v>
      </c>
      <c r="L224">
        <f t="shared" si="11"/>
        <v>0.62014845381927497</v>
      </c>
      <c r="M224">
        <v>-0.86</v>
      </c>
    </row>
    <row r="225" spans="1:13" x14ac:dyDescent="0.2">
      <c r="A225" s="1">
        <v>44215</v>
      </c>
      <c r="B225">
        <v>45.330002</v>
      </c>
      <c r="C225">
        <v>45.630001</v>
      </c>
      <c r="D225">
        <v>44.77</v>
      </c>
      <c r="E225">
        <v>45.189999</v>
      </c>
      <c r="F225">
        <v>44.868332000000002</v>
      </c>
      <c r="G225">
        <v>28868800</v>
      </c>
      <c r="I225">
        <f t="shared" si="9"/>
        <v>-5.2828825034016346E-3</v>
      </c>
      <c r="J225">
        <v>0</v>
      </c>
      <c r="K225">
        <f t="shared" si="10"/>
        <v>-5.2828825034016346E-3</v>
      </c>
      <c r="L225">
        <f t="shared" si="11"/>
        <v>-0.52828825034016347</v>
      </c>
      <c r="M225">
        <v>0.91</v>
      </c>
    </row>
    <row r="226" spans="1:13" x14ac:dyDescent="0.2">
      <c r="A226" s="1">
        <v>44216</v>
      </c>
      <c r="B226">
        <v>45.330002</v>
      </c>
      <c r="C226">
        <v>45.5</v>
      </c>
      <c r="D226">
        <v>45.139999000000003</v>
      </c>
      <c r="E226">
        <v>45.34</v>
      </c>
      <c r="F226">
        <v>45.017265000000002</v>
      </c>
      <c r="G226">
        <v>16499400</v>
      </c>
      <c r="I226">
        <f t="shared" si="9"/>
        <v>3.3193344472890042E-3</v>
      </c>
      <c r="J226">
        <v>0</v>
      </c>
      <c r="K226">
        <f t="shared" si="10"/>
        <v>3.3193344472890042E-3</v>
      </c>
      <c r="L226">
        <f t="shared" si="11"/>
        <v>0.33193344472890041</v>
      </c>
      <c r="M226">
        <v>1.26</v>
      </c>
    </row>
    <row r="227" spans="1:13" x14ac:dyDescent="0.2">
      <c r="A227" s="1">
        <v>44217</v>
      </c>
      <c r="B227">
        <v>45.200001</v>
      </c>
      <c r="C227">
        <v>45.240001999999997</v>
      </c>
      <c r="D227">
        <v>44.720001000000003</v>
      </c>
      <c r="E227">
        <v>45.110000999999997</v>
      </c>
      <c r="F227">
        <v>44.788902</v>
      </c>
      <c r="G227">
        <v>17495900</v>
      </c>
      <c r="I227">
        <f t="shared" si="9"/>
        <v>-5.0727870740259681E-3</v>
      </c>
      <c r="J227">
        <v>0</v>
      </c>
      <c r="K227">
        <f t="shared" si="10"/>
        <v>-5.0727870740259681E-3</v>
      </c>
      <c r="L227">
        <f t="shared" si="11"/>
        <v>-0.50727870740259684</v>
      </c>
      <c r="M227">
        <v>-0.04</v>
      </c>
    </row>
    <row r="228" spans="1:13" x14ac:dyDescent="0.2">
      <c r="A228" s="1">
        <v>44218</v>
      </c>
      <c r="B228">
        <v>44.75</v>
      </c>
      <c r="C228">
        <v>44.889999000000003</v>
      </c>
      <c r="D228">
        <v>44.23</v>
      </c>
      <c r="E228">
        <v>44.77</v>
      </c>
      <c r="F228">
        <v>44.451324</v>
      </c>
      <c r="G228">
        <v>14643400</v>
      </c>
      <c r="I228">
        <f t="shared" si="9"/>
        <v>-7.5370903265277768E-3</v>
      </c>
      <c r="J228">
        <v>0</v>
      </c>
      <c r="K228">
        <f t="shared" si="10"/>
        <v>-7.5370903265277768E-3</v>
      </c>
      <c r="L228">
        <f t="shared" si="11"/>
        <v>-0.75370903265277767</v>
      </c>
      <c r="M228">
        <v>-7.0000000000000007E-2</v>
      </c>
    </row>
    <row r="229" spans="1:13" x14ac:dyDescent="0.2">
      <c r="A229" s="1">
        <v>44221</v>
      </c>
      <c r="B229">
        <v>45.040000999999997</v>
      </c>
      <c r="C229">
        <v>45.169998</v>
      </c>
      <c r="D229">
        <v>44.709999000000003</v>
      </c>
      <c r="E229">
        <v>45.029998999999997</v>
      </c>
      <c r="F229">
        <v>44.709468999999999</v>
      </c>
      <c r="G229">
        <v>16581300</v>
      </c>
      <c r="I229">
        <f t="shared" si="9"/>
        <v>5.8073635781917083E-3</v>
      </c>
      <c r="J229">
        <v>0</v>
      </c>
      <c r="K229">
        <f t="shared" si="10"/>
        <v>5.8073635781917083E-3</v>
      </c>
      <c r="L229">
        <f t="shared" si="11"/>
        <v>0.58073635781917088</v>
      </c>
      <c r="M229">
        <v>0.28000000000000003</v>
      </c>
    </row>
    <row r="230" spans="1:13" x14ac:dyDescent="0.2">
      <c r="A230" s="1">
        <v>44222</v>
      </c>
      <c r="B230">
        <v>44.889999000000003</v>
      </c>
      <c r="C230">
        <v>45.349997999999999</v>
      </c>
      <c r="D230">
        <v>44.77</v>
      </c>
      <c r="E230">
        <v>45.259998000000003</v>
      </c>
      <c r="F230">
        <v>44.937832</v>
      </c>
      <c r="G230">
        <v>13087800</v>
      </c>
      <c r="I230">
        <f t="shared" si="9"/>
        <v>5.1077099573694704E-3</v>
      </c>
      <c r="J230">
        <v>0</v>
      </c>
      <c r="K230">
        <f t="shared" si="10"/>
        <v>5.1077099573694704E-3</v>
      </c>
      <c r="L230">
        <f t="shared" si="11"/>
        <v>0.51077099573694706</v>
      </c>
      <c r="M230">
        <v>-0.32</v>
      </c>
    </row>
    <row r="231" spans="1:13" x14ac:dyDescent="0.2">
      <c r="A231" s="1">
        <v>44223</v>
      </c>
      <c r="B231">
        <v>45.240001999999997</v>
      </c>
      <c r="C231">
        <v>46.459999000000003</v>
      </c>
      <c r="D231">
        <v>45.080002</v>
      </c>
      <c r="E231">
        <v>45.700001</v>
      </c>
      <c r="F231">
        <v>45.374701999999999</v>
      </c>
      <c r="G231">
        <v>29634500</v>
      </c>
      <c r="I231">
        <f t="shared" si="9"/>
        <v>9.7216527935748871E-3</v>
      </c>
      <c r="J231">
        <v>0</v>
      </c>
      <c r="K231">
        <f t="shared" si="10"/>
        <v>9.7216527935748871E-3</v>
      </c>
      <c r="L231">
        <f t="shared" si="11"/>
        <v>0.97216527935748875</v>
      </c>
      <c r="M231">
        <v>-2.5299999999999998</v>
      </c>
    </row>
    <row r="232" spans="1:13" x14ac:dyDescent="0.2">
      <c r="A232" s="1">
        <v>44224</v>
      </c>
      <c r="B232">
        <v>45.91</v>
      </c>
      <c r="C232">
        <v>46.27</v>
      </c>
      <c r="D232">
        <v>45.299999</v>
      </c>
      <c r="E232">
        <v>45.34</v>
      </c>
      <c r="F232">
        <v>45.017265000000002</v>
      </c>
      <c r="G232">
        <v>21166000</v>
      </c>
      <c r="I232">
        <f t="shared" si="9"/>
        <v>-7.8774511841421535E-3</v>
      </c>
      <c r="J232">
        <v>0</v>
      </c>
      <c r="K232">
        <f t="shared" si="10"/>
        <v>-7.8774511841421535E-3</v>
      </c>
      <c r="L232">
        <f t="shared" si="11"/>
        <v>-0.78774511841421535</v>
      </c>
      <c r="M232">
        <v>0.92</v>
      </c>
    </row>
    <row r="233" spans="1:13" x14ac:dyDescent="0.2">
      <c r="A233" s="1">
        <v>44225</v>
      </c>
      <c r="B233">
        <v>44.849997999999999</v>
      </c>
      <c r="C233">
        <v>45.369999</v>
      </c>
      <c r="D233">
        <v>44.48</v>
      </c>
      <c r="E233">
        <v>44.580002</v>
      </c>
      <c r="F233">
        <v>44.262675999999999</v>
      </c>
      <c r="G233">
        <v>22575200</v>
      </c>
      <c r="I233">
        <f t="shared" si="9"/>
        <v>-1.6762213341925656E-2</v>
      </c>
      <c r="J233">
        <v>0</v>
      </c>
      <c r="K233">
        <f t="shared" si="10"/>
        <v>-1.6762213341925656E-2</v>
      </c>
      <c r="L233">
        <f t="shared" si="11"/>
        <v>-1.6762213341925656</v>
      </c>
      <c r="M233">
        <v>-1.84</v>
      </c>
    </row>
    <row r="234" spans="1:13" x14ac:dyDescent="0.2">
      <c r="A234" s="1">
        <v>44228</v>
      </c>
      <c r="B234">
        <v>44.919998</v>
      </c>
      <c r="C234">
        <v>45.630001</v>
      </c>
      <c r="D234">
        <v>44.66</v>
      </c>
      <c r="E234">
        <v>45.400002000000001</v>
      </c>
      <c r="F234">
        <v>45.076839</v>
      </c>
      <c r="G234">
        <v>16776900</v>
      </c>
      <c r="I234">
        <f t="shared" si="9"/>
        <v>1.8393894666467989E-2</v>
      </c>
      <c r="J234">
        <v>0</v>
      </c>
      <c r="K234">
        <f t="shared" si="10"/>
        <v>1.8393894666467989E-2</v>
      </c>
      <c r="L234">
        <f t="shared" si="11"/>
        <v>1.8393894666467989</v>
      </c>
      <c r="M234">
        <v>1.73</v>
      </c>
    </row>
    <row r="235" spans="1:13" x14ac:dyDescent="0.2">
      <c r="A235" s="1">
        <v>44229</v>
      </c>
      <c r="B235">
        <v>45.52</v>
      </c>
      <c r="C235">
        <v>45.939999</v>
      </c>
      <c r="D235">
        <v>45.43</v>
      </c>
      <c r="E235">
        <v>45.830002</v>
      </c>
      <c r="F235">
        <v>45.503779999999999</v>
      </c>
      <c r="G235">
        <v>16520900</v>
      </c>
      <c r="I235">
        <f t="shared" si="9"/>
        <v>9.4714050379619413E-3</v>
      </c>
      <c r="J235">
        <v>0</v>
      </c>
      <c r="K235">
        <f t="shared" si="10"/>
        <v>9.4714050379619413E-3</v>
      </c>
      <c r="L235">
        <f t="shared" si="11"/>
        <v>0.94714050379619419</v>
      </c>
      <c r="M235">
        <v>1.48</v>
      </c>
    </row>
    <row r="236" spans="1:13" x14ac:dyDescent="0.2">
      <c r="A236" s="1">
        <v>44230</v>
      </c>
      <c r="B236">
        <v>45.75</v>
      </c>
      <c r="C236">
        <v>46.16</v>
      </c>
      <c r="D236">
        <v>45.540000999999997</v>
      </c>
      <c r="E236">
        <v>45.77</v>
      </c>
      <c r="F236">
        <v>45.444206000000001</v>
      </c>
      <c r="G236">
        <v>13173600</v>
      </c>
      <c r="I236">
        <f t="shared" si="9"/>
        <v>-1.3092099161871342E-3</v>
      </c>
      <c r="J236">
        <v>0</v>
      </c>
      <c r="K236">
        <f t="shared" si="10"/>
        <v>-1.3092099161871342E-3</v>
      </c>
      <c r="L236">
        <f t="shared" si="11"/>
        <v>-0.13092099161871343</v>
      </c>
      <c r="M236">
        <v>0.16</v>
      </c>
    </row>
    <row r="237" spans="1:13" x14ac:dyDescent="0.2">
      <c r="A237" s="1">
        <v>44231</v>
      </c>
      <c r="B237">
        <v>45.869999</v>
      </c>
      <c r="C237">
        <v>47.32</v>
      </c>
      <c r="D237">
        <v>45.77</v>
      </c>
      <c r="E237">
        <v>47.25</v>
      </c>
      <c r="F237">
        <v>46.913670000000003</v>
      </c>
      <c r="G237">
        <v>22285700</v>
      </c>
      <c r="I237">
        <f t="shared" si="9"/>
        <v>3.2335563305914118E-2</v>
      </c>
      <c r="J237">
        <v>0</v>
      </c>
      <c r="K237">
        <f t="shared" si="10"/>
        <v>3.2335563305914118E-2</v>
      </c>
      <c r="L237">
        <f t="shared" si="11"/>
        <v>3.2335563305914117</v>
      </c>
      <c r="M237">
        <v>1.23</v>
      </c>
    </row>
    <row r="238" spans="1:13" x14ac:dyDescent="0.2">
      <c r="A238" s="1">
        <v>44232</v>
      </c>
      <c r="B238">
        <v>47.57</v>
      </c>
      <c r="C238">
        <v>48.34</v>
      </c>
      <c r="D238">
        <v>47.5</v>
      </c>
      <c r="E238">
        <v>48.080002</v>
      </c>
      <c r="F238">
        <v>47.737761999999996</v>
      </c>
      <c r="G238">
        <v>25282400</v>
      </c>
      <c r="I238">
        <f t="shared" si="9"/>
        <v>1.7566137972151681E-2</v>
      </c>
      <c r="J238">
        <v>0</v>
      </c>
      <c r="K238">
        <f t="shared" si="10"/>
        <v>1.7566137972151681E-2</v>
      </c>
      <c r="L238">
        <f t="shared" si="11"/>
        <v>1.7566137972151681</v>
      </c>
      <c r="M238">
        <v>0.57999999999999996</v>
      </c>
    </row>
    <row r="239" spans="1:13" x14ac:dyDescent="0.2">
      <c r="A239" s="1">
        <v>44235</v>
      </c>
      <c r="B239">
        <v>48.560001</v>
      </c>
      <c r="C239">
        <v>49.34</v>
      </c>
      <c r="D239">
        <v>48.560001</v>
      </c>
      <c r="E239">
        <v>48.939999</v>
      </c>
      <c r="F239">
        <v>48.591636999999999</v>
      </c>
      <c r="G239">
        <v>25215400</v>
      </c>
      <c r="I239">
        <f t="shared" si="9"/>
        <v>1.788678321367479E-2</v>
      </c>
      <c r="J239">
        <v>0</v>
      </c>
      <c r="K239">
        <f t="shared" si="10"/>
        <v>1.788678321367479E-2</v>
      </c>
      <c r="L239">
        <f t="shared" si="11"/>
        <v>1.7886783213674788</v>
      </c>
      <c r="M239">
        <v>0.96</v>
      </c>
    </row>
    <row r="240" spans="1:13" x14ac:dyDescent="0.2">
      <c r="A240" s="1">
        <v>44236</v>
      </c>
      <c r="B240">
        <v>48.77</v>
      </c>
      <c r="C240">
        <v>48.830002</v>
      </c>
      <c r="D240">
        <v>48.41</v>
      </c>
      <c r="E240">
        <v>48.5</v>
      </c>
      <c r="F240">
        <v>48.154774000000003</v>
      </c>
      <c r="G240">
        <v>24795000</v>
      </c>
      <c r="I240">
        <f t="shared" si="9"/>
        <v>-8.9904976858465446E-3</v>
      </c>
      <c r="J240">
        <v>0</v>
      </c>
      <c r="K240">
        <f t="shared" si="10"/>
        <v>-8.9904976858465446E-3</v>
      </c>
      <c r="L240">
        <f t="shared" si="11"/>
        <v>-0.89904976858465446</v>
      </c>
      <c r="M240">
        <v>0.05</v>
      </c>
    </row>
    <row r="241" spans="1:13" x14ac:dyDescent="0.2">
      <c r="A241" s="1">
        <v>44237</v>
      </c>
      <c r="B241">
        <v>46.150002000000001</v>
      </c>
      <c r="C241">
        <v>47.41</v>
      </c>
      <c r="D241">
        <v>45.830002</v>
      </c>
      <c r="E241">
        <v>47.240001999999997</v>
      </c>
      <c r="F241">
        <v>46.903744000000003</v>
      </c>
      <c r="G241">
        <v>44540900</v>
      </c>
      <c r="I241">
        <f t="shared" si="9"/>
        <v>-2.5979355650179149E-2</v>
      </c>
      <c r="J241">
        <v>0</v>
      </c>
      <c r="K241">
        <f t="shared" si="10"/>
        <v>-2.5979355650179149E-2</v>
      </c>
      <c r="L241">
        <f t="shared" si="11"/>
        <v>-2.5979355650179148</v>
      </c>
      <c r="M241">
        <v>-7.0000000000000007E-2</v>
      </c>
    </row>
    <row r="242" spans="1:13" x14ac:dyDescent="0.2">
      <c r="A242" s="1">
        <v>44238</v>
      </c>
      <c r="B242">
        <v>47.349997999999999</v>
      </c>
      <c r="C242">
        <v>47.91</v>
      </c>
      <c r="D242">
        <v>47.200001</v>
      </c>
      <c r="E242">
        <v>47.580002</v>
      </c>
      <c r="F242">
        <v>47.241321999999997</v>
      </c>
      <c r="G242">
        <v>18588600</v>
      </c>
      <c r="I242">
        <f t="shared" si="9"/>
        <v>7.1972506075419791E-3</v>
      </c>
      <c r="J242">
        <v>0</v>
      </c>
      <c r="K242">
        <f t="shared" si="10"/>
        <v>7.1972506075419791E-3</v>
      </c>
      <c r="L242">
        <f t="shared" si="11"/>
        <v>0.71972506075419795</v>
      </c>
      <c r="M242">
        <v>0.19</v>
      </c>
    </row>
    <row r="243" spans="1:13" x14ac:dyDescent="0.2">
      <c r="A243" s="1">
        <v>44239</v>
      </c>
      <c r="B243">
        <v>47.43</v>
      </c>
      <c r="C243">
        <v>47.689999</v>
      </c>
      <c r="D243">
        <v>46.91</v>
      </c>
      <c r="E243">
        <v>47.290000999999997</v>
      </c>
      <c r="F243">
        <v>46.953384</v>
      </c>
      <c r="G243">
        <v>15238700</v>
      </c>
      <c r="I243">
        <f t="shared" si="9"/>
        <v>-6.0950453503396231E-3</v>
      </c>
      <c r="J243">
        <v>0</v>
      </c>
      <c r="K243">
        <f t="shared" si="10"/>
        <v>-6.0950453503396231E-3</v>
      </c>
      <c r="L243">
        <f t="shared" si="11"/>
        <v>-0.60950453503396229</v>
      </c>
      <c r="M243">
        <v>0.49</v>
      </c>
    </row>
    <row r="244" spans="1:13" x14ac:dyDescent="0.2">
      <c r="A244" s="1">
        <v>44243</v>
      </c>
      <c r="B244">
        <v>47.259998000000003</v>
      </c>
      <c r="C244">
        <v>47.259998000000003</v>
      </c>
      <c r="D244">
        <v>46.400002000000001</v>
      </c>
      <c r="E244">
        <v>46.509998000000003</v>
      </c>
      <c r="F244">
        <v>46.178936</v>
      </c>
      <c r="G244">
        <v>18539000</v>
      </c>
      <c r="I244">
        <f t="shared" si="9"/>
        <v>-1.6493976238219583E-2</v>
      </c>
      <c r="J244">
        <v>0</v>
      </c>
      <c r="K244">
        <f t="shared" si="10"/>
        <v>-1.6493976238219583E-2</v>
      </c>
      <c r="L244">
        <f t="shared" si="11"/>
        <v>-1.6493976238219583</v>
      </c>
      <c r="M244">
        <v>-0.14000000000000001</v>
      </c>
    </row>
    <row r="245" spans="1:13" x14ac:dyDescent="0.2">
      <c r="A245" s="1">
        <v>44244</v>
      </c>
      <c r="B245">
        <v>46.32</v>
      </c>
      <c r="C245">
        <v>46.400002000000001</v>
      </c>
      <c r="D245">
        <v>45.869999</v>
      </c>
      <c r="E245">
        <v>46.25</v>
      </c>
      <c r="F245">
        <v>45.920788000000002</v>
      </c>
      <c r="G245">
        <v>13296300</v>
      </c>
      <c r="I245">
        <f t="shared" si="9"/>
        <v>-5.5901677769275258E-3</v>
      </c>
      <c r="J245">
        <v>0</v>
      </c>
      <c r="K245">
        <f t="shared" si="10"/>
        <v>-5.5901677769275258E-3</v>
      </c>
      <c r="L245">
        <f t="shared" si="11"/>
        <v>-0.5590167776927526</v>
      </c>
      <c r="M245">
        <v>-0.2</v>
      </c>
    </row>
    <row r="246" spans="1:13" x14ac:dyDescent="0.2">
      <c r="A246" s="1">
        <v>44245</v>
      </c>
      <c r="B246">
        <v>46.389999000000003</v>
      </c>
      <c r="C246">
        <v>46.400002000000001</v>
      </c>
      <c r="D246">
        <v>45.689999</v>
      </c>
      <c r="E246">
        <v>46.34</v>
      </c>
      <c r="F246">
        <v>46.010147000000003</v>
      </c>
      <c r="G246">
        <v>16867500</v>
      </c>
      <c r="I246">
        <f t="shared" si="9"/>
        <v>1.9459378615193132E-3</v>
      </c>
      <c r="J246">
        <v>0</v>
      </c>
      <c r="K246">
        <f t="shared" si="10"/>
        <v>1.9459378615193132E-3</v>
      </c>
      <c r="L246">
        <f t="shared" si="11"/>
        <v>0.19459378615193132</v>
      </c>
      <c r="M246">
        <v>-0.63</v>
      </c>
    </row>
    <row r="247" spans="1:13" x14ac:dyDescent="0.2">
      <c r="A247" s="1">
        <v>44246</v>
      </c>
      <c r="B247">
        <v>46.540000999999997</v>
      </c>
      <c r="C247">
        <v>46.610000999999997</v>
      </c>
      <c r="D247">
        <v>45.580002</v>
      </c>
      <c r="E247">
        <v>45.68</v>
      </c>
      <c r="F247">
        <v>45.354846999999999</v>
      </c>
      <c r="G247">
        <v>25117700</v>
      </c>
      <c r="I247">
        <f t="shared" si="9"/>
        <v>-1.4242510461877115E-2</v>
      </c>
      <c r="J247">
        <v>0</v>
      </c>
      <c r="K247">
        <f t="shared" si="10"/>
        <v>-1.4242510461877115E-2</v>
      </c>
      <c r="L247">
        <f t="shared" si="11"/>
        <v>-1.4242510461877114</v>
      </c>
      <c r="M247">
        <v>0.16</v>
      </c>
    </row>
    <row r="248" spans="1:13" x14ac:dyDescent="0.2">
      <c r="A248" s="1">
        <v>44249</v>
      </c>
      <c r="B248">
        <v>45.290000999999997</v>
      </c>
      <c r="C248">
        <v>45.68</v>
      </c>
      <c r="D248">
        <v>44.82</v>
      </c>
      <c r="E248">
        <v>45.43</v>
      </c>
      <c r="F248">
        <v>45.106625000000001</v>
      </c>
      <c r="G248">
        <v>21435800</v>
      </c>
      <c r="I248">
        <f t="shared" si="9"/>
        <v>-5.4728880465631027E-3</v>
      </c>
      <c r="J248">
        <v>0</v>
      </c>
      <c r="K248">
        <f t="shared" si="10"/>
        <v>-5.4728880465631027E-3</v>
      </c>
      <c r="L248">
        <f t="shared" si="11"/>
        <v>-0.54728880465631025</v>
      </c>
      <c r="M248">
        <v>-1.1200000000000001</v>
      </c>
    </row>
    <row r="249" spans="1:13" x14ac:dyDescent="0.2">
      <c r="A249" s="1">
        <v>44250</v>
      </c>
      <c r="B249">
        <v>45.259998000000003</v>
      </c>
      <c r="C249">
        <v>45.779998999999997</v>
      </c>
      <c r="D249">
        <v>45.099997999999999</v>
      </c>
      <c r="E249">
        <v>45.509998000000003</v>
      </c>
      <c r="F249">
        <v>45.186053999999999</v>
      </c>
      <c r="G249">
        <v>19714900</v>
      </c>
      <c r="I249">
        <f t="shared" si="9"/>
        <v>1.7609164950824303E-3</v>
      </c>
      <c r="J249">
        <v>0</v>
      </c>
      <c r="K249">
        <f t="shared" si="10"/>
        <v>1.7609164950824303E-3</v>
      </c>
      <c r="L249">
        <f t="shared" si="11"/>
        <v>0.17609164950824302</v>
      </c>
      <c r="M249">
        <v>-0.15</v>
      </c>
    </row>
    <row r="250" spans="1:13" x14ac:dyDescent="0.2">
      <c r="A250" s="1">
        <v>44251</v>
      </c>
      <c r="B250">
        <v>45.240001999999997</v>
      </c>
      <c r="C250">
        <v>45.799999</v>
      </c>
      <c r="D250">
        <v>45.040000999999997</v>
      </c>
      <c r="E250">
        <v>45.740001999999997</v>
      </c>
      <c r="F250">
        <v>45.414420999999997</v>
      </c>
      <c r="G250">
        <v>17823600</v>
      </c>
      <c r="I250">
        <f t="shared" si="9"/>
        <v>5.053926594254029E-3</v>
      </c>
      <c r="J250">
        <v>0</v>
      </c>
      <c r="K250">
        <f t="shared" si="10"/>
        <v>5.053926594254029E-3</v>
      </c>
      <c r="L250">
        <f t="shared" si="11"/>
        <v>0.5053926594254029</v>
      </c>
      <c r="M250">
        <v>1.1499999999999999</v>
      </c>
    </row>
    <row r="251" spans="1:13" x14ac:dyDescent="0.2">
      <c r="A251" s="1">
        <v>44252</v>
      </c>
      <c r="B251">
        <v>45.59</v>
      </c>
      <c r="C251">
        <v>46.240001999999997</v>
      </c>
      <c r="D251">
        <v>45.240001999999997</v>
      </c>
      <c r="E251">
        <v>45.52</v>
      </c>
      <c r="F251">
        <v>45.195984000000003</v>
      </c>
      <c r="G251">
        <v>21916700</v>
      </c>
      <c r="I251">
        <f t="shared" si="9"/>
        <v>-4.80985984606067E-3</v>
      </c>
      <c r="J251">
        <v>0</v>
      </c>
      <c r="K251">
        <f t="shared" si="10"/>
        <v>-4.80985984606067E-3</v>
      </c>
      <c r="L251">
        <f t="shared" si="11"/>
        <v>-0.48098598460606701</v>
      </c>
      <c r="M251">
        <v>-2.73</v>
      </c>
    </row>
    <row r="252" spans="1:13" x14ac:dyDescent="0.2">
      <c r="A252" s="1">
        <v>44253</v>
      </c>
      <c r="B252">
        <v>45.580002</v>
      </c>
      <c r="C252">
        <v>45.779998999999997</v>
      </c>
      <c r="D252">
        <v>44.759998000000003</v>
      </c>
      <c r="E252">
        <v>44.869999</v>
      </c>
      <c r="F252">
        <v>44.550609999999999</v>
      </c>
      <c r="G252">
        <v>22142400</v>
      </c>
      <c r="I252">
        <f t="shared" si="9"/>
        <v>-1.4279454563927712E-2</v>
      </c>
      <c r="J252">
        <v>0</v>
      </c>
      <c r="K252">
        <f t="shared" si="10"/>
        <v>-1.4279454563927712E-2</v>
      </c>
      <c r="L252">
        <f t="shared" si="11"/>
        <v>-1.4279454563927712</v>
      </c>
      <c r="M252">
        <v>-0.28000000000000003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User</cp:lastModifiedBy>
  <dcterms:created xsi:type="dcterms:W3CDTF">2021-04-29T16:54:25Z</dcterms:created>
  <dcterms:modified xsi:type="dcterms:W3CDTF">2021-04-29T16:54:25Z</dcterms:modified>
</cp:coreProperties>
</file>