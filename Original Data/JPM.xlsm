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2EFC5A12-09CF-B945-9D07-4AAB9539D4B9}" xr6:coauthVersionLast="46" xr6:coauthVersionMax="46" xr10:uidLastSave="{00000000-0000-0000-0000-000000000000}"/>
  <bookViews>
    <workbookView xWindow="1960" yWindow="460" windowWidth="26840" windowHeight="14780" activeTab="2" xr2:uid="{00000000-000D-0000-FFFF-FFFF00000000}"/>
  </bookViews>
  <sheets>
    <sheet name="Sheet2" sheetId="2" r:id="rId1"/>
    <sheet name="Sheet1" sheetId="3" r:id="rId2"/>
    <sheet name="JPM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" l="1"/>
  <c r="I252" i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K3" i="1"/>
  <c r="L3" i="1" s="1"/>
</calcChain>
</file>

<file path=xl/sharedStrings.xml><?xml version="1.0" encoding="utf-8"?>
<sst xmlns="http://schemas.openxmlformats.org/spreadsheetml/2006/main" count="64" uniqueCount="39">
  <si>
    <t>Date</t>
  </si>
  <si>
    <t>Open</t>
  </si>
  <si>
    <t>High</t>
  </si>
  <si>
    <t>Low</t>
  </si>
  <si>
    <t>Close</t>
  </si>
  <si>
    <t>Adj Close</t>
  </si>
  <si>
    <t>Volume</t>
  </si>
  <si>
    <t>Mkt-RF</t>
  </si>
  <si>
    <t>JPM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</si>
  <si>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</si>
  <si>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</si>
  <si>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</si>
  <si>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</si>
  <si>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</si>
  <si>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</si>
  <si>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</si>
  <si>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</si>
  <si>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</si>
  <si>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</si>
  <si>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</si>
  <si>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</si>
  <si>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</si>
  <si>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</si>
  <si>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</si>
  <si>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</si>
  <si>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</si>
  <si>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</si>
  <si>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</si>
  <si>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</si>
  <si>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</si>
  <si>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</si>
  <si>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</si>
  <si>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</si>
  <si>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</si>
  <si>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Daily Return</t>
  </si>
  <si>
    <t>RF rate</t>
  </si>
  <si>
    <t>Excess Return for JPM</t>
  </si>
  <si>
    <t>Intercept</t>
  </si>
  <si>
    <t>X Variable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</si>
</sst>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topLeftCell="A3" workbookViewId="0">
      <selection activeCell="L8" sqref="L8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0.79689295172546015</v>
      </c>
    </row>
    <row r="5" spans="1:9" x14ac:dyDescent="0.2">
      <c r="A5" s="2" t="s">
        <v>12</v>
      </c>
      <c r="B5" s="2">
        <v>0.63503837650971651</v>
      </c>
    </row>
    <row r="6" spans="1:9" x14ac:dyDescent="0.2">
      <c r="A6" s="2" t="s">
        <v>13</v>
      </c>
      <c r="B6" s="2">
        <v>0.63356675706015886</v>
      </c>
    </row>
    <row r="7" spans="1:9" x14ac:dyDescent="0.2">
      <c r="A7" s="2" t="s">
        <v>14</v>
      </c>
      <c r="B7" s="2">
        <v>2.0877656563670897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1880.9097194498734</v>
      </c>
      <c r="D12" s="2">
        <v>1880.9097194498734</v>
      </c>
      <c r="E12" s="2">
        <v>431.52350065815233</v>
      </c>
      <c r="F12" s="2">
        <v>3.3154041093795866E-56</v>
      </c>
    </row>
    <row r="13" spans="1:9" x14ac:dyDescent="0.2">
      <c r="A13" s="2" t="s">
        <v>18</v>
      </c>
      <c r="B13" s="2">
        <v>248</v>
      </c>
      <c r="C13" s="2">
        <v>1080.9738281046646</v>
      </c>
      <c r="D13" s="2">
        <v>4.3587654359059052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2961.8835475545379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32</v>
      </c>
      <c r="B17" s="2">
        <v>-7.4993023679586698E-2</v>
      </c>
      <c r="C17" s="2">
        <v>0.13230746470255725</v>
      </c>
      <c r="D17" s="2">
        <v>-0.56680871217795492</v>
      </c>
      <c r="E17" s="2">
        <v>0.5713567809278578</v>
      </c>
      <c r="F17" s="2">
        <v>-0.33558258495073834</v>
      </c>
      <c r="G17" s="2">
        <v>0.18559653759156491</v>
      </c>
      <c r="H17" s="2">
        <v>-0.33558258495073834</v>
      </c>
      <c r="I17" s="2">
        <v>0.18559653759156491</v>
      </c>
    </row>
    <row r="18" spans="1:9" ht="17" thickBot="1" x14ac:dyDescent="0.25">
      <c r="A18" s="3" t="s">
        <v>33</v>
      </c>
      <c r="B18" s="3">
        <v>1.2790491174215513</v>
      </c>
      <c r="C18" s="3">
        <v>6.1572246054994804E-2</v>
      </c>
      <c r="D18" s="3">
        <v>20.773143735558001</v>
      </c>
      <c r="E18" s="3">
        <v>3.3154041093793022E-56</v>
      </c>
      <c r="F18" s="3">
        <v>1.1577779206525576</v>
      </c>
      <c r="G18" s="3">
        <v>1.4003203141905449</v>
      </c>
      <c r="H18" s="3">
        <v>1.1577779206525576</v>
      </c>
      <c r="I18" s="3">
        <v>1.4003203141905449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D757D-6326-5E45-B25A-BDFA40F894DD}">
  <dimension ref="A1:I18"/>
  <sheetViews>
    <sheetView workbookViewId="0">
      <selection activeCell="O5" sqref="O5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0.62108907766803567</v>
      </c>
    </row>
    <row r="5" spans="1:9" x14ac:dyDescent="0.2">
      <c r="A5" s="2" t="s">
        <v>12</v>
      </c>
      <c r="B5" s="2">
        <v>0.38575164239853121</v>
      </c>
    </row>
    <row r="6" spans="1:9" x14ac:dyDescent="0.2">
      <c r="A6" s="2" t="s">
        <v>13</v>
      </c>
      <c r="B6" s="2">
        <v>0.38304570249720316</v>
      </c>
    </row>
    <row r="7" spans="1:9" x14ac:dyDescent="0.2">
      <c r="A7" s="2" t="s">
        <v>14</v>
      </c>
      <c r="B7" s="2">
        <v>2.0152470040390873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578.95686166023916</v>
      </c>
      <c r="D12" s="2">
        <v>578.95686166023916</v>
      </c>
      <c r="E12" s="2">
        <v>142.55735768898896</v>
      </c>
      <c r="F12" s="2">
        <v>8.0236102401721002E-26</v>
      </c>
    </row>
    <row r="13" spans="1:9" x14ac:dyDescent="0.2">
      <c r="A13" s="2" t="s">
        <v>18</v>
      </c>
      <c r="B13" s="2">
        <v>227</v>
      </c>
      <c r="C13" s="2">
        <v>921.89705061449331</v>
      </c>
      <c r="D13" s="2">
        <v>4.0612204872885167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1500.8539122747325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37</v>
      </c>
      <c r="B17" s="2">
        <v>1.7481188332899383E-2</v>
      </c>
      <c r="C17" s="2">
        <v>0.13475021616685057</v>
      </c>
      <c r="D17" s="2">
        <v>0.12973031754734854</v>
      </c>
      <c r="E17" s="2">
        <v>0.89689467577457394</v>
      </c>
      <c r="F17" s="2">
        <v>-0.24804000444707577</v>
      </c>
      <c r="G17" s="2">
        <v>0.28300238111287457</v>
      </c>
      <c r="H17" s="2">
        <v>-0.24804000444707577</v>
      </c>
      <c r="I17" s="2">
        <v>0.28300238111287457</v>
      </c>
    </row>
    <row r="18" spans="1:9" ht="17" thickBot="1" x14ac:dyDescent="0.25">
      <c r="A18" s="3" t="s">
        <v>38</v>
      </c>
      <c r="B18" s="3">
        <v>1.1474478761497791</v>
      </c>
      <c r="C18" s="3">
        <v>9.6103266175589119E-2</v>
      </c>
      <c r="D18" s="3">
        <v>11.939738593829796</v>
      </c>
      <c r="E18" s="3">
        <v>8.0236102401725605E-26</v>
      </c>
      <c r="F18" s="3">
        <v>0.95807932008455088</v>
      </c>
      <c r="G18" s="3">
        <v>1.3368164322150073</v>
      </c>
      <c r="H18" s="3">
        <v>0.95807932008455088</v>
      </c>
      <c r="I18" s="3">
        <v>1.3368164322150073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abSelected="1" workbookViewId="0">
      <selection activeCell="H7" sqref="H7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116.629997</v>
      </c>
      <c r="C2">
        <v>121.58000199999999</v>
      </c>
      <c r="D2">
        <v>114.459999</v>
      </c>
      <c r="E2">
        <v>121.519997</v>
      </c>
      <c r="F2">
        <v>116.484566</v>
      </c>
      <c r="G2">
        <v>27355400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120.970001</v>
      </c>
      <c r="C3">
        <v>122.949997</v>
      </c>
      <c r="D3">
        <v>116.239998</v>
      </c>
      <c r="E3">
        <v>116.959999</v>
      </c>
      <c r="F3">
        <v>112.113525</v>
      </c>
      <c r="G3">
        <v>32547700</v>
      </c>
      <c r="I3">
        <f>(F3-F2)/F2</f>
        <v>-3.7524636525666455E-2</v>
      </c>
      <c r="J3">
        <v>6.0000000000000001E-3</v>
      </c>
      <c r="K3">
        <f>I3-J3</f>
        <v>-4.3524636525666453E-2</v>
      </c>
      <c r="L3">
        <f>100*K3</f>
        <v>-4.3524636525666454</v>
      </c>
      <c r="M3">
        <v>-2.79</v>
      </c>
    </row>
    <row r="4" spans="1:13" x14ac:dyDescent="0.2">
      <c r="A4" s="1">
        <v>43894</v>
      </c>
      <c r="B4">
        <v>118.33000199999999</v>
      </c>
      <c r="C4">
        <v>120.19000200000001</v>
      </c>
      <c r="D4">
        <v>114.699997</v>
      </c>
      <c r="E4">
        <v>119.849998</v>
      </c>
      <c r="F4">
        <v>114.883781</v>
      </c>
      <c r="G4">
        <v>25795900</v>
      </c>
      <c r="I4">
        <f>(F4-F3)/F3</f>
        <v>2.4709382743964239E-2</v>
      </c>
      <c r="J4">
        <v>6.0000000000000001E-3</v>
      </c>
      <c r="K4">
        <f t="shared" ref="K4:K67" si="0">I4-J4</f>
        <v>1.8709382743964241E-2</v>
      </c>
      <c r="L4">
        <f t="shared" ref="L4:L67" si="1">100*K4</f>
        <v>1.870938274396424</v>
      </c>
      <c r="M4">
        <v>4.03</v>
      </c>
    </row>
    <row r="5" spans="1:13" x14ac:dyDescent="0.2">
      <c r="A5" s="1">
        <v>43895</v>
      </c>
      <c r="B5">
        <v>115.66999800000001</v>
      </c>
      <c r="C5">
        <v>116.43</v>
      </c>
      <c r="D5">
        <v>112.58000199999999</v>
      </c>
      <c r="E5">
        <v>113.970001</v>
      </c>
      <c r="F5">
        <v>109.247429</v>
      </c>
      <c r="G5">
        <v>25025600</v>
      </c>
      <c r="I5">
        <f t="shared" ref="I5:I68" si="2">(F5-F4)/F4</f>
        <v>-4.9061337909830825E-2</v>
      </c>
      <c r="J5">
        <v>6.0000000000000001E-3</v>
      </c>
      <c r="K5">
        <f t="shared" si="0"/>
        <v>-5.5061337909830824E-2</v>
      </c>
      <c r="L5">
        <f t="shared" si="1"/>
        <v>-5.5061337909830828</v>
      </c>
      <c r="M5">
        <v>-3.38</v>
      </c>
    </row>
    <row r="6" spans="1:13" x14ac:dyDescent="0.2">
      <c r="A6" s="1">
        <v>43896</v>
      </c>
      <c r="B6">
        <v>106.260002</v>
      </c>
      <c r="C6">
        <v>110.32</v>
      </c>
      <c r="D6">
        <v>105.019997</v>
      </c>
      <c r="E6">
        <v>108.08000199999999</v>
      </c>
      <c r="F6">
        <v>103.60148599999999</v>
      </c>
      <c r="G6">
        <v>38159400</v>
      </c>
      <c r="I6">
        <f t="shared" si="2"/>
        <v>-5.168032833065575E-2</v>
      </c>
      <c r="J6">
        <v>6.0000000000000001E-3</v>
      </c>
      <c r="K6">
        <f t="shared" si="0"/>
        <v>-5.7680328330655749E-2</v>
      </c>
      <c r="L6">
        <f t="shared" si="1"/>
        <v>-5.7680328330655746</v>
      </c>
      <c r="M6">
        <v>-1.78</v>
      </c>
    </row>
    <row r="7" spans="1:13" x14ac:dyDescent="0.2">
      <c r="A7" s="1">
        <v>43899</v>
      </c>
      <c r="B7">
        <v>96.57</v>
      </c>
      <c r="C7">
        <v>99.230002999999996</v>
      </c>
      <c r="D7">
        <v>93</v>
      </c>
      <c r="E7">
        <v>93.440002000000007</v>
      </c>
      <c r="F7">
        <v>89.568123</v>
      </c>
      <c r="G7">
        <v>40352000</v>
      </c>
      <c r="I7">
        <f t="shared" si="2"/>
        <v>-0.13545522889507583</v>
      </c>
      <c r="J7">
        <v>6.0000000000000001E-3</v>
      </c>
      <c r="K7">
        <f t="shared" si="0"/>
        <v>-0.14145522889507584</v>
      </c>
      <c r="L7">
        <f t="shared" si="1"/>
        <v>-14.145522889507584</v>
      </c>
      <c r="M7">
        <v>-7.79</v>
      </c>
    </row>
    <row r="8" spans="1:13" x14ac:dyDescent="0.2">
      <c r="A8" s="1">
        <v>43900</v>
      </c>
      <c r="B8">
        <v>99</v>
      </c>
      <c r="C8">
        <v>101.279999</v>
      </c>
      <c r="D8">
        <v>94.580001999999993</v>
      </c>
      <c r="E8">
        <v>100.699997</v>
      </c>
      <c r="F8">
        <v>96.527282999999997</v>
      </c>
      <c r="G8">
        <v>31102700</v>
      </c>
      <c r="I8">
        <f t="shared" si="2"/>
        <v>7.7696838639791488E-2</v>
      </c>
      <c r="J8">
        <v>6.0000000000000001E-3</v>
      </c>
      <c r="K8">
        <f t="shared" si="0"/>
        <v>7.1696838639791483E-2</v>
      </c>
      <c r="L8">
        <f t="shared" si="1"/>
        <v>7.1696838639791487</v>
      </c>
      <c r="M8">
        <v>4.74</v>
      </c>
    </row>
    <row r="9" spans="1:13" x14ac:dyDescent="0.2">
      <c r="A9" s="1">
        <v>43901</v>
      </c>
      <c r="B9">
        <v>97.699996999999996</v>
      </c>
      <c r="C9">
        <v>100.050003</v>
      </c>
      <c r="D9">
        <v>94.550003000000004</v>
      </c>
      <c r="E9">
        <v>95.959998999999996</v>
      </c>
      <c r="F9">
        <v>91.983704000000003</v>
      </c>
      <c r="G9">
        <v>38127000</v>
      </c>
      <c r="I9">
        <f t="shared" si="2"/>
        <v>-4.7070412206671082E-2</v>
      </c>
      <c r="J9">
        <v>6.0000000000000001E-3</v>
      </c>
      <c r="K9">
        <f t="shared" si="0"/>
        <v>-5.307041220667108E-2</v>
      </c>
      <c r="L9">
        <f t="shared" si="1"/>
        <v>-5.3070412206671076</v>
      </c>
      <c r="M9">
        <v>-5.05</v>
      </c>
    </row>
    <row r="10" spans="1:13" x14ac:dyDescent="0.2">
      <c r="A10" s="1">
        <v>43902</v>
      </c>
      <c r="B10">
        <v>89.589995999999999</v>
      </c>
      <c r="C10">
        <v>96.959998999999996</v>
      </c>
      <c r="D10">
        <v>86.32</v>
      </c>
      <c r="E10">
        <v>88.050003000000004</v>
      </c>
      <c r="F10">
        <v>84.401473999999993</v>
      </c>
      <c r="G10">
        <v>49725200</v>
      </c>
      <c r="I10">
        <f t="shared" si="2"/>
        <v>-8.2430144365571639E-2</v>
      </c>
      <c r="J10">
        <v>6.0000000000000001E-3</v>
      </c>
      <c r="K10">
        <f t="shared" si="0"/>
        <v>-8.8430144365571645E-2</v>
      </c>
      <c r="L10">
        <f t="shared" si="1"/>
        <v>-8.8430144365571639</v>
      </c>
      <c r="M10">
        <v>-9.6300000000000008</v>
      </c>
    </row>
    <row r="11" spans="1:13" x14ac:dyDescent="0.2">
      <c r="A11" s="1">
        <v>43903</v>
      </c>
      <c r="B11">
        <v>95.989998</v>
      </c>
      <c r="C11">
        <v>103.989998</v>
      </c>
      <c r="D11">
        <v>92</v>
      </c>
      <c r="E11">
        <v>103.910004</v>
      </c>
      <c r="F11">
        <v>99.604279000000005</v>
      </c>
      <c r="G11">
        <v>38543300</v>
      </c>
      <c r="I11">
        <f t="shared" si="2"/>
        <v>0.18012487554423531</v>
      </c>
      <c r="J11">
        <v>6.0000000000000001E-3</v>
      </c>
      <c r="K11">
        <f t="shared" si="0"/>
        <v>0.17412487554423531</v>
      </c>
      <c r="L11">
        <f t="shared" si="1"/>
        <v>17.412487554423532</v>
      </c>
      <c r="M11">
        <v>8.9600000000000009</v>
      </c>
    </row>
    <row r="12" spans="1:13" x14ac:dyDescent="0.2">
      <c r="A12" s="1">
        <v>43906</v>
      </c>
      <c r="B12">
        <v>85.199996999999996</v>
      </c>
      <c r="C12">
        <v>93.980002999999996</v>
      </c>
      <c r="D12">
        <v>84.550003000000004</v>
      </c>
      <c r="E12">
        <v>88.360000999999997</v>
      </c>
      <c r="F12">
        <v>84.698623999999995</v>
      </c>
      <c r="G12">
        <v>38589700</v>
      </c>
      <c r="I12">
        <f t="shared" si="2"/>
        <v>-0.14964874149633681</v>
      </c>
      <c r="J12">
        <v>6.0000000000000001E-3</v>
      </c>
      <c r="K12">
        <f t="shared" si="0"/>
        <v>-0.15564874149633681</v>
      </c>
      <c r="L12">
        <f t="shared" si="1"/>
        <v>-15.564874149633681</v>
      </c>
      <c r="M12">
        <v>-12</v>
      </c>
    </row>
    <row r="13" spans="1:13" x14ac:dyDescent="0.2">
      <c r="A13" s="1">
        <v>43907</v>
      </c>
      <c r="B13">
        <v>90.889999000000003</v>
      </c>
      <c r="C13">
        <v>97.440002000000007</v>
      </c>
      <c r="D13">
        <v>87.5</v>
      </c>
      <c r="E13">
        <v>93.760002</v>
      </c>
      <c r="F13">
        <v>89.874870000000001</v>
      </c>
      <c r="G13">
        <v>35239800</v>
      </c>
      <c r="I13">
        <f t="shared" si="2"/>
        <v>6.1113696486970161E-2</v>
      </c>
      <c r="J13">
        <v>6.0000000000000001E-3</v>
      </c>
      <c r="K13">
        <f t="shared" si="0"/>
        <v>5.5113696486970162E-2</v>
      </c>
      <c r="L13">
        <f t="shared" si="1"/>
        <v>5.5113696486970163</v>
      </c>
      <c r="M13">
        <v>5.87</v>
      </c>
    </row>
    <row r="14" spans="1:13" x14ac:dyDescent="0.2">
      <c r="A14" s="1">
        <v>43908</v>
      </c>
      <c r="B14">
        <v>87.669998000000007</v>
      </c>
      <c r="C14">
        <v>90.790001000000004</v>
      </c>
      <c r="D14">
        <v>80.360000999999997</v>
      </c>
      <c r="E14">
        <v>83.889999000000003</v>
      </c>
      <c r="F14">
        <v>80.413856999999993</v>
      </c>
      <c r="G14">
        <v>41525600</v>
      </c>
      <c r="I14">
        <f t="shared" si="2"/>
        <v>-0.10526872528438715</v>
      </c>
      <c r="J14">
        <v>6.0000000000000001E-3</v>
      </c>
      <c r="K14">
        <f t="shared" si="0"/>
        <v>-0.11126872528438715</v>
      </c>
      <c r="L14">
        <f t="shared" si="1"/>
        <v>-11.126872528438716</v>
      </c>
      <c r="M14">
        <v>-5.56</v>
      </c>
    </row>
    <row r="15" spans="1:13" x14ac:dyDescent="0.2">
      <c r="A15" s="1">
        <v>43909</v>
      </c>
      <c r="B15">
        <v>81.559997999999993</v>
      </c>
      <c r="C15">
        <v>88.110000999999997</v>
      </c>
      <c r="D15">
        <v>76.910004000000001</v>
      </c>
      <c r="E15">
        <v>85.300003000000004</v>
      </c>
      <c r="F15">
        <v>81.765418999999994</v>
      </c>
      <c r="G15">
        <v>32175100</v>
      </c>
      <c r="I15">
        <f t="shared" si="2"/>
        <v>1.6807575838577192E-2</v>
      </c>
      <c r="J15">
        <v>6.0000000000000001E-3</v>
      </c>
      <c r="K15">
        <f t="shared" si="0"/>
        <v>1.0807575838577192E-2</v>
      </c>
      <c r="L15">
        <f t="shared" si="1"/>
        <v>1.0807575838577193</v>
      </c>
      <c r="M15">
        <v>1.31</v>
      </c>
    </row>
    <row r="16" spans="1:13" x14ac:dyDescent="0.2">
      <c r="A16" s="1">
        <v>43910</v>
      </c>
      <c r="B16">
        <v>86.300003000000004</v>
      </c>
      <c r="C16">
        <v>89.459998999999996</v>
      </c>
      <c r="D16">
        <v>82.480002999999996</v>
      </c>
      <c r="E16">
        <v>83.5</v>
      </c>
      <c r="F16">
        <v>80.040008999999998</v>
      </c>
      <c r="G16">
        <v>30150800</v>
      </c>
      <c r="I16">
        <f t="shared" si="2"/>
        <v>-2.1101952648221574E-2</v>
      </c>
      <c r="J16">
        <v>6.0000000000000001E-3</v>
      </c>
      <c r="K16">
        <f t="shared" si="0"/>
        <v>-2.7101952648221572E-2</v>
      </c>
      <c r="L16">
        <f t="shared" si="1"/>
        <v>-2.7101952648221572</v>
      </c>
      <c r="M16">
        <v>-4.1500000000000004</v>
      </c>
    </row>
    <row r="17" spans="1:13" x14ac:dyDescent="0.2">
      <c r="A17" s="1">
        <v>43913</v>
      </c>
      <c r="B17">
        <v>82.68</v>
      </c>
      <c r="C17">
        <v>83.75</v>
      </c>
      <c r="D17">
        <v>78.089995999999999</v>
      </c>
      <c r="E17">
        <v>79.029999000000004</v>
      </c>
      <c r="F17">
        <v>75.755225999999993</v>
      </c>
      <c r="G17">
        <v>32536600</v>
      </c>
      <c r="I17">
        <f t="shared" si="2"/>
        <v>-5.3533014970050849E-2</v>
      </c>
      <c r="J17">
        <v>6.0000000000000001E-3</v>
      </c>
      <c r="K17">
        <f t="shared" si="0"/>
        <v>-5.9533014970050847E-2</v>
      </c>
      <c r="L17">
        <f t="shared" si="1"/>
        <v>-5.9533014970050848</v>
      </c>
      <c r="M17">
        <v>-2.5499999999999998</v>
      </c>
    </row>
    <row r="18" spans="1:13" x14ac:dyDescent="0.2">
      <c r="A18" s="1">
        <v>43914</v>
      </c>
      <c r="B18">
        <v>84.900002000000001</v>
      </c>
      <c r="C18">
        <v>90.099997999999999</v>
      </c>
      <c r="D18">
        <v>82.900002000000001</v>
      </c>
      <c r="E18">
        <v>88.43</v>
      </c>
      <c r="F18">
        <v>84.765724000000006</v>
      </c>
      <c r="G18">
        <v>34363200</v>
      </c>
      <c r="I18">
        <f t="shared" si="2"/>
        <v>0.11894226280837725</v>
      </c>
      <c r="J18">
        <v>6.0000000000000001E-3</v>
      </c>
      <c r="K18">
        <f t="shared" si="0"/>
        <v>0.11294226280837724</v>
      </c>
      <c r="L18">
        <f t="shared" si="1"/>
        <v>11.294226280837725</v>
      </c>
      <c r="M18">
        <v>9.34</v>
      </c>
    </row>
    <row r="19" spans="1:13" x14ac:dyDescent="0.2">
      <c r="A19" s="1">
        <v>43915</v>
      </c>
      <c r="B19">
        <v>89.239998</v>
      </c>
      <c r="C19">
        <v>95.150002000000001</v>
      </c>
      <c r="D19">
        <v>84.540001000000004</v>
      </c>
      <c r="E19">
        <v>91.730002999999996</v>
      </c>
      <c r="F19">
        <v>87.928985999999995</v>
      </c>
      <c r="G19">
        <v>38111700</v>
      </c>
      <c r="I19">
        <f t="shared" si="2"/>
        <v>3.7317701669132071E-2</v>
      </c>
      <c r="J19">
        <v>6.0000000000000001E-3</v>
      </c>
      <c r="K19">
        <f t="shared" si="0"/>
        <v>3.1317701669132073E-2</v>
      </c>
      <c r="L19">
        <f t="shared" si="1"/>
        <v>3.1317701669132072</v>
      </c>
      <c r="M19">
        <v>1.18</v>
      </c>
    </row>
    <row r="20" spans="1:13" x14ac:dyDescent="0.2">
      <c r="A20" s="1">
        <v>43916</v>
      </c>
      <c r="B20">
        <v>94.080001999999993</v>
      </c>
      <c r="C20">
        <v>98.57</v>
      </c>
      <c r="D20">
        <v>93.540001000000004</v>
      </c>
      <c r="E20">
        <v>98.120002999999997</v>
      </c>
      <c r="F20">
        <v>94.054198999999997</v>
      </c>
      <c r="G20">
        <v>29826300</v>
      </c>
      <c r="I20">
        <f t="shared" si="2"/>
        <v>6.9660907951332479E-2</v>
      </c>
      <c r="J20">
        <v>6.0000000000000001E-3</v>
      </c>
      <c r="K20">
        <f t="shared" si="0"/>
        <v>6.3660907951332474E-2</v>
      </c>
      <c r="L20">
        <f t="shared" si="1"/>
        <v>6.366090795133247</v>
      </c>
      <c r="M20">
        <v>6.02</v>
      </c>
    </row>
    <row r="21" spans="1:13" x14ac:dyDescent="0.2">
      <c r="A21" s="1">
        <v>43917</v>
      </c>
      <c r="B21">
        <v>93.190002000000007</v>
      </c>
      <c r="C21">
        <v>94.839995999999999</v>
      </c>
      <c r="D21">
        <v>90.550003000000004</v>
      </c>
      <c r="E21">
        <v>91.129997000000003</v>
      </c>
      <c r="F21">
        <v>87.353843999999995</v>
      </c>
      <c r="G21">
        <v>30041500</v>
      </c>
      <c r="I21">
        <f t="shared" si="2"/>
        <v>-7.1239296822888279E-2</v>
      </c>
      <c r="J21">
        <v>6.0000000000000001E-3</v>
      </c>
      <c r="K21">
        <f t="shared" si="0"/>
        <v>-7.7239296822888284E-2</v>
      </c>
      <c r="L21">
        <f t="shared" si="1"/>
        <v>-7.7239296822888281</v>
      </c>
      <c r="M21">
        <v>-3.48</v>
      </c>
    </row>
    <row r="22" spans="1:13" x14ac:dyDescent="0.2">
      <c r="A22" s="1">
        <v>43920</v>
      </c>
      <c r="B22">
        <v>90.650002000000001</v>
      </c>
      <c r="C22">
        <v>94.089995999999999</v>
      </c>
      <c r="D22">
        <v>89.300003000000004</v>
      </c>
      <c r="E22">
        <v>93.5</v>
      </c>
      <c r="F22">
        <v>89.625632999999993</v>
      </c>
      <c r="G22">
        <v>21656900</v>
      </c>
      <c r="I22">
        <f t="shared" si="2"/>
        <v>2.6006743332325461E-2</v>
      </c>
      <c r="J22">
        <v>6.0000000000000001E-3</v>
      </c>
      <c r="K22">
        <f t="shared" si="0"/>
        <v>2.0006743332325459E-2</v>
      </c>
      <c r="L22">
        <f t="shared" si="1"/>
        <v>2.0006743332325461</v>
      </c>
      <c r="M22">
        <v>3.16</v>
      </c>
    </row>
    <row r="23" spans="1:13" x14ac:dyDescent="0.2">
      <c r="A23" s="1">
        <v>43921</v>
      </c>
      <c r="B23">
        <v>92.050003000000004</v>
      </c>
      <c r="C23">
        <v>94.169998000000007</v>
      </c>
      <c r="D23">
        <v>89.339995999999999</v>
      </c>
      <c r="E23">
        <v>90.029999000000004</v>
      </c>
      <c r="F23">
        <v>86.299415999999994</v>
      </c>
      <c r="G23">
        <v>23379300</v>
      </c>
      <c r="I23">
        <f t="shared" si="2"/>
        <v>-3.7112340394851104E-2</v>
      </c>
      <c r="J23">
        <v>6.0000000000000001E-3</v>
      </c>
      <c r="K23">
        <f t="shared" si="0"/>
        <v>-4.3112340394851102E-2</v>
      </c>
      <c r="L23">
        <f t="shared" si="1"/>
        <v>-4.3112340394851101</v>
      </c>
      <c r="M23">
        <v>-1.44</v>
      </c>
    </row>
    <row r="24" spans="1:13" x14ac:dyDescent="0.2">
      <c r="A24" s="1">
        <v>43922</v>
      </c>
      <c r="B24">
        <v>85.099997999999999</v>
      </c>
      <c r="C24">
        <v>86.559997999999993</v>
      </c>
      <c r="D24">
        <v>83.25</v>
      </c>
      <c r="E24">
        <v>84.360000999999997</v>
      </c>
      <c r="F24">
        <v>80.864379999999997</v>
      </c>
      <c r="G24">
        <v>28029600</v>
      </c>
      <c r="I24">
        <f t="shared" si="2"/>
        <v>-6.2978827110487023E-2</v>
      </c>
      <c r="J24">
        <v>0</v>
      </c>
      <c r="K24">
        <f t="shared" si="0"/>
        <v>-6.2978827110487023E-2</v>
      </c>
      <c r="L24">
        <f t="shared" si="1"/>
        <v>-6.2978827110487021</v>
      </c>
      <c r="M24">
        <v>-4.51</v>
      </c>
    </row>
    <row r="25" spans="1:13" x14ac:dyDescent="0.2">
      <c r="A25" s="1">
        <v>43923</v>
      </c>
      <c r="B25">
        <v>83.510002</v>
      </c>
      <c r="C25">
        <v>87.910004000000001</v>
      </c>
      <c r="D25">
        <v>82.959998999999996</v>
      </c>
      <c r="E25">
        <v>87.510002</v>
      </c>
      <c r="F25">
        <v>83.883849999999995</v>
      </c>
      <c r="G25">
        <v>24018000</v>
      </c>
      <c r="I25">
        <f t="shared" si="2"/>
        <v>3.7339926429906446E-2</v>
      </c>
      <c r="J25">
        <v>0</v>
      </c>
      <c r="K25">
        <f t="shared" si="0"/>
        <v>3.7339926429906446E-2</v>
      </c>
      <c r="L25">
        <f t="shared" si="1"/>
        <v>3.7339926429906445</v>
      </c>
      <c r="M25">
        <v>2.1</v>
      </c>
    </row>
    <row r="26" spans="1:13" x14ac:dyDescent="0.2">
      <c r="A26" s="1">
        <v>43924</v>
      </c>
      <c r="B26">
        <v>86</v>
      </c>
      <c r="C26">
        <v>87.480002999999996</v>
      </c>
      <c r="D26">
        <v>82.769997000000004</v>
      </c>
      <c r="E26">
        <v>84.050003000000004</v>
      </c>
      <c r="F26">
        <v>81.404426999999998</v>
      </c>
      <c r="G26">
        <v>21199400</v>
      </c>
      <c r="I26">
        <f t="shared" si="2"/>
        <v>-2.9557811187731573E-2</v>
      </c>
      <c r="J26">
        <v>0</v>
      </c>
      <c r="K26">
        <f t="shared" si="0"/>
        <v>-2.9557811187731573E-2</v>
      </c>
      <c r="L26">
        <f t="shared" si="1"/>
        <v>-2.9557811187731575</v>
      </c>
      <c r="M26">
        <v>-1.64</v>
      </c>
    </row>
    <row r="27" spans="1:13" x14ac:dyDescent="0.2">
      <c r="A27" s="1">
        <v>43927</v>
      </c>
      <c r="B27">
        <v>88.989998</v>
      </c>
      <c r="C27">
        <v>90.989998</v>
      </c>
      <c r="D27">
        <v>87.699996999999996</v>
      </c>
      <c r="E27">
        <v>89.459998999999996</v>
      </c>
      <c r="F27">
        <v>86.644149999999996</v>
      </c>
      <c r="G27">
        <v>26820800</v>
      </c>
      <c r="I27">
        <f t="shared" si="2"/>
        <v>6.4366560801416839E-2</v>
      </c>
      <c r="J27">
        <v>0</v>
      </c>
      <c r="K27">
        <f t="shared" si="0"/>
        <v>6.4366560801416839E-2</v>
      </c>
      <c r="L27">
        <f t="shared" si="1"/>
        <v>6.4366560801416837</v>
      </c>
      <c r="M27">
        <v>7.06</v>
      </c>
    </row>
    <row r="28" spans="1:13" x14ac:dyDescent="0.2">
      <c r="A28" s="1">
        <v>43928</v>
      </c>
      <c r="B28">
        <v>94.449996999999996</v>
      </c>
      <c r="C28">
        <v>94.5</v>
      </c>
      <c r="D28">
        <v>90.379997000000003</v>
      </c>
      <c r="E28">
        <v>90.639999000000003</v>
      </c>
      <c r="F28">
        <v>87.787002999999999</v>
      </c>
      <c r="G28">
        <v>22563800</v>
      </c>
      <c r="I28">
        <f t="shared" si="2"/>
        <v>1.3190192298037459E-2</v>
      </c>
      <c r="J28">
        <v>0</v>
      </c>
      <c r="K28">
        <f t="shared" si="0"/>
        <v>1.3190192298037459E-2</v>
      </c>
      <c r="L28">
        <f t="shared" si="1"/>
        <v>1.319019229803746</v>
      </c>
      <c r="M28">
        <v>-0.11</v>
      </c>
    </row>
    <row r="29" spans="1:13" x14ac:dyDescent="0.2">
      <c r="A29" s="1">
        <v>43929</v>
      </c>
      <c r="B29">
        <v>92.099997999999999</v>
      </c>
      <c r="C29">
        <v>94.860000999999997</v>
      </c>
      <c r="D29">
        <v>90.550003000000004</v>
      </c>
      <c r="E29">
        <v>94.300003000000004</v>
      </c>
      <c r="F29">
        <v>91.331795</v>
      </c>
      <c r="G29">
        <v>22903300</v>
      </c>
      <c r="I29">
        <f t="shared" si="2"/>
        <v>4.0379462549826439E-2</v>
      </c>
      <c r="J29">
        <v>0</v>
      </c>
      <c r="K29">
        <f t="shared" si="0"/>
        <v>4.0379462549826439E-2</v>
      </c>
      <c r="L29">
        <f t="shared" si="1"/>
        <v>4.0379462549826437</v>
      </c>
      <c r="M29">
        <v>3.4</v>
      </c>
    </row>
    <row r="30" spans="1:13" x14ac:dyDescent="0.2">
      <c r="A30" s="1">
        <v>43930</v>
      </c>
      <c r="B30">
        <v>96.919998000000007</v>
      </c>
      <c r="C30">
        <v>104.389999</v>
      </c>
      <c r="D30">
        <v>96.889999000000003</v>
      </c>
      <c r="E30">
        <v>102.760002</v>
      </c>
      <c r="F30">
        <v>99.525513000000004</v>
      </c>
      <c r="G30">
        <v>42084700</v>
      </c>
      <c r="I30">
        <f t="shared" si="2"/>
        <v>8.9713751930529828E-2</v>
      </c>
      <c r="J30">
        <v>0</v>
      </c>
      <c r="K30">
        <f t="shared" si="0"/>
        <v>8.9713751930529828E-2</v>
      </c>
      <c r="L30">
        <f t="shared" si="1"/>
        <v>8.9713751930529835</v>
      </c>
      <c r="M30">
        <v>1.59</v>
      </c>
    </row>
    <row r="31" spans="1:13" x14ac:dyDescent="0.2">
      <c r="A31" s="1">
        <v>43934</v>
      </c>
      <c r="B31">
        <v>103.110001</v>
      </c>
      <c r="C31">
        <v>103.110001</v>
      </c>
      <c r="D31">
        <v>97.300003000000004</v>
      </c>
      <c r="E31">
        <v>98.190002000000007</v>
      </c>
      <c r="F31">
        <v>95.099357999999995</v>
      </c>
      <c r="G31">
        <v>26911900</v>
      </c>
      <c r="I31">
        <f t="shared" si="2"/>
        <v>-4.4472566546831148E-2</v>
      </c>
      <c r="J31">
        <v>0</v>
      </c>
      <c r="K31">
        <f t="shared" si="0"/>
        <v>-4.4472566546831148E-2</v>
      </c>
      <c r="L31">
        <f t="shared" si="1"/>
        <v>-4.4472566546831152</v>
      </c>
      <c r="M31">
        <v>-0.92</v>
      </c>
    </row>
    <row r="32" spans="1:13" x14ac:dyDescent="0.2">
      <c r="A32" s="1">
        <v>43935</v>
      </c>
      <c r="B32">
        <v>101.019997</v>
      </c>
      <c r="C32">
        <v>102</v>
      </c>
      <c r="D32">
        <v>93.639999000000003</v>
      </c>
      <c r="E32">
        <v>95.5</v>
      </c>
      <c r="F32">
        <v>92.494026000000005</v>
      </c>
      <c r="G32">
        <v>46151300</v>
      </c>
      <c r="I32">
        <f t="shared" si="2"/>
        <v>-2.7395894723074684E-2</v>
      </c>
      <c r="J32">
        <v>0</v>
      </c>
      <c r="K32">
        <f t="shared" si="0"/>
        <v>-2.7395894723074684E-2</v>
      </c>
      <c r="L32">
        <f t="shared" si="1"/>
        <v>-2.7395894723074683</v>
      </c>
      <c r="M32">
        <v>3.02</v>
      </c>
    </row>
    <row r="33" spans="1:13" x14ac:dyDescent="0.2">
      <c r="A33" s="1">
        <v>43936</v>
      </c>
      <c r="B33">
        <v>91.150002000000001</v>
      </c>
      <c r="C33">
        <v>92.029999000000004</v>
      </c>
      <c r="D33">
        <v>90.129997000000003</v>
      </c>
      <c r="E33">
        <v>90.790001000000004</v>
      </c>
      <c r="F33">
        <v>87.932281000000003</v>
      </c>
      <c r="G33">
        <v>30118600</v>
      </c>
      <c r="I33">
        <f t="shared" si="2"/>
        <v>-4.9319347392230518E-2</v>
      </c>
      <c r="J33">
        <v>0</v>
      </c>
      <c r="K33">
        <f t="shared" si="0"/>
        <v>-4.9319347392230518E-2</v>
      </c>
      <c r="L33">
        <f t="shared" si="1"/>
        <v>-4.9319347392230517</v>
      </c>
      <c r="M33">
        <v>-2.15</v>
      </c>
    </row>
    <row r="34" spans="1:13" x14ac:dyDescent="0.2">
      <c r="A34" s="1">
        <v>43937</v>
      </c>
      <c r="B34">
        <v>90.230002999999996</v>
      </c>
      <c r="C34">
        <v>90.57</v>
      </c>
      <c r="D34">
        <v>87.050003000000004</v>
      </c>
      <c r="E34">
        <v>87.330001999999993</v>
      </c>
      <c r="F34">
        <v>84.581192000000001</v>
      </c>
      <c r="G34">
        <v>32449600</v>
      </c>
      <c r="I34">
        <f t="shared" si="2"/>
        <v>-3.8109883672868688E-2</v>
      </c>
      <c r="J34">
        <v>0</v>
      </c>
      <c r="K34">
        <f t="shared" si="0"/>
        <v>-3.8109883672868688E-2</v>
      </c>
      <c r="L34">
        <f t="shared" si="1"/>
        <v>-3.810988367286869</v>
      </c>
      <c r="M34">
        <v>0.62</v>
      </c>
    </row>
    <row r="35" spans="1:13" x14ac:dyDescent="0.2">
      <c r="A35" s="1">
        <v>43938</v>
      </c>
      <c r="B35">
        <v>92</v>
      </c>
      <c r="C35">
        <v>95.699996999999996</v>
      </c>
      <c r="D35">
        <v>90.959998999999996</v>
      </c>
      <c r="E35">
        <v>95.18</v>
      </c>
      <c r="F35">
        <v>92.184096999999994</v>
      </c>
      <c r="G35">
        <v>30191900</v>
      </c>
      <c r="I35">
        <f t="shared" si="2"/>
        <v>8.9888837225183496E-2</v>
      </c>
      <c r="J35">
        <v>0</v>
      </c>
      <c r="K35">
        <f t="shared" si="0"/>
        <v>8.9888837225183496E-2</v>
      </c>
      <c r="L35">
        <f t="shared" si="1"/>
        <v>8.9888837225183504</v>
      </c>
      <c r="M35">
        <v>2.72</v>
      </c>
    </row>
    <row r="36" spans="1:13" x14ac:dyDescent="0.2">
      <c r="A36" s="1">
        <v>43941</v>
      </c>
      <c r="B36">
        <v>92.470000999999996</v>
      </c>
      <c r="C36">
        <v>94.709998999999996</v>
      </c>
      <c r="D36">
        <v>90.459998999999996</v>
      </c>
      <c r="E36">
        <v>91.709998999999996</v>
      </c>
      <c r="F36">
        <v>88.823325999999994</v>
      </c>
      <c r="G36">
        <v>23679400</v>
      </c>
      <c r="I36">
        <f t="shared" si="2"/>
        <v>-3.6457166793096643E-2</v>
      </c>
      <c r="J36">
        <v>0</v>
      </c>
      <c r="K36">
        <f t="shared" si="0"/>
        <v>-3.6457166793096643E-2</v>
      </c>
      <c r="L36">
        <f t="shared" si="1"/>
        <v>-3.6457166793096643</v>
      </c>
      <c r="M36">
        <v>-1.56</v>
      </c>
    </row>
    <row r="37" spans="1:13" x14ac:dyDescent="0.2">
      <c r="A37" s="1">
        <v>43942</v>
      </c>
      <c r="B37">
        <v>88.620002999999997</v>
      </c>
      <c r="C37">
        <v>91.379997000000003</v>
      </c>
      <c r="D37">
        <v>88.330001999999993</v>
      </c>
      <c r="E37">
        <v>89.050003000000004</v>
      </c>
      <c r="F37">
        <v>86.247055000000003</v>
      </c>
      <c r="G37">
        <v>23035000</v>
      </c>
      <c r="I37">
        <f t="shared" si="2"/>
        <v>-2.9004441918781463E-2</v>
      </c>
      <c r="J37">
        <v>0</v>
      </c>
      <c r="K37">
        <f t="shared" si="0"/>
        <v>-2.9004441918781463E-2</v>
      </c>
      <c r="L37">
        <f t="shared" si="1"/>
        <v>-2.9004441918781465</v>
      </c>
      <c r="M37">
        <v>-3.08</v>
      </c>
    </row>
    <row r="38" spans="1:13" x14ac:dyDescent="0.2">
      <c r="A38" s="1">
        <v>43943</v>
      </c>
      <c r="B38">
        <v>90.690002000000007</v>
      </c>
      <c r="C38">
        <v>91.870002999999997</v>
      </c>
      <c r="D38">
        <v>89.18</v>
      </c>
      <c r="E38">
        <v>89.339995999999999</v>
      </c>
      <c r="F38">
        <v>86.527916000000005</v>
      </c>
      <c r="G38">
        <v>16706000</v>
      </c>
      <c r="I38">
        <f t="shared" si="2"/>
        <v>3.2564706122429521E-3</v>
      </c>
      <c r="J38">
        <v>0</v>
      </c>
      <c r="K38">
        <f t="shared" si="0"/>
        <v>3.2564706122429521E-3</v>
      </c>
      <c r="L38">
        <f t="shared" si="1"/>
        <v>0.32564706122429521</v>
      </c>
      <c r="M38">
        <v>2.31</v>
      </c>
    </row>
    <row r="39" spans="1:13" x14ac:dyDescent="0.2">
      <c r="A39" s="1">
        <v>43944</v>
      </c>
      <c r="B39">
        <v>89.739998</v>
      </c>
      <c r="C39">
        <v>91.279999000000004</v>
      </c>
      <c r="D39">
        <v>89.260002</v>
      </c>
      <c r="E39">
        <v>89.389999000000003</v>
      </c>
      <c r="F39">
        <v>86.576340000000002</v>
      </c>
      <c r="G39">
        <v>16638800</v>
      </c>
      <c r="I39">
        <f t="shared" si="2"/>
        <v>5.5963441902376495E-4</v>
      </c>
      <c r="J39">
        <v>0</v>
      </c>
      <c r="K39">
        <f t="shared" si="0"/>
        <v>5.5963441902376495E-4</v>
      </c>
      <c r="L39">
        <f t="shared" si="1"/>
        <v>5.5963441902376496E-2</v>
      </c>
      <c r="M39">
        <v>0.13</v>
      </c>
    </row>
    <row r="40" spans="1:13" x14ac:dyDescent="0.2">
      <c r="A40" s="1">
        <v>43945</v>
      </c>
      <c r="B40">
        <v>90.639999000000003</v>
      </c>
      <c r="C40">
        <v>91.099997999999999</v>
      </c>
      <c r="D40">
        <v>88.489998</v>
      </c>
      <c r="E40">
        <v>90.709998999999996</v>
      </c>
      <c r="F40">
        <v>87.854789999999994</v>
      </c>
      <c r="G40">
        <v>15815300</v>
      </c>
      <c r="I40">
        <f t="shared" si="2"/>
        <v>1.4766736500988519E-2</v>
      </c>
      <c r="J40">
        <v>0</v>
      </c>
      <c r="K40">
        <f t="shared" si="0"/>
        <v>1.4766736500988519E-2</v>
      </c>
      <c r="L40">
        <f t="shared" si="1"/>
        <v>1.476673650098852</v>
      </c>
      <c r="M40">
        <v>1.44</v>
      </c>
    </row>
    <row r="41" spans="1:13" x14ac:dyDescent="0.2">
      <c r="A41" s="1">
        <v>43948</v>
      </c>
      <c r="B41">
        <v>91.940002000000007</v>
      </c>
      <c r="C41">
        <v>95.629997000000003</v>
      </c>
      <c r="D41">
        <v>91.540001000000004</v>
      </c>
      <c r="E41">
        <v>94.620002999999997</v>
      </c>
      <c r="F41">
        <v>91.641730999999993</v>
      </c>
      <c r="G41">
        <v>22870200</v>
      </c>
      <c r="I41">
        <f t="shared" si="2"/>
        <v>4.3104547856753161E-2</v>
      </c>
      <c r="J41">
        <v>0</v>
      </c>
      <c r="K41">
        <f t="shared" si="0"/>
        <v>4.3104547856753161E-2</v>
      </c>
      <c r="L41">
        <f t="shared" si="1"/>
        <v>4.3104547856753159</v>
      </c>
      <c r="M41">
        <v>1.73</v>
      </c>
    </row>
    <row r="42" spans="1:13" x14ac:dyDescent="0.2">
      <c r="A42" s="1">
        <v>43949</v>
      </c>
      <c r="B42">
        <v>97.809997999999993</v>
      </c>
      <c r="C42">
        <v>98.360000999999997</v>
      </c>
      <c r="D42">
        <v>95.029999000000004</v>
      </c>
      <c r="E42">
        <v>95.290001000000004</v>
      </c>
      <c r="F42">
        <v>92.290633999999997</v>
      </c>
      <c r="G42">
        <v>20238900</v>
      </c>
      <c r="I42">
        <f t="shared" si="2"/>
        <v>7.0808679945166498E-3</v>
      </c>
      <c r="J42">
        <v>0</v>
      </c>
      <c r="K42">
        <f t="shared" si="0"/>
        <v>7.0808679945166498E-3</v>
      </c>
      <c r="L42">
        <f t="shared" si="1"/>
        <v>0.70808679945166497</v>
      </c>
      <c r="M42">
        <v>-0.45</v>
      </c>
    </row>
    <row r="43" spans="1:13" x14ac:dyDescent="0.2">
      <c r="A43" s="1">
        <v>43950</v>
      </c>
      <c r="B43">
        <v>99.080001999999993</v>
      </c>
      <c r="C43">
        <v>99.449996999999996</v>
      </c>
      <c r="D43">
        <v>97.269997000000004</v>
      </c>
      <c r="E43">
        <v>97.860000999999997</v>
      </c>
      <c r="F43">
        <v>94.779739000000006</v>
      </c>
      <c r="G43">
        <v>20462600</v>
      </c>
      <c r="I43">
        <f t="shared" si="2"/>
        <v>2.6970288230981371E-2</v>
      </c>
      <c r="J43">
        <v>0</v>
      </c>
      <c r="K43">
        <f t="shared" si="0"/>
        <v>2.6970288230981371E-2</v>
      </c>
      <c r="L43">
        <f t="shared" si="1"/>
        <v>2.6970288230981372</v>
      </c>
      <c r="M43">
        <v>2.92</v>
      </c>
    </row>
    <row r="44" spans="1:13" x14ac:dyDescent="0.2">
      <c r="A44" s="1">
        <v>43951</v>
      </c>
      <c r="B44">
        <v>95.599997999999999</v>
      </c>
      <c r="C44">
        <v>96.839995999999999</v>
      </c>
      <c r="D44">
        <v>94.550003000000004</v>
      </c>
      <c r="E44">
        <v>95.760002</v>
      </c>
      <c r="F44">
        <v>92.745841999999996</v>
      </c>
      <c r="G44">
        <v>19127600</v>
      </c>
      <c r="I44">
        <f t="shared" si="2"/>
        <v>-2.1459196041888343E-2</v>
      </c>
      <c r="J44">
        <v>0</v>
      </c>
      <c r="K44">
        <f t="shared" si="0"/>
        <v>-2.1459196041888343E-2</v>
      </c>
      <c r="L44">
        <f t="shared" si="1"/>
        <v>-2.1459196041888342</v>
      </c>
      <c r="M44">
        <v>-1.18</v>
      </c>
    </row>
    <row r="45" spans="1:13" x14ac:dyDescent="0.2">
      <c r="A45" s="1">
        <v>43952</v>
      </c>
      <c r="B45">
        <v>93.5</v>
      </c>
      <c r="C45">
        <v>93.739998</v>
      </c>
      <c r="D45">
        <v>91.839995999999999</v>
      </c>
      <c r="E45">
        <v>93.25</v>
      </c>
      <c r="F45">
        <v>90.314850000000007</v>
      </c>
      <c r="G45">
        <v>18547700</v>
      </c>
      <c r="I45">
        <f t="shared" si="2"/>
        <v>-2.6211331393163579E-2</v>
      </c>
      <c r="J45">
        <v>0</v>
      </c>
      <c r="K45">
        <f t="shared" si="0"/>
        <v>-2.6211331393163579E-2</v>
      </c>
      <c r="L45">
        <f t="shared" si="1"/>
        <v>-2.6211331393163579</v>
      </c>
      <c r="M45">
        <v>-2.91</v>
      </c>
    </row>
    <row r="46" spans="1:13" x14ac:dyDescent="0.2">
      <c r="A46" s="1">
        <v>43955</v>
      </c>
      <c r="B46">
        <v>92.019997000000004</v>
      </c>
      <c r="C46">
        <v>92.669998000000007</v>
      </c>
      <c r="D46">
        <v>90.800003000000004</v>
      </c>
      <c r="E46">
        <v>92.139999000000003</v>
      </c>
      <c r="F46">
        <v>89.239784</v>
      </c>
      <c r="G46">
        <v>15725900</v>
      </c>
      <c r="I46">
        <f t="shared" si="2"/>
        <v>-1.1903535243650482E-2</v>
      </c>
      <c r="J46">
        <v>0</v>
      </c>
      <c r="K46">
        <f t="shared" si="0"/>
        <v>-1.1903535243650482E-2</v>
      </c>
      <c r="L46">
        <f t="shared" si="1"/>
        <v>-1.1903535243650483</v>
      </c>
      <c r="M46">
        <v>0.53</v>
      </c>
    </row>
    <row r="47" spans="1:13" x14ac:dyDescent="0.2">
      <c r="A47" s="1">
        <v>43956</v>
      </c>
      <c r="B47">
        <v>93.650002000000001</v>
      </c>
      <c r="C47">
        <v>94.209998999999996</v>
      </c>
      <c r="D47">
        <v>91.900002000000001</v>
      </c>
      <c r="E47">
        <v>92</v>
      </c>
      <c r="F47">
        <v>89.104195000000004</v>
      </c>
      <c r="G47">
        <v>18064100</v>
      </c>
      <c r="I47">
        <f t="shared" si="2"/>
        <v>-1.5193783974196526E-3</v>
      </c>
      <c r="J47">
        <v>0</v>
      </c>
      <c r="K47">
        <f t="shared" si="0"/>
        <v>-1.5193783974196526E-3</v>
      </c>
      <c r="L47">
        <f t="shared" si="1"/>
        <v>-0.15193783974196526</v>
      </c>
      <c r="M47">
        <v>0.95</v>
      </c>
    </row>
    <row r="48" spans="1:13" x14ac:dyDescent="0.2">
      <c r="A48" s="1">
        <v>43957</v>
      </c>
      <c r="B48">
        <v>92.160004000000001</v>
      </c>
      <c r="C48">
        <v>92.760002</v>
      </c>
      <c r="D48">
        <v>89.93</v>
      </c>
      <c r="E48">
        <v>90.269997000000004</v>
      </c>
      <c r="F48">
        <v>87.428635</v>
      </c>
      <c r="G48">
        <v>20978000</v>
      </c>
      <c r="I48">
        <f t="shared" si="2"/>
        <v>-1.8804501853139512E-2</v>
      </c>
      <c r="J48">
        <v>0</v>
      </c>
      <c r="K48">
        <f t="shared" si="0"/>
        <v>-1.8804501853139512E-2</v>
      </c>
      <c r="L48">
        <f t="shared" si="1"/>
        <v>-1.8804501853139513</v>
      </c>
      <c r="M48">
        <v>-0.52</v>
      </c>
    </row>
    <row r="49" spans="1:13" x14ac:dyDescent="0.2">
      <c r="A49" s="1">
        <v>43958</v>
      </c>
      <c r="B49">
        <v>91.339995999999999</v>
      </c>
      <c r="C49">
        <v>92.910004000000001</v>
      </c>
      <c r="D49">
        <v>90.580001999999993</v>
      </c>
      <c r="E49">
        <v>91.209998999999996</v>
      </c>
      <c r="F49">
        <v>88.339057999999994</v>
      </c>
      <c r="G49">
        <v>16771900</v>
      </c>
      <c r="I49">
        <f t="shared" si="2"/>
        <v>1.0413327395538022E-2</v>
      </c>
      <c r="J49">
        <v>0</v>
      </c>
      <c r="K49">
        <f t="shared" si="0"/>
        <v>1.0413327395538022E-2</v>
      </c>
      <c r="L49">
        <f t="shared" si="1"/>
        <v>1.0413327395538023</v>
      </c>
      <c r="M49">
        <v>1.33</v>
      </c>
    </row>
    <row r="50" spans="1:13" x14ac:dyDescent="0.2">
      <c r="A50" s="1">
        <v>43959</v>
      </c>
      <c r="B50">
        <v>92.800003000000004</v>
      </c>
      <c r="C50">
        <v>94.080001999999993</v>
      </c>
      <c r="D50">
        <v>92.110000999999997</v>
      </c>
      <c r="E50">
        <v>92.699996999999996</v>
      </c>
      <c r="F50">
        <v>89.782157999999995</v>
      </c>
      <c r="G50">
        <v>20494900</v>
      </c>
      <c r="I50">
        <f t="shared" si="2"/>
        <v>1.6335922441011327E-2</v>
      </c>
      <c r="J50">
        <v>0</v>
      </c>
      <c r="K50">
        <f t="shared" si="0"/>
        <v>1.6335922441011327E-2</v>
      </c>
      <c r="L50">
        <f t="shared" si="1"/>
        <v>1.6335922441011328</v>
      </c>
      <c r="M50">
        <v>1.9</v>
      </c>
    </row>
    <row r="51" spans="1:13" x14ac:dyDescent="0.2">
      <c r="A51" s="1">
        <v>43962</v>
      </c>
      <c r="B51">
        <v>91.110000999999997</v>
      </c>
      <c r="C51">
        <v>91.110000999999997</v>
      </c>
      <c r="D51">
        <v>89.330001999999993</v>
      </c>
      <c r="E51">
        <v>89.970000999999996</v>
      </c>
      <c r="F51">
        <v>87.138092</v>
      </c>
      <c r="G51">
        <v>31907600</v>
      </c>
      <c r="I51">
        <f t="shared" si="2"/>
        <v>-2.9449793354265279E-2</v>
      </c>
      <c r="J51">
        <v>0</v>
      </c>
      <c r="K51">
        <f t="shared" si="0"/>
        <v>-2.9449793354265279E-2</v>
      </c>
      <c r="L51">
        <f t="shared" si="1"/>
        <v>-2.9449793354265279</v>
      </c>
      <c r="M51">
        <v>7.0000000000000007E-2</v>
      </c>
    </row>
    <row r="52" spans="1:13" x14ac:dyDescent="0.2">
      <c r="A52" s="1">
        <v>43963</v>
      </c>
      <c r="B52">
        <v>90.150002000000001</v>
      </c>
      <c r="C52">
        <v>90.790001000000004</v>
      </c>
      <c r="D52">
        <v>86.900002000000001</v>
      </c>
      <c r="E52">
        <v>87.029999000000004</v>
      </c>
      <c r="F52">
        <v>84.290627000000001</v>
      </c>
      <c r="G52">
        <v>27962900</v>
      </c>
      <c r="I52">
        <f t="shared" si="2"/>
        <v>-3.267761474511055E-2</v>
      </c>
      <c r="J52">
        <v>0</v>
      </c>
      <c r="K52">
        <f t="shared" si="0"/>
        <v>-3.267761474511055E-2</v>
      </c>
      <c r="L52">
        <f t="shared" si="1"/>
        <v>-3.267761474511055</v>
      </c>
      <c r="M52">
        <v>-2.06</v>
      </c>
    </row>
    <row r="53" spans="1:13" x14ac:dyDescent="0.2">
      <c r="A53" s="1">
        <v>43964</v>
      </c>
      <c r="B53">
        <v>86.379997000000003</v>
      </c>
      <c r="C53">
        <v>86.860000999999997</v>
      </c>
      <c r="D53">
        <v>83.400002000000001</v>
      </c>
      <c r="E53">
        <v>84.029999000000004</v>
      </c>
      <c r="F53">
        <v>81.385047999999998</v>
      </c>
      <c r="G53">
        <v>35451600</v>
      </c>
      <c r="I53">
        <f t="shared" si="2"/>
        <v>-3.4470961996759177E-2</v>
      </c>
      <c r="J53">
        <v>0</v>
      </c>
      <c r="K53">
        <f t="shared" si="0"/>
        <v>-3.4470961996759177E-2</v>
      </c>
      <c r="L53">
        <f t="shared" si="1"/>
        <v>-3.4470961996759177</v>
      </c>
      <c r="M53">
        <v>-1.89</v>
      </c>
    </row>
    <row r="54" spans="1:13" x14ac:dyDescent="0.2">
      <c r="A54" s="1">
        <v>43965</v>
      </c>
      <c r="B54">
        <v>82.720000999999996</v>
      </c>
      <c r="C54">
        <v>88.110000999999997</v>
      </c>
      <c r="D54">
        <v>82.400002000000001</v>
      </c>
      <c r="E54">
        <v>87.519997000000004</v>
      </c>
      <c r="F54">
        <v>84.765213000000003</v>
      </c>
      <c r="G54">
        <v>35152500</v>
      </c>
      <c r="I54">
        <f t="shared" si="2"/>
        <v>4.1532997559944981E-2</v>
      </c>
      <c r="J54">
        <v>0</v>
      </c>
      <c r="K54">
        <f t="shared" si="0"/>
        <v>4.1532997559944981E-2</v>
      </c>
      <c r="L54">
        <f t="shared" si="1"/>
        <v>4.1532997559944977</v>
      </c>
      <c r="M54">
        <v>1.1399999999999999</v>
      </c>
    </row>
    <row r="55" spans="1:13" x14ac:dyDescent="0.2">
      <c r="A55" s="1">
        <v>43966</v>
      </c>
      <c r="B55">
        <v>86.849997999999999</v>
      </c>
      <c r="C55">
        <v>87.279999000000004</v>
      </c>
      <c r="D55">
        <v>85.300003000000004</v>
      </c>
      <c r="E55">
        <v>85.900002000000001</v>
      </c>
      <c r="F55">
        <v>83.196197999999995</v>
      </c>
      <c r="G55">
        <v>26099000</v>
      </c>
      <c r="I55">
        <f t="shared" si="2"/>
        <v>-1.8510128677432892E-2</v>
      </c>
      <c r="J55">
        <v>0</v>
      </c>
      <c r="K55">
        <f t="shared" si="0"/>
        <v>-1.8510128677432892E-2</v>
      </c>
      <c r="L55">
        <f t="shared" si="1"/>
        <v>-1.8510128677432891</v>
      </c>
      <c r="M55">
        <v>0.56999999999999995</v>
      </c>
    </row>
    <row r="56" spans="1:13" x14ac:dyDescent="0.2">
      <c r="A56" s="1">
        <v>43969</v>
      </c>
      <c r="B56">
        <v>88.690002000000007</v>
      </c>
      <c r="C56">
        <v>91.150002000000001</v>
      </c>
      <c r="D56">
        <v>87.879997000000003</v>
      </c>
      <c r="E56">
        <v>90.449996999999996</v>
      </c>
      <c r="F56">
        <v>87.602981999999997</v>
      </c>
      <c r="G56">
        <v>30528700</v>
      </c>
      <c r="I56">
        <f t="shared" si="2"/>
        <v>5.2968574357208031E-2</v>
      </c>
      <c r="J56">
        <v>0</v>
      </c>
      <c r="K56">
        <f t="shared" si="0"/>
        <v>5.2968574357208031E-2</v>
      </c>
      <c r="L56">
        <f t="shared" si="1"/>
        <v>5.2968574357208027</v>
      </c>
      <c r="M56">
        <v>3.24</v>
      </c>
    </row>
    <row r="57" spans="1:13" x14ac:dyDescent="0.2">
      <c r="A57" s="1">
        <v>43970</v>
      </c>
      <c r="B57">
        <v>90.050003000000004</v>
      </c>
      <c r="C57">
        <v>91.199996999999996</v>
      </c>
      <c r="D57">
        <v>88.589995999999999</v>
      </c>
      <c r="E57">
        <v>88.669998000000007</v>
      </c>
      <c r="F57">
        <v>85.879013</v>
      </c>
      <c r="G57">
        <v>19597300</v>
      </c>
      <c r="I57">
        <f t="shared" si="2"/>
        <v>-1.9679341509173703E-2</v>
      </c>
      <c r="J57">
        <v>0</v>
      </c>
      <c r="K57">
        <f t="shared" si="0"/>
        <v>-1.9679341509173703E-2</v>
      </c>
      <c r="L57">
        <f t="shared" si="1"/>
        <v>-1.9679341509173702</v>
      </c>
      <c r="M57">
        <v>-1.01</v>
      </c>
    </row>
    <row r="58" spans="1:13" x14ac:dyDescent="0.2">
      <c r="A58" s="1">
        <v>43971</v>
      </c>
      <c r="B58">
        <v>90.709998999999996</v>
      </c>
      <c r="C58">
        <v>92.389999000000003</v>
      </c>
      <c r="D58">
        <v>90.370002999999997</v>
      </c>
      <c r="E58">
        <v>91.330001999999993</v>
      </c>
      <c r="F58">
        <v>88.455284000000006</v>
      </c>
      <c r="G58">
        <v>20552400</v>
      </c>
      <c r="I58">
        <f t="shared" si="2"/>
        <v>2.9998842674170061E-2</v>
      </c>
      <c r="J58">
        <v>0</v>
      </c>
      <c r="K58">
        <f t="shared" si="0"/>
        <v>2.9998842674170061E-2</v>
      </c>
      <c r="L58">
        <f t="shared" si="1"/>
        <v>2.9998842674170061</v>
      </c>
      <c r="M58">
        <v>1.8</v>
      </c>
    </row>
    <row r="59" spans="1:13" x14ac:dyDescent="0.2">
      <c r="A59" s="1">
        <v>43972</v>
      </c>
      <c r="B59">
        <v>90.269997000000004</v>
      </c>
      <c r="C59">
        <v>91.760002</v>
      </c>
      <c r="D59">
        <v>89.669998000000007</v>
      </c>
      <c r="E59">
        <v>90.169998000000007</v>
      </c>
      <c r="F59">
        <v>87.331787000000006</v>
      </c>
      <c r="G59">
        <v>14621400</v>
      </c>
      <c r="I59">
        <f t="shared" si="2"/>
        <v>-1.2701298884530181E-2</v>
      </c>
      <c r="J59">
        <v>0</v>
      </c>
      <c r="K59">
        <f t="shared" si="0"/>
        <v>-1.2701298884530181E-2</v>
      </c>
      <c r="L59">
        <f t="shared" si="1"/>
        <v>-1.2701298884530181</v>
      </c>
      <c r="M59">
        <v>-0.7</v>
      </c>
    </row>
    <row r="60" spans="1:13" x14ac:dyDescent="0.2">
      <c r="A60" s="1">
        <v>43973</v>
      </c>
      <c r="B60">
        <v>90.010002</v>
      </c>
      <c r="C60">
        <v>90.360000999999997</v>
      </c>
      <c r="D60">
        <v>88.720000999999996</v>
      </c>
      <c r="E60">
        <v>89.470000999999996</v>
      </c>
      <c r="F60">
        <v>86.653830999999997</v>
      </c>
      <c r="G60">
        <v>13557900</v>
      </c>
      <c r="I60">
        <f t="shared" si="2"/>
        <v>-7.7629924142054814E-3</v>
      </c>
      <c r="J60">
        <v>0</v>
      </c>
      <c r="K60">
        <f t="shared" si="0"/>
        <v>-7.7629924142054814E-3</v>
      </c>
      <c r="L60">
        <f t="shared" si="1"/>
        <v>-0.77629924142054818</v>
      </c>
      <c r="M60">
        <v>0.27</v>
      </c>
    </row>
    <row r="61" spans="1:13" x14ac:dyDescent="0.2">
      <c r="A61" s="1">
        <v>43977</v>
      </c>
      <c r="B61">
        <v>92.889999000000003</v>
      </c>
      <c r="C61">
        <v>97.5</v>
      </c>
      <c r="D61">
        <v>92.610000999999997</v>
      </c>
      <c r="E61">
        <v>95.82</v>
      </c>
      <c r="F61">
        <v>92.803955000000002</v>
      </c>
      <c r="G61">
        <v>41233900</v>
      </c>
      <c r="I61">
        <f t="shared" si="2"/>
        <v>7.0973480676232367E-2</v>
      </c>
      <c r="J61">
        <v>0</v>
      </c>
      <c r="K61">
        <f t="shared" si="0"/>
        <v>7.0973480676232367E-2</v>
      </c>
      <c r="L61">
        <f t="shared" si="1"/>
        <v>7.097348067623237</v>
      </c>
      <c r="M61">
        <v>1.23</v>
      </c>
    </row>
    <row r="62" spans="1:13" x14ac:dyDescent="0.2">
      <c r="A62" s="1">
        <v>43978</v>
      </c>
      <c r="B62">
        <v>102.07</v>
      </c>
      <c r="C62">
        <v>102.58000199999999</v>
      </c>
      <c r="D62">
        <v>98.800003000000004</v>
      </c>
      <c r="E62">
        <v>101.370003</v>
      </c>
      <c r="F62">
        <v>98.179267999999993</v>
      </c>
      <c r="G62">
        <v>39402000</v>
      </c>
      <c r="I62">
        <f t="shared" si="2"/>
        <v>5.7921162950436665E-2</v>
      </c>
      <c r="J62">
        <v>0</v>
      </c>
      <c r="K62">
        <f t="shared" si="0"/>
        <v>5.7921162950436665E-2</v>
      </c>
      <c r="L62">
        <f t="shared" si="1"/>
        <v>5.7921162950436669</v>
      </c>
      <c r="M62">
        <v>1.54</v>
      </c>
    </row>
    <row r="63" spans="1:13" x14ac:dyDescent="0.2">
      <c r="A63" s="1">
        <v>43979</v>
      </c>
      <c r="B63">
        <v>102.94000200000001</v>
      </c>
      <c r="C63">
        <v>102.949997</v>
      </c>
      <c r="D63">
        <v>99.400002000000001</v>
      </c>
      <c r="E63">
        <v>99.860000999999997</v>
      </c>
      <c r="F63">
        <v>96.716789000000006</v>
      </c>
      <c r="G63">
        <v>24713900</v>
      </c>
      <c r="I63">
        <f t="shared" si="2"/>
        <v>-1.4896006354416777E-2</v>
      </c>
      <c r="J63">
        <v>0</v>
      </c>
      <c r="K63">
        <f t="shared" si="0"/>
        <v>-1.4896006354416777E-2</v>
      </c>
      <c r="L63">
        <f t="shared" si="1"/>
        <v>-1.4896006354416778</v>
      </c>
      <c r="M63">
        <v>-0.41</v>
      </c>
    </row>
    <row r="64" spans="1:13" x14ac:dyDescent="0.2">
      <c r="A64" s="1">
        <v>43980</v>
      </c>
      <c r="B64">
        <v>98.660004000000001</v>
      </c>
      <c r="C64">
        <v>99.18</v>
      </c>
      <c r="D64">
        <v>96.779999000000004</v>
      </c>
      <c r="E64">
        <v>97.309997999999993</v>
      </c>
      <c r="F64">
        <v>94.247055000000003</v>
      </c>
      <c r="G64">
        <v>26538200</v>
      </c>
      <c r="I64">
        <f t="shared" si="2"/>
        <v>-2.5535731960663027E-2</v>
      </c>
      <c r="J64">
        <v>0</v>
      </c>
      <c r="K64">
        <f t="shared" si="0"/>
        <v>-2.5535731960663027E-2</v>
      </c>
      <c r="L64">
        <f t="shared" si="1"/>
        <v>-2.5535731960663028</v>
      </c>
      <c r="M64">
        <v>0.6</v>
      </c>
    </row>
    <row r="65" spans="1:13" x14ac:dyDescent="0.2">
      <c r="A65" s="1">
        <v>43983</v>
      </c>
      <c r="B65">
        <v>97.75</v>
      </c>
      <c r="C65">
        <v>99.510002</v>
      </c>
      <c r="D65">
        <v>97.379997000000003</v>
      </c>
      <c r="E65">
        <v>98.599997999999999</v>
      </c>
      <c r="F65">
        <v>95.496444999999994</v>
      </c>
      <c r="G65">
        <v>15176800</v>
      </c>
      <c r="I65">
        <f t="shared" si="2"/>
        <v>1.325654154392401E-2</v>
      </c>
      <c r="J65">
        <v>0</v>
      </c>
      <c r="K65">
        <f t="shared" si="0"/>
        <v>1.325654154392401E-2</v>
      </c>
      <c r="L65">
        <f t="shared" si="1"/>
        <v>1.325654154392401</v>
      </c>
      <c r="M65">
        <v>0.52</v>
      </c>
    </row>
    <row r="66" spans="1:13" x14ac:dyDescent="0.2">
      <c r="A66" s="1">
        <v>43984</v>
      </c>
      <c r="B66">
        <v>100.279999</v>
      </c>
      <c r="C66">
        <v>100.41999800000001</v>
      </c>
      <c r="D66">
        <v>97.93</v>
      </c>
      <c r="E66">
        <v>98.93</v>
      </c>
      <c r="F66">
        <v>95.816063</v>
      </c>
      <c r="G66">
        <v>21195000</v>
      </c>
      <c r="I66">
        <f t="shared" si="2"/>
        <v>3.3469099294743958E-3</v>
      </c>
      <c r="J66">
        <v>0</v>
      </c>
      <c r="K66">
        <f t="shared" si="0"/>
        <v>3.3469099294743958E-3</v>
      </c>
      <c r="L66">
        <f t="shared" si="1"/>
        <v>0.33469099294743959</v>
      </c>
      <c r="M66">
        <v>0.81</v>
      </c>
    </row>
    <row r="67" spans="1:13" x14ac:dyDescent="0.2">
      <c r="A67" s="1">
        <v>43985</v>
      </c>
      <c r="B67">
        <v>101.58000199999999</v>
      </c>
      <c r="C67">
        <v>104.91999800000001</v>
      </c>
      <c r="D67">
        <v>101.05999799999999</v>
      </c>
      <c r="E67">
        <v>104.269997</v>
      </c>
      <c r="F67">
        <v>100.987976</v>
      </c>
      <c r="G67">
        <v>25941100</v>
      </c>
      <c r="I67">
        <f t="shared" si="2"/>
        <v>5.397751523144928E-2</v>
      </c>
      <c r="J67">
        <v>0</v>
      </c>
      <c r="K67">
        <f t="shared" si="0"/>
        <v>5.397751523144928E-2</v>
      </c>
      <c r="L67">
        <f t="shared" si="1"/>
        <v>5.3977515231449278</v>
      </c>
      <c r="M67">
        <v>1.42</v>
      </c>
    </row>
    <row r="68" spans="1:13" x14ac:dyDescent="0.2">
      <c r="A68" s="1">
        <v>43986</v>
      </c>
      <c r="B68">
        <v>103.82</v>
      </c>
      <c r="C68">
        <v>106.610001</v>
      </c>
      <c r="D68">
        <v>102.790001</v>
      </c>
      <c r="E68">
        <v>106.44000200000001</v>
      </c>
      <c r="F68">
        <v>103.08968400000001</v>
      </c>
      <c r="G68">
        <v>26784700</v>
      </c>
      <c r="I68">
        <f t="shared" si="2"/>
        <v>2.0811467693936176E-2</v>
      </c>
      <c r="J68">
        <v>0</v>
      </c>
      <c r="K68">
        <f t="shared" ref="K68:K131" si="3">I68-J68</f>
        <v>2.0811467693936176E-2</v>
      </c>
      <c r="L68">
        <f t="shared" ref="L68:L131" si="4">100*K68</f>
        <v>2.0811467693936176</v>
      </c>
      <c r="M68">
        <v>-0.34</v>
      </c>
    </row>
    <row r="69" spans="1:13" x14ac:dyDescent="0.2">
      <c r="A69" s="1">
        <v>43987</v>
      </c>
      <c r="B69">
        <v>114.93</v>
      </c>
      <c r="C69">
        <v>115.769997</v>
      </c>
      <c r="D69">
        <v>109.529999</v>
      </c>
      <c r="E69">
        <v>111.230003</v>
      </c>
      <c r="F69">
        <v>107.72891199999999</v>
      </c>
      <c r="G69">
        <v>42231000</v>
      </c>
      <c r="I69">
        <f t="shared" ref="I69:I132" si="5">(F69-F68)/F68</f>
        <v>4.5001864590059157E-2</v>
      </c>
      <c r="J69">
        <v>0</v>
      </c>
      <c r="K69">
        <f t="shared" si="3"/>
        <v>4.5001864590059157E-2</v>
      </c>
      <c r="L69">
        <f t="shared" si="4"/>
        <v>4.5001864590059153</v>
      </c>
      <c r="M69">
        <v>2.5</v>
      </c>
    </row>
    <row r="70" spans="1:13" x14ac:dyDescent="0.2">
      <c r="A70" s="1">
        <v>43990</v>
      </c>
      <c r="B70">
        <v>113.410004</v>
      </c>
      <c r="C70">
        <v>114.19000200000001</v>
      </c>
      <c r="D70">
        <v>111.94000200000001</v>
      </c>
      <c r="E70">
        <v>113.449997</v>
      </c>
      <c r="F70">
        <v>109.879013</v>
      </c>
      <c r="G70">
        <v>24881800</v>
      </c>
      <c r="I70">
        <f t="shared" si="5"/>
        <v>1.9958439754780097E-2</v>
      </c>
      <c r="J70">
        <v>0</v>
      </c>
      <c r="K70">
        <f t="shared" si="3"/>
        <v>1.9958439754780097E-2</v>
      </c>
      <c r="L70">
        <f t="shared" si="4"/>
        <v>1.9958439754780097</v>
      </c>
      <c r="M70">
        <v>1.39</v>
      </c>
    </row>
    <row r="71" spans="1:13" x14ac:dyDescent="0.2">
      <c r="A71" s="1">
        <v>43991</v>
      </c>
      <c r="B71">
        <v>110.650002</v>
      </c>
      <c r="C71">
        <v>111.629997</v>
      </c>
      <c r="D71">
        <v>109.010002</v>
      </c>
      <c r="E71">
        <v>110.540001</v>
      </c>
      <c r="F71">
        <v>107.060616</v>
      </c>
      <c r="G71">
        <v>17031100</v>
      </c>
      <c r="I71">
        <f t="shared" si="5"/>
        <v>-2.5650002880895958E-2</v>
      </c>
      <c r="J71">
        <v>0</v>
      </c>
      <c r="K71">
        <f t="shared" si="3"/>
        <v>-2.5650002880895958E-2</v>
      </c>
      <c r="L71">
        <f t="shared" si="4"/>
        <v>-2.5650002880895957</v>
      </c>
      <c r="M71">
        <v>-0.85</v>
      </c>
    </row>
    <row r="72" spans="1:13" x14ac:dyDescent="0.2">
      <c r="A72" s="1">
        <v>43992</v>
      </c>
      <c r="B72">
        <v>110.459999</v>
      </c>
      <c r="C72">
        <v>110.510002</v>
      </c>
      <c r="D72">
        <v>105.849998</v>
      </c>
      <c r="E72">
        <v>106.05999799999999</v>
      </c>
      <c r="F72">
        <v>102.72163399999999</v>
      </c>
      <c r="G72">
        <v>24913300</v>
      </c>
      <c r="I72">
        <f t="shared" si="5"/>
        <v>-4.0528274188147785E-2</v>
      </c>
      <c r="J72">
        <v>0</v>
      </c>
      <c r="K72">
        <f t="shared" si="3"/>
        <v>-4.0528274188147785E-2</v>
      </c>
      <c r="L72">
        <f t="shared" si="4"/>
        <v>-4.0528274188147781</v>
      </c>
      <c r="M72">
        <v>-0.56000000000000005</v>
      </c>
    </row>
    <row r="73" spans="1:13" x14ac:dyDescent="0.2">
      <c r="A73" s="1">
        <v>43993</v>
      </c>
      <c r="B73">
        <v>100.029999</v>
      </c>
      <c r="C73">
        <v>101.58000199999999</v>
      </c>
      <c r="D73">
        <v>96.540001000000004</v>
      </c>
      <c r="E73">
        <v>97.209998999999996</v>
      </c>
      <c r="F73">
        <v>94.150199999999998</v>
      </c>
      <c r="G73">
        <v>36259200</v>
      </c>
      <c r="I73">
        <f t="shared" si="5"/>
        <v>-8.3443318278990736E-2</v>
      </c>
      <c r="J73">
        <v>0</v>
      </c>
      <c r="K73">
        <f t="shared" si="3"/>
        <v>-8.3443318278990736E-2</v>
      </c>
      <c r="L73">
        <f t="shared" si="4"/>
        <v>-8.3443318278990741</v>
      </c>
      <c r="M73">
        <v>-5.91</v>
      </c>
    </row>
    <row r="74" spans="1:13" x14ac:dyDescent="0.2">
      <c r="A74" s="1">
        <v>43994</v>
      </c>
      <c r="B74">
        <v>100.709999</v>
      </c>
      <c r="C74">
        <v>101.129997</v>
      </c>
      <c r="D74">
        <v>97.330001999999993</v>
      </c>
      <c r="E74">
        <v>99.870002999999997</v>
      </c>
      <c r="F74">
        <v>96.726471000000004</v>
      </c>
      <c r="G74">
        <v>24856800</v>
      </c>
      <c r="I74">
        <f t="shared" si="5"/>
        <v>2.736341505381832E-2</v>
      </c>
      <c r="J74">
        <v>0</v>
      </c>
      <c r="K74">
        <f t="shared" si="3"/>
        <v>2.736341505381832E-2</v>
      </c>
      <c r="L74">
        <f t="shared" si="4"/>
        <v>2.7363415053818319</v>
      </c>
      <c r="M74">
        <v>1.29</v>
      </c>
    </row>
    <row r="75" spans="1:13" x14ac:dyDescent="0.2">
      <c r="A75" s="1">
        <v>43997</v>
      </c>
      <c r="B75">
        <v>96.419998000000007</v>
      </c>
      <c r="C75">
        <v>101.43</v>
      </c>
      <c r="D75">
        <v>95.870002999999997</v>
      </c>
      <c r="E75">
        <v>101.25</v>
      </c>
      <c r="F75">
        <v>98.063034000000002</v>
      </c>
      <c r="G75">
        <v>22153600</v>
      </c>
      <c r="I75">
        <f t="shared" si="5"/>
        <v>1.3817965094580966E-2</v>
      </c>
      <c r="J75">
        <v>0</v>
      </c>
      <c r="K75">
        <f t="shared" si="3"/>
        <v>1.3817965094580966E-2</v>
      </c>
      <c r="L75">
        <f t="shared" si="4"/>
        <v>1.3817965094580966</v>
      </c>
      <c r="M75">
        <v>1.0900000000000001</v>
      </c>
    </row>
    <row r="76" spans="1:13" x14ac:dyDescent="0.2">
      <c r="A76" s="1">
        <v>43998</v>
      </c>
      <c r="B76">
        <v>105.370003</v>
      </c>
      <c r="C76">
        <v>105.68</v>
      </c>
      <c r="D76">
        <v>99.309997999999993</v>
      </c>
      <c r="E76">
        <v>102.05999799999999</v>
      </c>
      <c r="F76">
        <v>98.847533999999996</v>
      </c>
      <c r="G76">
        <v>22193600</v>
      </c>
      <c r="I76">
        <f t="shared" si="5"/>
        <v>7.9999564361836299E-3</v>
      </c>
      <c r="J76">
        <v>0</v>
      </c>
      <c r="K76">
        <f t="shared" si="3"/>
        <v>7.9999564361836299E-3</v>
      </c>
      <c r="L76">
        <f t="shared" si="4"/>
        <v>0.79999564361836295</v>
      </c>
      <c r="M76">
        <v>1.86</v>
      </c>
    </row>
    <row r="77" spans="1:13" x14ac:dyDescent="0.2">
      <c r="A77" s="1">
        <v>43999</v>
      </c>
      <c r="B77">
        <v>102.529999</v>
      </c>
      <c r="C77">
        <v>102.540001</v>
      </c>
      <c r="D77">
        <v>99.209998999999996</v>
      </c>
      <c r="E77">
        <v>99.480002999999996</v>
      </c>
      <c r="F77">
        <v>96.348747000000003</v>
      </c>
      <c r="G77">
        <v>15639800</v>
      </c>
      <c r="I77">
        <f t="shared" si="5"/>
        <v>-2.5279204233865794E-2</v>
      </c>
      <c r="J77">
        <v>0</v>
      </c>
      <c r="K77">
        <f t="shared" si="3"/>
        <v>-2.5279204233865794E-2</v>
      </c>
      <c r="L77">
        <f t="shared" si="4"/>
        <v>-2.5279204233865795</v>
      </c>
      <c r="M77">
        <v>-0.4</v>
      </c>
    </row>
    <row r="78" spans="1:13" x14ac:dyDescent="0.2">
      <c r="A78" s="1">
        <v>44000</v>
      </c>
      <c r="B78">
        <v>98.669998000000007</v>
      </c>
      <c r="C78">
        <v>100.519997</v>
      </c>
      <c r="D78">
        <v>98.129997000000003</v>
      </c>
      <c r="E78">
        <v>98.940002000000007</v>
      </c>
      <c r="F78">
        <v>95.825744999999998</v>
      </c>
      <c r="G78">
        <v>16591900</v>
      </c>
      <c r="I78">
        <f t="shared" si="5"/>
        <v>-5.4282179715321602E-3</v>
      </c>
      <c r="J78">
        <v>0</v>
      </c>
      <c r="K78">
        <f t="shared" si="3"/>
        <v>-5.4282179715321602E-3</v>
      </c>
      <c r="L78">
        <f t="shared" si="4"/>
        <v>-0.54282179715321599</v>
      </c>
      <c r="M78">
        <v>0.19</v>
      </c>
    </row>
    <row r="79" spans="1:13" x14ac:dyDescent="0.2">
      <c r="A79" s="1">
        <v>44001</v>
      </c>
      <c r="B79">
        <v>100.529999</v>
      </c>
      <c r="C79">
        <v>100.599998</v>
      </c>
      <c r="D79">
        <v>96.730002999999996</v>
      </c>
      <c r="E79">
        <v>97.809997999999993</v>
      </c>
      <c r="F79">
        <v>94.731316000000007</v>
      </c>
      <c r="G79">
        <v>40371200</v>
      </c>
      <c r="I79">
        <f t="shared" si="5"/>
        <v>-1.1421033042842412E-2</v>
      </c>
      <c r="J79">
        <v>0</v>
      </c>
      <c r="K79">
        <f t="shared" si="3"/>
        <v>-1.1421033042842412E-2</v>
      </c>
      <c r="L79">
        <f t="shared" si="4"/>
        <v>-1.1421033042842412</v>
      </c>
      <c r="M79">
        <v>-0.45</v>
      </c>
    </row>
    <row r="80" spans="1:13" x14ac:dyDescent="0.2">
      <c r="A80" s="1">
        <v>44004</v>
      </c>
      <c r="B80">
        <v>97.25</v>
      </c>
      <c r="C80">
        <v>97.949996999999996</v>
      </c>
      <c r="D80">
        <v>96.540001000000004</v>
      </c>
      <c r="E80">
        <v>96.75</v>
      </c>
      <c r="F80">
        <v>93.704673999999997</v>
      </c>
      <c r="G80">
        <v>16216900</v>
      </c>
      <c r="I80">
        <f t="shared" si="5"/>
        <v>-1.0837408824765081E-2</v>
      </c>
      <c r="J80">
        <v>0</v>
      </c>
      <c r="K80">
        <f t="shared" si="3"/>
        <v>-1.0837408824765081E-2</v>
      </c>
      <c r="L80">
        <f t="shared" si="4"/>
        <v>-1.083740882476508</v>
      </c>
      <c r="M80">
        <v>0.71</v>
      </c>
    </row>
    <row r="81" spans="1:13" x14ac:dyDescent="0.2">
      <c r="A81" s="1">
        <v>44005</v>
      </c>
      <c r="B81">
        <v>98.970000999999996</v>
      </c>
      <c r="C81">
        <v>99.970000999999996</v>
      </c>
      <c r="D81">
        <v>97.849997999999999</v>
      </c>
      <c r="E81">
        <v>97.93</v>
      </c>
      <c r="F81">
        <v>94.847533999999996</v>
      </c>
      <c r="G81">
        <v>15381400</v>
      </c>
      <c r="I81">
        <f t="shared" si="5"/>
        <v>1.2196403351235167E-2</v>
      </c>
      <c r="J81">
        <v>0</v>
      </c>
      <c r="K81">
        <f t="shared" si="3"/>
        <v>1.2196403351235167E-2</v>
      </c>
      <c r="L81">
        <f t="shared" si="4"/>
        <v>1.2196403351235168</v>
      </c>
      <c r="M81">
        <v>0.42</v>
      </c>
    </row>
    <row r="82" spans="1:13" x14ac:dyDescent="0.2">
      <c r="A82" s="1">
        <v>44006</v>
      </c>
      <c r="B82">
        <v>96.75</v>
      </c>
      <c r="C82">
        <v>96.839995999999999</v>
      </c>
      <c r="D82">
        <v>94.309997999999993</v>
      </c>
      <c r="E82">
        <v>94.660004000000001</v>
      </c>
      <c r="F82">
        <v>91.680465999999996</v>
      </c>
      <c r="G82">
        <v>22919800</v>
      </c>
      <c r="I82">
        <f t="shared" si="5"/>
        <v>-3.3391147523139618E-2</v>
      </c>
      <c r="J82">
        <v>0</v>
      </c>
      <c r="K82">
        <f t="shared" si="3"/>
        <v>-3.3391147523139618E-2</v>
      </c>
      <c r="L82">
        <f t="shared" si="4"/>
        <v>-3.3391147523139617</v>
      </c>
      <c r="M82">
        <v>-2.61</v>
      </c>
    </row>
    <row r="83" spans="1:13" x14ac:dyDescent="0.2">
      <c r="A83" s="1">
        <v>44007</v>
      </c>
      <c r="B83">
        <v>94.349997999999999</v>
      </c>
      <c r="C83">
        <v>98.209998999999996</v>
      </c>
      <c r="D83">
        <v>94.260002</v>
      </c>
      <c r="E83">
        <v>97.959998999999996</v>
      </c>
      <c r="F83">
        <v>94.876594999999995</v>
      </c>
      <c r="G83">
        <v>25743600</v>
      </c>
      <c r="I83">
        <f t="shared" si="5"/>
        <v>3.4861613814222966E-2</v>
      </c>
      <c r="J83">
        <v>0</v>
      </c>
      <c r="K83">
        <f t="shared" si="3"/>
        <v>3.4861613814222966E-2</v>
      </c>
      <c r="L83">
        <f t="shared" si="4"/>
        <v>3.4861613814222965</v>
      </c>
      <c r="M83">
        <v>1.1200000000000001</v>
      </c>
    </row>
    <row r="84" spans="1:13" x14ac:dyDescent="0.2">
      <c r="A84" s="1">
        <v>44008</v>
      </c>
      <c r="B84">
        <v>95.110000999999997</v>
      </c>
      <c r="C84">
        <v>95.370002999999997</v>
      </c>
      <c r="D84">
        <v>92</v>
      </c>
      <c r="E84">
        <v>92.589995999999999</v>
      </c>
      <c r="F84">
        <v>89.675621000000007</v>
      </c>
      <c r="G84">
        <v>41896300</v>
      </c>
      <c r="I84">
        <f t="shared" si="5"/>
        <v>-5.4818303713365643E-2</v>
      </c>
      <c r="J84">
        <v>0</v>
      </c>
      <c r="K84">
        <f t="shared" si="3"/>
        <v>-5.4818303713365643E-2</v>
      </c>
      <c r="L84">
        <f t="shared" si="4"/>
        <v>-5.4818303713365646</v>
      </c>
      <c r="M84">
        <v>-2.44</v>
      </c>
    </row>
    <row r="85" spans="1:13" x14ac:dyDescent="0.2">
      <c r="A85" s="1">
        <v>44011</v>
      </c>
      <c r="B85">
        <v>93.400002000000001</v>
      </c>
      <c r="C85">
        <v>94.489998</v>
      </c>
      <c r="D85">
        <v>92.18</v>
      </c>
      <c r="E85">
        <v>93</v>
      </c>
      <c r="F85">
        <v>90.072716</v>
      </c>
      <c r="G85">
        <v>18499700</v>
      </c>
      <c r="I85">
        <f t="shared" si="5"/>
        <v>4.4281265696503296E-3</v>
      </c>
      <c r="J85">
        <v>0</v>
      </c>
      <c r="K85">
        <f t="shared" si="3"/>
        <v>4.4281265696503296E-3</v>
      </c>
      <c r="L85">
        <f t="shared" si="4"/>
        <v>0.44281265696503297</v>
      </c>
      <c r="M85">
        <v>1.51</v>
      </c>
    </row>
    <row r="86" spans="1:13" x14ac:dyDescent="0.2">
      <c r="A86" s="1">
        <v>44012</v>
      </c>
      <c r="B86">
        <v>92.830001999999993</v>
      </c>
      <c r="C86">
        <v>94.660004000000001</v>
      </c>
      <c r="D86">
        <v>92.57</v>
      </c>
      <c r="E86">
        <v>94.059997999999993</v>
      </c>
      <c r="F86">
        <v>91.099350000000001</v>
      </c>
      <c r="G86">
        <v>19137000</v>
      </c>
      <c r="I86">
        <f t="shared" si="5"/>
        <v>1.1397835499930982E-2</v>
      </c>
      <c r="J86">
        <v>0</v>
      </c>
      <c r="K86">
        <f t="shared" si="3"/>
        <v>1.1397835499930982E-2</v>
      </c>
      <c r="L86">
        <f t="shared" si="4"/>
        <v>1.1397835499930982</v>
      </c>
      <c r="M86">
        <v>1.58</v>
      </c>
    </row>
    <row r="87" spans="1:13" x14ac:dyDescent="0.2">
      <c r="A87" s="1">
        <v>44013</v>
      </c>
      <c r="B87">
        <v>94.889999000000003</v>
      </c>
      <c r="C87">
        <v>95.709998999999996</v>
      </c>
      <c r="D87">
        <v>93.029999000000004</v>
      </c>
      <c r="E87">
        <v>93.260002</v>
      </c>
      <c r="F87">
        <v>90.324532000000005</v>
      </c>
      <c r="G87">
        <v>18755700</v>
      </c>
      <c r="I87">
        <f t="shared" si="5"/>
        <v>-8.5051978965820958E-3</v>
      </c>
      <c r="J87">
        <v>0</v>
      </c>
      <c r="K87">
        <f t="shared" si="3"/>
        <v>-8.5051978965820958E-3</v>
      </c>
      <c r="L87">
        <f t="shared" si="4"/>
        <v>-0.85051978965820962</v>
      </c>
      <c r="M87">
        <v>0.41</v>
      </c>
    </row>
    <row r="88" spans="1:13" x14ac:dyDescent="0.2">
      <c r="A88" s="1">
        <v>44014</v>
      </c>
      <c r="B88">
        <v>94.739998</v>
      </c>
      <c r="C88">
        <v>94.959998999999996</v>
      </c>
      <c r="D88">
        <v>91.93</v>
      </c>
      <c r="E88">
        <v>92.660004000000001</v>
      </c>
      <c r="F88">
        <v>90.617919999999998</v>
      </c>
      <c r="G88">
        <v>27845600</v>
      </c>
      <c r="I88">
        <f t="shared" si="5"/>
        <v>3.2481541116647365E-3</v>
      </c>
      <c r="J88">
        <v>0</v>
      </c>
      <c r="K88">
        <f t="shared" si="3"/>
        <v>3.2481541116647365E-3</v>
      </c>
      <c r="L88">
        <f t="shared" si="4"/>
        <v>0.32481541116647367</v>
      </c>
      <c r="M88">
        <v>0.5</v>
      </c>
    </row>
    <row r="89" spans="1:13" x14ac:dyDescent="0.2">
      <c r="A89" s="1">
        <v>44018</v>
      </c>
      <c r="B89">
        <v>94.43</v>
      </c>
      <c r="C89">
        <v>95.199996999999996</v>
      </c>
      <c r="D89">
        <v>93.480002999999996</v>
      </c>
      <c r="E89">
        <v>95</v>
      </c>
      <c r="F89">
        <v>92.906349000000006</v>
      </c>
      <c r="G89">
        <v>18625300</v>
      </c>
      <c r="I89">
        <f t="shared" si="5"/>
        <v>2.5253603260812076E-2</v>
      </c>
      <c r="J89">
        <v>0</v>
      </c>
      <c r="K89">
        <f t="shared" si="3"/>
        <v>2.5253603260812076E-2</v>
      </c>
      <c r="L89">
        <f t="shared" si="4"/>
        <v>2.5253603260812074</v>
      </c>
      <c r="M89">
        <v>1.65</v>
      </c>
    </row>
    <row r="90" spans="1:13" x14ac:dyDescent="0.2">
      <c r="A90" s="1">
        <v>44019</v>
      </c>
      <c r="B90">
        <v>93.82</v>
      </c>
      <c r="C90">
        <v>94.099997999999999</v>
      </c>
      <c r="D90">
        <v>92</v>
      </c>
      <c r="E90">
        <v>92.32</v>
      </c>
      <c r="F90">
        <v>90.285415999999998</v>
      </c>
      <c r="G90">
        <v>25757200</v>
      </c>
      <c r="I90">
        <f t="shared" si="5"/>
        <v>-2.8210483225425291E-2</v>
      </c>
      <c r="J90">
        <v>0</v>
      </c>
      <c r="K90">
        <f t="shared" si="3"/>
        <v>-2.8210483225425291E-2</v>
      </c>
      <c r="L90">
        <f t="shared" si="4"/>
        <v>-2.8210483225425289</v>
      </c>
      <c r="M90">
        <v>-1.03</v>
      </c>
    </row>
    <row r="91" spans="1:13" x14ac:dyDescent="0.2">
      <c r="A91" s="1">
        <v>44020</v>
      </c>
      <c r="B91">
        <v>92.290001000000004</v>
      </c>
      <c r="C91">
        <v>93.339995999999999</v>
      </c>
      <c r="D91">
        <v>91.800003000000004</v>
      </c>
      <c r="E91">
        <v>93.300003000000004</v>
      </c>
      <c r="F91">
        <v>91.243819999999999</v>
      </c>
      <c r="G91">
        <v>18762200</v>
      </c>
      <c r="I91">
        <f t="shared" si="5"/>
        <v>1.0615269247914874E-2</v>
      </c>
      <c r="J91">
        <v>0</v>
      </c>
      <c r="K91">
        <f t="shared" si="3"/>
        <v>1.0615269247914874E-2</v>
      </c>
      <c r="L91">
        <f t="shared" si="4"/>
        <v>1.0615269247914874</v>
      </c>
      <c r="M91">
        <v>0.91</v>
      </c>
    </row>
    <row r="92" spans="1:13" x14ac:dyDescent="0.2">
      <c r="A92" s="1">
        <v>44021</v>
      </c>
      <c r="B92">
        <v>93.519997000000004</v>
      </c>
      <c r="C92">
        <v>94.120002999999997</v>
      </c>
      <c r="D92">
        <v>90.779999000000004</v>
      </c>
      <c r="E92">
        <v>91.279999000000004</v>
      </c>
      <c r="F92">
        <v>89.268332999999998</v>
      </c>
      <c r="G92">
        <v>25600800</v>
      </c>
      <c r="I92">
        <f t="shared" si="5"/>
        <v>-2.1650638914504031E-2</v>
      </c>
      <c r="J92">
        <v>0</v>
      </c>
      <c r="K92">
        <f t="shared" si="3"/>
        <v>-2.1650638914504031E-2</v>
      </c>
      <c r="L92">
        <f t="shared" si="4"/>
        <v>-2.1650638914504032</v>
      </c>
      <c r="M92">
        <v>-0.53</v>
      </c>
    </row>
    <row r="93" spans="1:13" x14ac:dyDescent="0.2">
      <c r="A93" s="1">
        <v>44022</v>
      </c>
      <c r="B93">
        <v>92</v>
      </c>
      <c r="C93">
        <v>96.839995999999999</v>
      </c>
      <c r="D93">
        <v>91.870002999999997</v>
      </c>
      <c r="E93">
        <v>96.269997000000004</v>
      </c>
      <c r="F93">
        <v>94.148360999999994</v>
      </c>
      <c r="G93">
        <v>28954200</v>
      </c>
      <c r="I93">
        <f t="shared" si="5"/>
        <v>5.4666955638120809E-2</v>
      </c>
      <c r="J93">
        <v>0</v>
      </c>
      <c r="K93">
        <f t="shared" si="3"/>
        <v>5.4666955638120809E-2</v>
      </c>
      <c r="L93">
        <f t="shared" si="4"/>
        <v>5.4666955638120811</v>
      </c>
      <c r="M93">
        <v>1.1100000000000001</v>
      </c>
    </row>
    <row r="94" spans="1:13" x14ac:dyDescent="0.2">
      <c r="A94" s="1">
        <v>44025</v>
      </c>
      <c r="B94">
        <v>98.730002999999996</v>
      </c>
      <c r="C94">
        <v>99.269997000000004</v>
      </c>
      <c r="D94">
        <v>96.230002999999996</v>
      </c>
      <c r="E94">
        <v>97.650002000000001</v>
      </c>
      <c r="F94">
        <v>95.497955000000005</v>
      </c>
      <c r="G94">
        <v>32079200</v>
      </c>
      <c r="I94">
        <f t="shared" si="5"/>
        <v>1.4334758307688548E-2</v>
      </c>
      <c r="J94">
        <v>0</v>
      </c>
      <c r="K94">
        <f t="shared" si="3"/>
        <v>1.4334758307688548E-2</v>
      </c>
      <c r="L94">
        <f t="shared" si="4"/>
        <v>1.4334758307688549</v>
      </c>
      <c r="M94">
        <v>-1.2</v>
      </c>
    </row>
    <row r="95" spans="1:13" x14ac:dyDescent="0.2">
      <c r="A95" s="1">
        <v>44026</v>
      </c>
      <c r="B95">
        <v>98.370002999999997</v>
      </c>
      <c r="C95">
        <v>99.949996999999996</v>
      </c>
      <c r="D95">
        <v>96.639999000000003</v>
      </c>
      <c r="E95">
        <v>98.209998999999996</v>
      </c>
      <c r="F95">
        <v>96.045608999999999</v>
      </c>
      <c r="G95">
        <v>42731700</v>
      </c>
      <c r="I95">
        <f t="shared" si="5"/>
        <v>5.7347196597036477E-3</v>
      </c>
      <c r="J95">
        <v>0</v>
      </c>
      <c r="K95">
        <f t="shared" si="3"/>
        <v>5.7347196597036477E-3</v>
      </c>
      <c r="L95">
        <f t="shared" si="4"/>
        <v>0.57347196597036476</v>
      </c>
      <c r="M95">
        <v>1.35</v>
      </c>
    </row>
    <row r="96" spans="1:13" x14ac:dyDescent="0.2">
      <c r="A96" s="1">
        <v>44027</v>
      </c>
      <c r="B96">
        <v>100.889999</v>
      </c>
      <c r="C96">
        <v>101.290001</v>
      </c>
      <c r="D96">
        <v>98.650002000000001</v>
      </c>
      <c r="E96">
        <v>99.730002999999996</v>
      </c>
      <c r="F96">
        <v>97.532120000000006</v>
      </c>
      <c r="G96">
        <v>22508400</v>
      </c>
      <c r="I96">
        <f t="shared" si="5"/>
        <v>1.5477136492517916E-2</v>
      </c>
      <c r="J96">
        <v>0</v>
      </c>
      <c r="K96">
        <f t="shared" si="3"/>
        <v>1.5477136492517916E-2</v>
      </c>
      <c r="L96">
        <f t="shared" si="4"/>
        <v>1.5477136492517916</v>
      </c>
      <c r="M96">
        <v>1.1399999999999999</v>
      </c>
    </row>
    <row r="97" spans="1:13" x14ac:dyDescent="0.2">
      <c r="A97" s="1">
        <v>44028</v>
      </c>
      <c r="B97">
        <v>98.779999000000004</v>
      </c>
      <c r="C97">
        <v>101.220001</v>
      </c>
      <c r="D97">
        <v>98.550003000000004</v>
      </c>
      <c r="E97">
        <v>100.010002</v>
      </c>
      <c r="F97">
        <v>97.805938999999995</v>
      </c>
      <c r="G97">
        <v>16886900</v>
      </c>
      <c r="I97">
        <f t="shared" si="5"/>
        <v>2.8074751169152165E-3</v>
      </c>
      <c r="J97">
        <v>0</v>
      </c>
      <c r="K97">
        <f t="shared" si="3"/>
        <v>2.8074751169152165E-3</v>
      </c>
      <c r="L97">
        <f t="shared" si="4"/>
        <v>0.28074751169152162</v>
      </c>
      <c r="M97">
        <v>-0.37</v>
      </c>
    </row>
    <row r="98" spans="1:13" x14ac:dyDescent="0.2">
      <c r="A98" s="1">
        <v>44029</v>
      </c>
      <c r="B98">
        <v>100</v>
      </c>
      <c r="C98">
        <v>100.08000199999999</v>
      </c>
      <c r="D98">
        <v>98.139999000000003</v>
      </c>
      <c r="E98">
        <v>98.160004000000001</v>
      </c>
      <c r="F98">
        <v>95.996712000000002</v>
      </c>
      <c r="G98">
        <v>16137700</v>
      </c>
      <c r="I98">
        <f t="shared" si="5"/>
        <v>-1.8498130261803355E-2</v>
      </c>
      <c r="J98">
        <v>0</v>
      </c>
      <c r="K98">
        <f t="shared" si="3"/>
        <v>-1.8498130261803355E-2</v>
      </c>
      <c r="L98">
        <f t="shared" si="4"/>
        <v>-1.8498130261803354</v>
      </c>
      <c r="M98">
        <v>0.3</v>
      </c>
    </row>
    <row r="99" spans="1:13" x14ac:dyDescent="0.2">
      <c r="A99" s="1">
        <v>44032</v>
      </c>
      <c r="B99">
        <v>97.43</v>
      </c>
      <c r="C99">
        <v>98.389999000000003</v>
      </c>
      <c r="D99">
        <v>97.260002</v>
      </c>
      <c r="E99">
        <v>97.300003000000004</v>
      </c>
      <c r="F99">
        <v>95.155663000000004</v>
      </c>
      <c r="G99">
        <v>14458100</v>
      </c>
      <c r="I99">
        <f t="shared" si="5"/>
        <v>-8.7612271553633853E-3</v>
      </c>
      <c r="J99">
        <v>0</v>
      </c>
      <c r="K99">
        <f t="shared" si="3"/>
        <v>-8.7612271553633853E-3</v>
      </c>
      <c r="L99">
        <f t="shared" si="4"/>
        <v>-0.87612271553633847</v>
      </c>
      <c r="M99">
        <v>1.01</v>
      </c>
    </row>
    <row r="100" spans="1:13" x14ac:dyDescent="0.2">
      <c r="A100" s="1">
        <v>44033</v>
      </c>
      <c r="B100">
        <v>97.709998999999996</v>
      </c>
      <c r="C100">
        <v>100.050003</v>
      </c>
      <c r="D100">
        <v>97.639999000000003</v>
      </c>
      <c r="E100">
        <v>99.410004000000001</v>
      </c>
      <c r="F100">
        <v>97.219161999999997</v>
      </c>
      <c r="G100">
        <v>17812300</v>
      </c>
      <c r="I100">
        <f t="shared" si="5"/>
        <v>2.1685509143055344E-2</v>
      </c>
      <c r="J100">
        <v>0</v>
      </c>
      <c r="K100">
        <f t="shared" si="3"/>
        <v>2.1685509143055344E-2</v>
      </c>
      <c r="L100">
        <f t="shared" si="4"/>
        <v>2.1685509143055346</v>
      </c>
      <c r="M100">
        <v>0.16</v>
      </c>
    </row>
    <row r="101" spans="1:13" x14ac:dyDescent="0.2">
      <c r="A101" s="1">
        <v>44034</v>
      </c>
      <c r="B101">
        <v>99.650002000000001</v>
      </c>
      <c r="C101">
        <v>100.129997</v>
      </c>
      <c r="D101">
        <v>97.529999000000004</v>
      </c>
      <c r="E101">
        <v>98.690002000000007</v>
      </c>
      <c r="F101">
        <v>96.515029999999996</v>
      </c>
      <c r="G101">
        <v>14271200</v>
      </c>
      <c r="I101">
        <f t="shared" si="5"/>
        <v>-7.2427285476910543E-3</v>
      </c>
      <c r="J101">
        <v>0</v>
      </c>
      <c r="K101">
        <f t="shared" si="3"/>
        <v>-7.2427285476910543E-3</v>
      </c>
      <c r="L101">
        <f t="shared" si="4"/>
        <v>-0.72427285476910541</v>
      </c>
      <c r="M101">
        <v>0.49</v>
      </c>
    </row>
    <row r="102" spans="1:13" x14ac:dyDescent="0.2">
      <c r="A102" s="1">
        <v>44035</v>
      </c>
      <c r="B102">
        <v>98.5</v>
      </c>
      <c r="C102">
        <v>99.349997999999999</v>
      </c>
      <c r="D102">
        <v>97.970000999999996</v>
      </c>
      <c r="E102">
        <v>98.980002999999996</v>
      </c>
      <c r="F102">
        <v>96.798636999999999</v>
      </c>
      <c r="G102">
        <v>12870200</v>
      </c>
      <c r="I102">
        <f t="shared" si="5"/>
        <v>2.938474971204003E-3</v>
      </c>
      <c r="J102">
        <v>0</v>
      </c>
      <c r="K102">
        <f t="shared" si="3"/>
        <v>2.938474971204003E-3</v>
      </c>
      <c r="L102">
        <f t="shared" si="4"/>
        <v>0.29384749712040031</v>
      </c>
      <c r="M102">
        <v>-1.2</v>
      </c>
    </row>
    <row r="103" spans="1:13" x14ac:dyDescent="0.2">
      <c r="A103" s="1">
        <v>44036</v>
      </c>
      <c r="B103">
        <v>99.599997999999999</v>
      </c>
      <c r="C103">
        <v>99.800003000000004</v>
      </c>
      <c r="D103">
        <v>97.940002000000007</v>
      </c>
      <c r="E103">
        <v>98.279999000000004</v>
      </c>
      <c r="F103">
        <v>96.114067000000006</v>
      </c>
      <c r="G103">
        <v>12744200</v>
      </c>
      <c r="I103">
        <f t="shared" si="5"/>
        <v>-7.0721037115428981E-3</v>
      </c>
      <c r="J103">
        <v>0</v>
      </c>
      <c r="K103">
        <f t="shared" si="3"/>
        <v>-7.0721037115428981E-3</v>
      </c>
      <c r="L103">
        <f t="shared" si="4"/>
        <v>-0.70721037115428986</v>
      </c>
      <c r="M103">
        <v>-0.75</v>
      </c>
    </row>
    <row r="104" spans="1:13" x14ac:dyDescent="0.2">
      <c r="A104" s="1">
        <v>44039</v>
      </c>
      <c r="B104">
        <v>97.510002</v>
      </c>
      <c r="C104">
        <v>97.629997000000003</v>
      </c>
      <c r="D104">
        <v>96.169998000000007</v>
      </c>
      <c r="E104">
        <v>96.900002000000001</v>
      </c>
      <c r="F104">
        <v>94.764481000000004</v>
      </c>
      <c r="G104">
        <v>11959100</v>
      </c>
      <c r="I104">
        <f t="shared" si="5"/>
        <v>-1.4041503414895575E-2</v>
      </c>
      <c r="J104">
        <v>0</v>
      </c>
      <c r="K104">
        <f t="shared" si="3"/>
        <v>-1.4041503414895575E-2</v>
      </c>
      <c r="L104">
        <f t="shared" si="4"/>
        <v>-1.4041503414895575</v>
      </c>
      <c r="M104">
        <v>0.88</v>
      </c>
    </row>
    <row r="105" spans="1:13" x14ac:dyDescent="0.2">
      <c r="A105" s="1">
        <v>44040</v>
      </c>
      <c r="B105">
        <v>96.5</v>
      </c>
      <c r="C105">
        <v>97.889999000000003</v>
      </c>
      <c r="D105">
        <v>96.5</v>
      </c>
      <c r="E105">
        <v>97.32</v>
      </c>
      <c r="F105">
        <v>95.175217000000004</v>
      </c>
      <c r="G105">
        <v>11754300</v>
      </c>
      <c r="I105">
        <f t="shared" si="5"/>
        <v>4.3342821663319188E-3</v>
      </c>
      <c r="J105">
        <v>0</v>
      </c>
      <c r="K105">
        <f t="shared" si="3"/>
        <v>4.3342821663319188E-3</v>
      </c>
      <c r="L105">
        <f t="shared" si="4"/>
        <v>0.43342821663319187</v>
      </c>
      <c r="M105">
        <v>-0.81</v>
      </c>
    </row>
    <row r="106" spans="1:13" x14ac:dyDescent="0.2">
      <c r="A106" s="1">
        <v>44041</v>
      </c>
      <c r="B106">
        <v>97.07</v>
      </c>
      <c r="C106">
        <v>99.709998999999996</v>
      </c>
      <c r="D106">
        <v>97</v>
      </c>
      <c r="E106">
        <v>99.68</v>
      </c>
      <c r="F106">
        <v>97.483215000000001</v>
      </c>
      <c r="G106">
        <v>12743500</v>
      </c>
      <c r="I106">
        <f t="shared" si="5"/>
        <v>2.4249989364353092E-2</v>
      </c>
      <c r="J106">
        <v>0</v>
      </c>
      <c r="K106">
        <f t="shared" si="3"/>
        <v>2.4249989364353092E-2</v>
      </c>
      <c r="L106">
        <f t="shared" si="4"/>
        <v>2.4249989364353093</v>
      </c>
      <c r="M106">
        <v>1.35</v>
      </c>
    </row>
    <row r="107" spans="1:13" x14ac:dyDescent="0.2">
      <c r="A107" s="1">
        <v>44042</v>
      </c>
      <c r="B107">
        <v>97.540001000000004</v>
      </c>
      <c r="C107">
        <v>97.739998</v>
      </c>
      <c r="D107">
        <v>96.050003000000004</v>
      </c>
      <c r="E107">
        <v>97.019997000000004</v>
      </c>
      <c r="F107">
        <v>94.881827999999999</v>
      </c>
      <c r="G107">
        <v>14834800</v>
      </c>
      <c r="I107">
        <f t="shared" si="5"/>
        <v>-2.6685486316798256E-2</v>
      </c>
      <c r="J107">
        <v>0</v>
      </c>
      <c r="K107">
        <f t="shared" si="3"/>
        <v>-2.6685486316798256E-2</v>
      </c>
      <c r="L107">
        <f t="shared" si="4"/>
        <v>-2.6685486316798257</v>
      </c>
      <c r="M107">
        <v>-0.28999999999999998</v>
      </c>
    </row>
    <row r="108" spans="1:13" x14ac:dyDescent="0.2">
      <c r="A108" s="1">
        <v>44043</v>
      </c>
      <c r="B108">
        <v>96.480002999999996</v>
      </c>
      <c r="C108">
        <v>96.93</v>
      </c>
      <c r="D108">
        <v>95.25</v>
      </c>
      <c r="E108">
        <v>96.639999000000003</v>
      </c>
      <c r="F108">
        <v>94.510208000000006</v>
      </c>
      <c r="G108">
        <v>14539500</v>
      </c>
      <c r="I108">
        <f t="shared" si="5"/>
        <v>-3.9166614707296004E-3</v>
      </c>
      <c r="J108">
        <v>0</v>
      </c>
      <c r="K108">
        <f t="shared" si="3"/>
        <v>-3.9166614707296004E-3</v>
      </c>
      <c r="L108">
        <f t="shared" si="4"/>
        <v>-0.39166614707296005</v>
      </c>
      <c r="M108">
        <v>0.61</v>
      </c>
    </row>
    <row r="109" spans="1:13" x14ac:dyDescent="0.2">
      <c r="A109" s="1">
        <v>44046</v>
      </c>
      <c r="B109">
        <v>97.019997000000004</v>
      </c>
      <c r="C109">
        <v>97.57</v>
      </c>
      <c r="D109">
        <v>95.849997999999999</v>
      </c>
      <c r="E109">
        <v>96.099997999999999</v>
      </c>
      <c r="F109">
        <v>93.982108999999994</v>
      </c>
      <c r="G109">
        <v>12962800</v>
      </c>
      <c r="I109">
        <f t="shared" si="5"/>
        <v>-5.5877456115641143E-3</v>
      </c>
      <c r="J109">
        <v>0</v>
      </c>
      <c r="K109">
        <f t="shared" si="3"/>
        <v>-5.5877456115641143E-3</v>
      </c>
      <c r="L109">
        <f t="shared" si="4"/>
        <v>-0.55877456115641144</v>
      </c>
      <c r="M109">
        <v>0.98</v>
      </c>
    </row>
    <row r="110" spans="1:13" x14ac:dyDescent="0.2">
      <c r="A110" s="1">
        <v>44047</v>
      </c>
      <c r="B110">
        <v>95.910004000000001</v>
      </c>
      <c r="C110">
        <v>95.949996999999996</v>
      </c>
      <c r="D110">
        <v>95.029999000000004</v>
      </c>
      <c r="E110">
        <v>95.550003000000004</v>
      </c>
      <c r="F110">
        <v>93.444237000000001</v>
      </c>
      <c r="G110">
        <v>13366200</v>
      </c>
      <c r="I110">
        <f t="shared" si="5"/>
        <v>-5.7231318356560082E-3</v>
      </c>
      <c r="J110">
        <v>0</v>
      </c>
      <c r="K110">
        <f t="shared" si="3"/>
        <v>-5.7231318356560082E-3</v>
      </c>
      <c r="L110">
        <f t="shared" si="4"/>
        <v>-0.57231318356560079</v>
      </c>
      <c r="M110">
        <v>0.37</v>
      </c>
    </row>
    <row r="111" spans="1:13" x14ac:dyDescent="0.2">
      <c r="A111" s="1">
        <v>44048</v>
      </c>
      <c r="B111">
        <v>95.870002999999997</v>
      </c>
      <c r="C111">
        <v>98.470000999999996</v>
      </c>
      <c r="D111">
        <v>95.720000999999996</v>
      </c>
      <c r="E111">
        <v>97.209998999999996</v>
      </c>
      <c r="F111">
        <v>95.067642000000006</v>
      </c>
      <c r="G111">
        <v>15349700</v>
      </c>
      <c r="I111">
        <f t="shared" si="5"/>
        <v>1.7372981492694999E-2</v>
      </c>
      <c r="J111">
        <v>0</v>
      </c>
      <c r="K111">
        <f t="shared" si="3"/>
        <v>1.7372981492694999E-2</v>
      </c>
      <c r="L111">
        <f t="shared" si="4"/>
        <v>1.7372981492694999</v>
      </c>
      <c r="M111">
        <v>0.78</v>
      </c>
    </row>
    <row r="112" spans="1:13" x14ac:dyDescent="0.2">
      <c r="A112" s="1">
        <v>44049</v>
      </c>
      <c r="B112">
        <v>97.580001999999993</v>
      </c>
      <c r="C112">
        <v>98.099997999999999</v>
      </c>
      <c r="D112">
        <v>96.540001000000004</v>
      </c>
      <c r="E112">
        <v>97.239998</v>
      </c>
      <c r="F112">
        <v>95.096985000000004</v>
      </c>
      <c r="G112">
        <v>10482100</v>
      </c>
      <c r="I112">
        <f t="shared" si="5"/>
        <v>3.086539161242395E-4</v>
      </c>
      <c r="J112">
        <v>0</v>
      </c>
      <c r="K112">
        <f t="shared" si="3"/>
        <v>3.086539161242395E-4</v>
      </c>
      <c r="L112">
        <f t="shared" si="4"/>
        <v>3.0865391612423951E-2</v>
      </c>
      <c r="M112">
        <v>0.53</v>
      </c>
    </row>
    <row r="113" spans="1:13" x14ac:dyDescent="0.2">
      <c r="A113" s="1">
        <v>44050</v>
      </c>
      <c r="B113">
        <v>96.93</v>
      </c>
      <c r="C113">
        <v>99.489998</v>
      </c>
      <c r="D113">
        <v>96.559997999999993</v>
      </c>
      <c r="E113">
        <v>99.379997000000003</v>
      </c>
      <c r="F113">
        <v>97.189826999999994</v>
      </c>
      <c r="G113">
        <v>14743700</v>
      </c>
      <c r="I113">
        <f t="shared" si="5"/>
        <v>2.2007448501127458E-2</v>
      </c>
      <c r="J113">
        <v>0</v>
      </c>
      <c r="K113">
        <f t="shared" si="3"/>
        <v>2.2007448501127458E-2</v>
      </c>
      <c r="L113">
        <f t="shared" si="4"/>
        <v>2.2007448501127458</v>
      </c>
      <c r="M113">
        <v>0.02</v>
      </c>
    </row>
    <row r="114" spans="1:13" x14ac:dyDescent="0.2">
      <c r="A114" s="1">
        <v>44053</v>
      </c>
      <c r="B114">
        <v>100.110001</v>
      </c>
      <c r="C114">
        <v>102.040001</v>
      </c>
      <c r="D114">
        <v>100.029999</v>
      </c>
      <c r="E114">
        <v>100.639999</v>
      </c>
      <c r="F114">
        <v>98.422058000000007</v>
      </c>
      <c r="G114">
        <v>14989900</v>
      </c>
      <c r="I114">
        <f t="shared" si="5"/>
        <v>1.2678600611152575E-2</v>
      </c>
      <c r="J114">
        <v>0</v>
      </c>
      <c r="K114">
        <f t="shared" si="3"/>
        <v>1.2678600611152575E-2</v>
      </c>
      <c r="L114">
        <f t="shared" si="4"/>
        <v>1.2678600611152575</v>
      </c>
      <c r="M114">
        <v>0.24</v>
      </c>
    </row>
    <row r="115" spans="1:13" x14ac:dyDescent="0.2">
      <c r="A115" s="1">
        <v>44054</v>
      </c>
      <c r="B115">
        <v>103.860001</v>
      </c>
      <c r="C115">
        <v>106.160004</v>
      </c>
      <c r="D115">
        <v>103.510002</v>
      </c>
      <c r="E115">
        <v>103.82</v>
      </c>
      <c r="F115">
        <v>101.53196699999999</v>
      </c>
      <c r="G115">
        <v>31518600</v>
      </c>
      <c r="I115">
        <f t="shared" si="5"/>
        <v>3.159768311286467E-2</v>
      </c>
      <c r="J115">
        <v>0</v>
      </c>
      <c r="K115">
        <f t="shared" si="3"/>
        <v>3.159768311286467E-2</v>
      </c>
      <c r="L115">
        <f t="shared" si="4"/>
        <v>3.159768311286467</v>
      </c>
      <c r="M115">
        <v>-0.83</v>
      </c>
    </row>
    <row r="116" spans="1:13" x14ac:dyDescent="0.2">
      <c r="A116" s="1">
        <v>44055</v>
      </c>
      <c r="B116">
        <v>106.160004</v>
      </c>
      <c r="C116">
        <v>106.43</v>
      </c>
      <c r="D116">
        <v>101.709999</v>
      </c>
      <c r="E116">
        <v>102.94000200000001</v>
      </c>
      <c r="F116">
        <v>100.671364</v>
      </c>
      <c r="G116">
        <v>19250200</v>
      </c>
      <c r="I116">
        <f t="shared" si="5"/>
        <v>-8.4761777539481501E-3</v>
      </c>
      <c r="J116">
        <v>0</v>
      </c>
      <c r="K116">
        <f t="shared" si="3"/>
        <v>-8.4761777539481501E-3</v>
      </c>
      <c r="L116">
        <f t="shared" si="4"/>
        <v>-0.84761777539481498</v>
      </c>
      <c r="M116">
        <v>1.4</v>
      </c>
    </row>
    <row r="117" spans="1:13" x14ac:dyDescent="0.2">
      <c r="A117" s="1">
        <v>44056</v>
      </c>
      <c r="B117">
        <v>102</v>
      </c>
      <c r="C117">
        <v>103.360001</v>
      </c>
      <c r="D117">
        <v>101.639999</v>
      </c>
      <c r="E117">
        <v>102.370003</v>
      </c>
      <c r="F117">
        <v>100.11393</v>
      </c>
      <c r="G117">
        <v>13598600</v>
      </c>
      <c r="I117">
        <f t="shared" si="5"/>
        <v>-5.5371654644512484E-3</v>
      </c>
      <c r="J117">
        <v>0</v>
      </c>
      <c r="K117">
        <f t="shared" si="3"/>
        <v>-5.5371654644512484E-3</v>
      </c>
      <c r="L117">
        <f t="shared" si="4"/>
        <v>-0.5537165464451248</v>
      </c>
      <c r="M117">
        <v>-0.01</v>
      </c>
    </row>
    <row r="118" spans="1:13" x14ac:dyDescent="0.2">
      <c r="A118" s="1">
        <v>44057</v>
      </c>
      <c r="B118">
        <v>101.5</v>
      </c>
      <c r="C118">
        <v>103.30999799999999</v>
      </c>
      <c r="D118">
        <v>101.41999800000001</v>
      </c>
      <c r="E118">
        <v>102.410004</v>
      </c>
      <c r="F118">
        <v>100.153053</v>
      </c>
      <c r="G118">
        <v>12134400</v>
      </c>
      <c r="I118">
        <f t="shared" si="5"/>
        <v>3.9078477890143335E-4</v>
      </c>
      <c r="J118">
        <v>0</v>
      </c>
      <c r="K118">
        <f t="shared" si="3"/>
        <v>3.9078477890143335E-4</v>
      </c>
      <c r="L118">
        <f t="shared" si="4"/>
        <v>3.9078477890143334E-2</v>
      </c>
      <c r="M118">
        <v>-0.04</v>
      </c>
    </row>
    <row r="119" spans="1:13" x14ac:dyDescent="0.2">
      <c r="A119" s="1">
        <v>44060</v>
      </c>
      <c r="B119">
        <v>101.5</v>
      </c>
      <c r="C119">
        <v>102</v>
      </c>
      <c r="D119">
        <v>99.529999000000004</v>
      </c>
      <c r="E119">
        <v>99.709998999999996</v>
      </c>
      <c r="F119">
        <v>97.512550000000005</v>
      </c>
      <c r="G119">
        <v>14988000</v>
      </c>
      <c r="I119">
        <f t="shared" si="5"/>
        <v>-2.6364678069274589E-2</v>
      </c>
      <c r="J119">
        <v>0</v>
      </c>
      <c r="K119">
        <f t="shared" si="3"/>
        <v>-2.6364678069274589E-2</v>
      </c>
      <c r="L119">
        <f t="shared" si="4"/>
        <v>-2.6364678069274587</v>
      </c>
      <c r="M119">
        <v>0.45</v>
      </c>
    </row>
    <row r="120" spans="1:13" x14ac:dyDescent="0.2">
      <c r="A120" s="1">
        <v>44061</v>
      </c>
      <c r="B120">
        <v>99.910004000000001</v>
      </c>
      <c r="C120">
        <v>99.910004000000001</v>
      </c>
      <c r="D120">
        <v>98.120002999999997</v>
      </c>
      <c r="E120">
        <v>98.32</v>
      </c>
      <c r="F120">
        <v>96.153182999999999</v>
      </c>
      <c r="G120">
        <v>13246500</v>
      </c>
      <c r="I120">
        <f t="shared" si="5"/>
        <v>-1.3940431257310017E-2</v>
      </c>
      <c r="J120">
        <v>0</v>
      </c>
      <c r="K120">
        <f t="shared" si="3"/>
        <v>-1.3940431257310017E-2</v>
      </c>
      <c r="L120">
        <f t="shared" si="4"/>
        <v>-1.3940431257310018</v>
      </c>
      <c r="M120">
        <v>0.22</v>
      </c>
    </row>
    <row r="121" spans="1:13" x14ac:dyDescent="0.2">
      <c r="A121" s="1">
        <v>44062</v>
      </c>
      <c r="B121">
        <v>98.919998000000007</v>
      </c>
      <c r="C121">
        <v>100.589996</v>
      </c>
      <c r="D121">
        <v>98.339995999999999</v>
      </c>
      <c r="E121">
        <v>98.550003000000004</v>
      </c>
      <c r="F121">
        <v>96.378119999999996</v>
      </c>
      <c r="G121">
        <v>13533000</v>
      </c>
      <c r="I121">
        <f t="shared" si="5"/>
        <v>2.3393609341044595E-3</v>
      </c>
      <c r="J121">
        <v>0</v>
      </c>
      <c r="K121">
        <f t="shared" si="3"/>
        <v>2.3393609341044595E-3</v>
      </c>
      <c r="L121">
        <f t="shared" si="4"/>
        <v>0.23393609341044597</v>
      </c>
      <c r="M121">
        <v>-0.38</v>
      </c>
    </row>
    <row r="122" spans="1:13" x14ac:dyDescent="0.2">
      <c r="A122" s="1">
        <v>44063</v>
      </c>
      <c r="B122">
        <v>97.260002</v>
      </c>
      <c r="C122">
        <v>98.029999000000004</v>
      </c>
      <c r="D122">
        <v>96.800003000000004</v>
      </c>
      <c r="E122">
        <v>97.370002999999997</v>
      </c>
      <c r="F122">
        <v>95.224129000000005</v>
      </c>
      <c r="G122">
        <v>13672600</v>
      </c>
      <c r="I122">
        <f t="shared" si="5"/>
        <v>-1.197357865042388E-2</v>
      </c>
      <c r="J122">
        <v>0</v>
      </c>
      <c r="K122">
        <f t="shared" si="3"/>
        <v>-1.197357865042388E-2</v>
      </c>
      <c r="L122">
        <f t="shared" si="4"/>
        <v>-1.1973578650423879</v>
      </c>
      <c r="M122">
        <v>0.31</v>
      </c>
    </row>
    <row r="123" spans="1:13" x14ac:dyDescent="0.2">
      <c r="A123" s="1">
        <v>44064</v>
      </c>
      <c r="B123">
        <v>97.269997000000004</v>
      </c>
      <c r="C123">
        <v>98.57</v>
      </c>
      <c r="D123">
        <v>96.940002000000007</v>
      </c>
      <c r="E123">
        <v>97.32</v>
      </c>
      <c r="F123">
        <v>95.175217000000004</v>
      </c>
      <c r="G123">
        <v>12228300</v>
      </c>
      <c r="I123">
        <f t="shared" si="5"/>
        <v>-5.1365132465534444E-4</v>
      </c>
      <c r="J123">
        <v>0</v>
      </c>
      <c r="K123">
        <f t="shared" si="3"/>
        <v>-5.1365132465534444E-4</v>
      </c>
      <c r="L123">
        <f t="shared" si="4"/>
        <v>-5.1365132465534445E-2</v>
      </c>
      <c r="M123">
        <v>0.25</v>
      </c>
    </row>
    <row r="124" spans="1:13" x14ac:dyDescent="0.2">
      <c r="A124" s="1">
        <v>44067</v>
      </c>
      <c r="B124">
        <v>98.449996999999996</v>
      </c>
      <c r="C124">
        <v>100.209999</v>
      </c>
      <c r="D124">
        <v>97.419998000000007</v>
      </c>
      <c r="E124">
        <v>100.05999799999999</v>
      </c>
      <c r="F124">
        <v>97.854836000000006</v>
      </c>
      <c r="G124">
        <v>17898300</v>
      </c>
      <c r="I124">
        <f t="shared" si="5"/>
        <v>2.8154587764165562E-2</v>
      </c>
      <c r="J124">
        <v>0</v>
      </c>
      <c r="K124">
        <f t="shared" si="3"/>
        <v>2.8154587764165562E-2</v>
      </c>
      <c r="L124">
        <f t="shared" si="4"/>
        <v>2.8154587764165564</v>
      </c>
      <c r="M124">
        <v>0.92</v>
      </c>
    </row>
    <row r="125" spans="1:13" x14ac:dyDescent="0.2">
      <c r="A125" s="1">
        <v>44068</v>
      </c>
      <c r="B125">
        <v>101.269997</v>
      </c>
      <c r="C125">
        <v>101.980003</v>
      </c>
      <c r="D125">
        <v>99.800003000000004</v>
      </c>
      <c r="E125">
        <v>100.5</v>
      </c>
      <c r="F125">
        <v>98.285149000000004</v>
      </c>
      <c r="G125">
        <v>13648900</v>
      </c>
      <c r="I125">
        <f t="shared" si="5"/>
        <v>4.3974627886556178E-3</v>
      </c>
      <c r="J125">
        <v>0</v>
      </c>
      <c r="K125">
        <f t="shared" si="3"/>
        <v>4.3974627886556178E-3</v>
      </c>
      <c r="L125">
        <f t="shared" si="4"/>
        <v>0.43974627886556178</v>
      </c>
      <c r="M125">
        <v>0.36</v>
      </c>
    </row>
    <row r="126" spans="1:13" x14ac:dyDescent="0.2">
      <c r="A126" s="1">
        <v>44069</v>
      </c>
      <c r="B126">
        <v>99.940002000000007</v>
      </c>
      <c r="C126">
        <v>100.269997</v>
      </c>
      <c r="D126">
        <v>99.050003000000004</v>
      </c>
      <c r="E126">
        <v>99.089995999999999</v>
      </c>
      <c r="F126">
        <v>96.906211999999996</v>
      </c>
      <c r="G126">
        <v>12052400</v>
      </c>
      <c r="I126">
        <f t="shared" si="5"/>
        <v>-1.4029962960121347E-2</v>
      </c>
      <c r="J126">
        <v>0</v>
      </c>
      <c r="K126">
        <f t="shared" si="3"/>
        <v>-1.4029962960121347E-2</v>
      </c>
      <c r="L126">
        <f t="shared" si="4"/>
        <v>-1.4029962960121347</v>
      </c>
      <c r="M126">
        <v>1</v>
      </c>
    </row>
    <row r="127" spans="1:13" x14ac:dyDescent="0.2">
      <c r="A127" s="1">
        <v>44070</v>
      </c>
      <c r="B127">
        <v>99</v>
      </c>
      <c r="C127">
        <v>102.650002</v>
      </c>
      <c r="D127">
        <v>99</v>
      </c>
      <c r="E127">
        <v>102.349998</v>
      </c>
      <c r="F127">
        <v>100.094368</v>
      </c>
      <c r="G127">
        <v>22163900</v>
      </c>
      <c r="I127">
        <f t="shared" si="5"/>
        <v>3.289939761550071E-2</v>
      </c>
      <c r="J127">
        <v>0</v>
      </c>
      <c r="K127">
        <f t="shared" si="3"/>
        <v>3.289939761550071E-2</v>
      </c>
      <c r="L127">
        <f t="shared" si="4"/>
        <v>3.289939761550071</v>
      </c>
      <c r="M127">
        <v>0.18</v>
      </c>
    </row>
    <row r="128" spans="1:13" x14ac:dyDescent="0.2">
      <c r="A128" s="1">
        <v>44071</v>
      </c>
      <c r="B128">
        <v>103.139999</v>
      </c>
      <c r="C128">
        <v>103.25</v>
      </c>
      <c r="D128">
        <v>101.80999799999999</v>
      </c>
      <c r="E128">
        <v>102.769997</v>
      </c>
      <c r="F128">
        <v>100.505112</v>
      </c>
      <c r="G128">
        <v>13756700</v>
      </c>
      <c r="I128">
        <f t="shared" si="5"/>
        <v>4.1035675453787168E-3</v>
      </c>
      <c r="J128">
        <v>0</v>
      </c>
      <c r="K128">
        <f t="shared" si="3"/>
        <v>4.1035675453787168E-3</v>
      </c>
      <c r="L128">
        <f t="shared" si="4"/>
        <v>0.41035675453787168</v>
      </c>
      <c r="M128">
        <v>0.7</v>
      </c>
    </row>
    <row r="129" spans="1:13" x14ac:dyDescent="0.2">
      <c r="A129" s="1">
        <v>44074</v>
      </c>
      <c r="B129">
        <v>102.120003</v>
      </c>
      <c r="C129">
        <v>102.18</v>
      </c>
      <c r="D129">
        <v>100.019997</v>
      </c>
      <c r="E129">
        <v>100.19000200000001</v>
      </c>
      <c r="F129">
        <v>97.981978999999995</v>
      </c>
      <c r="G129">
        <v>14219400</v>
      </c>
      <c r="I129">
        <f t="shared" si="5"/>
        <v>-2.5104524036548524E-2</v>
      </c>
      <c r="J129">
        <v>0</v>
      </c>
      <c r="K129">
        <f t="shared" si="3"/>
        <v>-2.5104524036548524E-2</v>
      </c>
      <c r="L129">
        <f t="shared" si="4"/>
        <v>-2.5104524036548526</v>
      </c>
      <c r="M129">
        <v>-0.04</v>
      </c>
    </row>
    <row r="130" spans="1:13" x14ac:dyDescent="0.2">
      <c r="A130" s="1">
        <v>44075</v>
      </c>
      <c r="B130">
        <v>99.550003000000004</v>
      </c>
      <c r="C130">
        <v>100.870003</v>
      </c>
      <c r="D130">
        <v>99.040001000000004</v>
      </c>
      <c r="E130">
        <v>100.139999</v>
      </c>
      <c r="F130">
        <v>97.933066999999994</v>
      </c>
      <c r="G130">
        <v>11602100</v>
      </c>
      <c r="I130">
        <f t="shared" si="5"/>
        <v>-4.9919383645028641E-4</v>
      </c>
      <c r="J130">
        <v>0</v>
      </c>
      <c r="K130">
        <f t="shared" si="3"/>
        <v>-4.9919383645028641E-4</v>
      </c>
      <c r="L130">
        <f t="shared" si="4"/>
        <v>-4.9919383645028639E-2</v>
      </c>
      <c r="M130">
        <v>0.92</v>
      </c>
    </row>
    <row r="131" spans="1:13" x14ac:dyDescent="0.2">
      <c r="A131" s="1">
        <v>44076</v>
      </c>
      <c r="B131">
        <v>99.949996999999996</v>
      </c>
      <c r="C131">
        <v>101.94000200000001</v>
      </c>
      <c r="D131">
        <v>99.559997999999993</v>
      </c>
      <c r="E131">
        <v>101.650002</v>
      </c>
      <c r="F131">
        <v>99.409797999999995</v>
      </c>
      <c r="G131">
        <v>14475700</v>
      </c>
      <c r="I131">
        <f t="shared" si="5"/>
        <v>1.5078982464625568E-2</v>
      </c>
      <c r="J131">
        <v>0</v>
      </c>
      <c r="K131">
        <f t="shared" si="3"/>
        <v>1.5078982464625568E-2</v>
      </c>
      <c r="L131">
        <f t="shared" si="4"/>
        <v>1.5078982464625568</v>
      </c>
      <c r="M131">
        <v>1.27</v>
      </c>
    </row>
    <row r="132" spans="1:13" x14ac:dyDescent="0.2">
      <c r="A132" s="1">
        <v>44077</v>
      </c>
      <c r="B132">
        <v>103.32</v>
      </c>
      <c r="C132">
        <v>104.989998</v>
      </c>
      <c r="D132">
        <v>100.639999</v>
      </c>
      <c r="E132">
        <v>101.33000199999999</v>
      </c>
      <c r="F132">
        <v>99.096855000000005</v>
      </c>
      <c r="G132">
        <v>23281200</v>
      </c>
      <c r="I132">
        <f t="shared" si="5"/>
        <v>-3.1480096157120246E-3</v>
      </c>
      <c r="J132">
        <v>0</v>
      </c>
      <c r="K132">
        <f t="shared" ref="K132:K195" si="6">I132-J132</f>
        <v>-3.1480096157120246E-3</v>
      </c>
      <c r="L132">
        <f t="shared" ref="L132:L195" si="7">100*K132</f>
        <v>-0.31480096157120246</v>
      </c>
      <c r="M132">
        <v>-3.7</v>
      </c>
    </row>
    <row r="133" spans="1:13" x14ac:dyDescent="0.2">
      <c r="A133" s="1">
        <v>44078</v>
      </c>
      <c r="B133">
        <v>104.050003</v>
      </c>
      <c r="C133">
        <v>105.209999</v>
      </c>
      <c r="D133">
        <v>101.370003</v>
      </c>
      <c r="E133">
        <v>103.519997</v>
      </c>
      <c r="F133">
        <v>101.238586</v>
      </c>
      <c r="G133">
        <v>26325500</v>
      </c>
      <c r="I133">
        <f t="shared" ref="I133:I196" si="8">(F133-F132)/F132</f>
        <v>2.161250223329482E-2</v>
      </c>
      <c r="J133">
        <v>0</v>
      </c>
      <c r="K133">
        <f t="shared" si="6"/>
        <v>2.161250223329482E-2</v>
      </c>
      <c r="L133">
        <f t="shared" si="7"/>
        <v>2.1612502233294819</v>
      </c>
      <c r="M133">
        <v>-0.87</v>
      </c>
    </row>
    <row r="134" spans="1:13" x14ac:dyDescent="0.2">
      <c r="A134" s="1">
        <v>44082</v>
      </c>
      <c r="B134">
        <v>102.980003</v>
      </c>
      <c r="C134">
        <v>103.57</v>
      </c>
      <c r="D134">
        <v>99.480002999999996</v>
      </c>
      <c r="E134">
        <v>99.919998000000007</v>
      </c>
      <c r="F134">
        <v>97.717917999999997</v>
      </c>
      <c r="G134">
        <v>22108600</v>
      </c>
      <c r="I134">
        <f t="shared" si="8"/>
        <v>-3.4775949952521076E-2</v>
      </c>
      <c r="J134">
        <v>0</v>
      </c>
      <c r="K134">
        <f t="shared" si="6"/>
        <v>-3.4775949952521076E-2</v>
      </c>
      <c r="L134">
        <f t="shared" si="7"/>
        <v>-3.4775949952521077</v>
      </c>
      <c r="M134">
        <v>-2.91</v>
      </c>
    </row>
    <row r="135" spans="1:13" x14ac:dyDescent="0.2">
      <c r="A135" s="1">
        <v>44083</v>
      </c>
      <c r="B135">
        <v>100.800003</v>
      </c>
      <c r="C135">
        <v>101.69000200000001</v>
      </c>
      <c r="D135">
        <v>99.559997999999993</v>
      </c>
      <c r="E135">
        <v>100.870003</v>
      </c>
      <c r="F135">
        <v>98.646987999999993</v>
      </c>
      <c r="G135">
        <v>13434000</v>
      </c>
      <c r="I135">
        <f t="shared" si="8"/>
        <v>9.5076728916798636E-3</v>
      </c>
      <c r="J135">
        <v>0</v>
      </c>
      <c r="K135">
        <f t="shared" si="6"/>
        <v>9.5076728916798636E-3</v>
      </c>
      <c r="L135">
        <f t="shared" si="7"/>
        <v>0.95076728916798636</v>
      </c>
      <c r="M135">
        <v>2.0699999999999998</v>
      </c>
    </row>
    <row r="136" spans="1:13" x14ac:dyDescent="0.2">
      <c r="A136" s="1">
        <v>44084</v>
      </c>
      <c r="B136">
        <v>101.400002</v>
      </c>
      <c r="C136">
        <v>102.41999800000001</v>
      </c>
      <c r="D136">
        <v>99.639999000000003</v>
      </c>
      <c r="E136">
        <v>99.830001999999993</v>
      </c>
      <c r="F136">
        <v>97.629906000000005</v>
      </c>
      <c r="G136">
        <v>15922800</v>
      </c>
      <c r="I136">
        <f t="shared" si="8"/>
        <v>-1.0310319865011873E-2</v>
      </c>
      <c r="J136">
        <v>0</v>
      </c>
      <c r="K136">
        <f t="shared" si="6"/>
        <v>-1.0310319865011873E-2</v>
      </c>
      <c r="L136">
        <f t="shared" si="7"/>
        <v>-1.0310319865011872</v>
      </c>
      <c r="M136">
        <v>-1.64</v>
      </c>
    </row>
    <row r="137" spans="1:13" x14ac:dyDescent="0.2">
      <c r="A137" s="1">
        <v>44085</v>
      </c>
      <c r="B137">
        <v>99.970000999999996</v>
      </c>
      <c r="C137">
        <v>101.360001</v>
      </c>
      <c r="D137">
        <v>99.589995999999999</v>
      </c>
      <c r="E137">
        <v>101.07</v>
      </c>
      <c r="F137">
        <v>98.842583000000005</v>
      </c>
      <c r="G137">
        <v>13784300</v>
      </c>
      <c r="I137">
        <f t="shared" si="8"/>
        <v>1.2421163244795086E-2</v>
      </c>
      <c r="J137">
        <v>0</v>
      </c>
      <c r="K137">
        <f t="shared" si="6"/>
        <v>1.2421163244795086E-2</v>
      </c>
      <c r="L137">
        <f t="shared" si="7"/>
        <v>1.2421163244795086</v>
      </c>
      <c r="M137">
        <v>-0.06</v>
      </c>
    </row>
    <row r="138" spans="1:13" x14ac:dyDescent="0.2">
      <c r="A138" s="1">
        <v>44088</v>
      </c>
      <c r="B138">
        <v>101.510002</v>
      </c>
      <c r="C138">
        <v>103.459999</v>
      </c>
      <c r="D138">
        <v>101.370003</v>
      </c>
      <c r="E138">
        <v>102.470001</v>
      </c>
      <c r="F138">
        <v>100.211731</v>
      </c>
      <c r="G138">
        <v>19017400</v>
      </c>
      <c r="I138">
        <f t="shared" si="8"/>
        <v>1.3851803124165578E-2</v>
      </c>
      <c r="J138">
        <v>0</v>
      </c>
      <c r="K138">
        <f t="shared" si="6"/>
        <v>1.3851803124165578E-2</v>
      </c>
      <c r="L138">
        <f t="shared" si="7"/>
        <v>1.3851803124165578</v>
      </c>
      <c r="M138">
        <v>1.59</v>
      </c>
    </row>
    <row r="139" spans="1:13" x14ac:dyDescent="0.2">
      <c r="A139" s="1">
        <v>44089</v>
      </c>
      <c r="B139">
        <v>102.730003</v>
      </c>
      <c r="C139">
        <v>102.849998</v>
      </c>
      <c r="D139">
        <v>99.139999000000003</v>
      </c>
      <c r="E139">
        <v>99.279999000000004</v>
      </c>
      <c r="F139">
        <v>97.092026000000004</v>
      </c>
      <c r="G139">
        <v>23683000</v>
      </c>
      <c r="I139">
        <f t="shared" si="8"/>
        <v>-3.1131135734996894E-2</v>
      </c>
      <c r="J139">
        <v>0</v>
      </c>
      <c r="K139">
        <f t="shared" si="6"/>
        <v>-3.1131135734996894E-2</v>
      </c>
      <c r="L139">
        <f t="shared" si="7"/>
        <v>-3.1131135734996893</v>
      </c>
      <c r="M139">
        <v>0.56999999999999995</v>
      </c>
    </row>
    <row r="140" spans="1:13" x14ac:dyDescent="0.2">
      <c r="A140" s="1">
        <v>44090</v>
      </c>
      <c r="B140">
        <v>99.43</v>
      </c>
      <c r="C140">
        <v>101.129997</v>
      </c>
      <c r="D140">
        <v>98.760002</v>
      </c>
      <c r="E140">
        <v>99.699996999999996</v>
      </c>
      <c r="F140">
        <v>97.502769000000001</v>
      </c>
      <c r="G140">
        <v>19270600</v>
      </c>
      <c r="I140">
        <f t="shared" si="8"/>
        <v>4.2304503976464194E-3</v>
      </c>
      <c r="J140">
        <v>0</v>
      </c>
      <c r="K140">
        <f t="shared" si="6"/>
        <v>4.2304503976464194E-3</v>
      </c>
      <c r="L140">
        <f t="shared" si="7"/>
        <v>0.42304503976464192</v>
      </c>
      <c r="M140">
        <v>-0.39</v>
      </c>
    </row>
    <row r="141" spans="1:13" x14ac:dyDescent="0.2">
      <c r="A141" s="1">
        <v>44091</v>
      </c>
      <c r="B141">
        <v>98.699996999999996</v>
      </c>
      <c r="C141">
        <v>99.339995999999999</v>
      </c>
      <c r="D141">
        <v>97.709998999999996</v>
      </c>
      <c r="E141">
        <v>98.559997999999993</v>
      </c>
      <c r="F141">
        <v>96.387894000000003</v>
      </c>
      <c r="G141">
        <v>18290100</v>
      </c>
      <c r="I141">
        <f t="shared" si="8"/>
        <v>-1.1434290650760881E-2</v>
      </c>
      <c r="J141">
        <v>0</v>
      </c>
      <c r="K141">
        <f t="shared" si="6"/>
        <v>-1.1434290650760881E-2</v>
      </c>
      <c r="L141">
        <f t="shared" si="7"/>
        <v>-1.1434290650760881</v>
      </c>
      <c r="M141">
        <v>-0.85</v>
      </c>
    </row>
    <row r="142" spans="1:13" x14ac:dyDescent="0.2">
      <c r="A142" s="1">
        <v>44092</v>
      </c>
      <c r="B142">
        <v>97.889999000000003</v>
      </c>
      <c r="C142">
        <v>99.489998</v>
      </c>
      <c r="D142">
        <v>97.440002000000007</v>
      </c>
      <c r="E142">
        <v>98.349997999999999</v>
      </c>
      <c r="F142">
        <v>96.182525999999996</v>
      </c>
      <c r="G142">
        <v>20121600</v>
      </c>
      <c r="I142">
        <f t="shared" si="8"/>
        <v>-2.1306410118267249E-3</v>
      </c>
      <c r="J142">
        <v>0</v>
      </c>
      <c r="K142">
        <f t="shared" si="6"/>
        <v>-2.1306410118267249E-3</v>
      </c>
      <c r="L142">
        <f t="shared" si="7"/>
        <v>-0.21306410118267249</v>
      </c>
      <c r="M142">
        <v>-0.88</v>
      </c>
    </row>
    <row r="143" spans="1:13" x14ac:dyDescent="0.2">
      <c r="A143" s="1">
        <v>44095</v>
      </c>
      <c r="B143">
        <v>95.199996999999996</v>
      </c>
      <c r="C143">
        <v>96.050003000000004</v>
      </c>
      <c r="D143">
        <v>93.82</v>
      </c>
      <c r="E143">
        <v>95.309997999999993</v>
      </c>
      <c r="F143">
        <v>93.209518000000003</v>
      </c>
      <c r="G143">
        <v>28378800</v>
      </c>
      <c r="I143">
        <f t="shared" si="8"/>
        <v>-3.0910063642953119E-2</v>
      </c>
      <c r="J143">
        <v>0</v>
      </c>
      <c r="K143">
        <f t="shared" si="6"/>
        <v>-3.0910063642953119E-2</v>
      </c>
      <c r="L143">
        <f t="shared" si="7"/>
        <v>-3.0910063642953118</v>
      </c>
      <c r="M143">
        <v>-1.08</v>
      </c>
    </row>
    <row r="144" spans="1:13" x14ac:dyDescent="0.2">
      <c r="A144" s="1">
        <v>44096</v>
      </c>
      <c r="B144">
        <v>94.959998999999996</v>
      </c>
      <c r="C144">
        <v>95.660004000000001</v>
      </c>
      <c r="D144">
        <v>93.669998000000007</v>
      </c>
      <c r="E144">
        <v>94.269997000000004</v>
      </c>
      <c r="F144">
        <v>92.192443999999995</v>
      </c>
      <c r="G144">
        <v>19257000</v>
      </c>
      <c r="I144">
        <f t="shared" si="8"/>
        <v>-1.0911696807615806E-2</v>
      </c>
      <c r="J144">
        <v>0</v>
      </c>
      <c r="K144">
        <f t="shared" si="6"/>
        <v>-1.0911696807615806E-2</v>
      </c>
      <c r="L144">
        <f t="shared" si="7"/>
        <v>-1.0911696807615807</v>
      </c>
      <c r="M144">
        <v>1.02</v>
      </c>
    </row>
    <row r="145" spans="1:13" x14ac:dyDescent="0.2">
      <c r="A145" s="1">
        <v>44097</v>
      </c>
      <c r="B145">
        <v>94.779999000000004</v>
      </c>
      <c r="C145">
        <v>95.349997999999999</v>
      </c>
      <c r="D145">
        <v>92.660004000000001</v>
      </c>
      <c r="E145">
        <v>92.739998</v>
      </c>
      <c r="F145">
        <v>90.696158999999994</v>
      </c>
      <c r="G145">
        <v>19952700</v>
      </c>
      <c r="I145">
        <f t="shared" si="8"/>
        <v>-1.6230017722493616E-2</v>
      </c>
      <c r="J145">
        <v>0</v>
      </c>
      <c r="K145">
        <f t="shared" si="6"/>
        <v>-1.6230017722493616E-2</v>
      </c>
      <c r="L145">
        <f t="shared" si="7"/>
        <v>-1.6230017722493617</v>
      </c>
      <c r="M145">
        <v>-2.48</v>
      </c>
    </row>
    <row r="146" spans="1:13" x14ac:dyDescent="0.2">
      <c r="A146" s="1">
        <v>44098</v>
      </c>
      <c r="B146">
        <v>92.32</v>
      </c>
      <c r="C146">
        <v>94.300003000000004</v>
      </c>
      <c r="D146">
        <v>91.379997000000003</v>
      </c>
      <c r="E146">
        <v>92.660004000000001</v>
      </c>
      <c r="F146">
        <v>90.617919999999998</v>
      </c>
      <c r="G146">
        <v>18366500</v>
      </c>
      <c r="I146">
        <f t="shared" si="8"/>
        <v>-8.6264954175177804E-4</v>
      </c>
      <c r="J146">
        <v>0</v>
      </c>
      <c r="K146">
        <f t="shared" si="6"/>
        <v>-8.6264954175177804E-4</v>
      </c>
      <c r="L146">
        <f t="shared" si="7"/>
        <v>-8.6264954175177808E-2</v>
      </c>
      <c r="M146">
        <v>0.25</v>
      </c>
    </row>
    <row r="147" spans="1:13" x14ac:dyDescent="0.2">
      <c r="A147" s="1">
        <v>44099</v>
      </c>
      <c r="B147">
        <v>92.050003000000004</v>
      </c>
      <c r="C147">
        <v>93.720000999999996</v>
      </c>
      <c r="D147">
        <v>91.870002999999997</v>
      </c>
      <c r="E147">
        <v>93.470000999999996</v>
      </c>
      <c r="F147">
        <v>91.410072</v>
      </c>
      <c r="G147">
        <v>13293100</v>
      </c>
      <c r="I147">
        <f t="shared" si="8"/>
        <v>8.7416705216804974E-3</v>
      </c>
      <c r="J147">
        <v>0</v>
      </c>
      <c r="K147">
        <f t="shared" si="6"/>
        <v>8.7416705216804974E-3</v>
      </c>
      <c r="L147">
        <f t="shared" si="7"/>
        <v>0.8741670521680498</v>
      </c>
      <c r="M147">
        <v>1.72</v>
      </c>
    </row>
    <row r="148" spans="1:13" x14ac:dyDescent="0.2">
      <c r="A148" s="1">
        <v>44102</v>
      </c>
      <c r="B148">
        <v>95.059997999999993</v>
      </c>
      <c r="C148">
        <v>96.93</v>
      </c>
      <c r="D148">
        <v>94.349997999999999</v>
      </c>
      <c r="E148">
        <v>96.160004000000001</v>
      </c>
      <c r="F148">
        <v>94.040786999999995</v>
      </c>
      <c r="G148">
        <v>20894100</v>
      </c>
      <c r="I148">
        <f t="shared" si="8"/>
        <v>2.8779268437727466E-2</v>
      </c>
      <c r="J148">
        <v>0</v>
      </c>
      <c r="K148">
        <f t="shared" si="6"/>
        <v>2.8779268437727466E-2</v>
      </c>
      <c r="L148">
        <f t="shared" si="7"/>
        <v>2.8779268437727468</v>
      </c>
      <c r="M148">
        <v>1.66</v>
      </c>
    </row>
    <row r="149" spans="1:13" x14ac:dyDescent="0.2">
      <c r="A149" s="1">
        <v>44103</v>
      </c>
      <c r="B149">
        <v>96.029999000000004</v>
      </c>
      <c r="C149">
        <v>96.029999000000004</v>
      </c>
      <c r="D149">
        <v>94.330001999999993</v>
      </c>
      <c r="E149">
        <v>95.349997999999999</v>
      </c>
      <c r="F149">
        <v>93.248633999999996</v>
      </c>
      <c r="G149">
        <v>12848200</v>
      </c>
      <c r="I149">
        <f t="shared" si="8"/>
        <v>-8.4235045799861182E-3</v>
      </c>
      <c r="J149">
        <v>0</v>
      </c>
      <c r="K149">
        <f t="shared" si="6"/>
        <v>-8.4235045799861182E-3</v>
      </c>
      <c r="L149">
        <f t="shared" si="7"/>
        <v>-0.84235045799861186</v>
      </c>
      <c r="M149">
        <v>-0.42</v>
      </c>
    </row>
    <row r="150" spans="1:13" x14ac:dyDescent="0.2">
      <c r="A150" s="1">
        <v>44104</v>
      </c>
      <c r="B150">
        <v>95.349997999999999</v>
      </c>
      <c r="C150">
        <v>97.199996999999996</v>
      </c>
      <c r="D150">
        <v>95.260002</v>
      </c>
      <c r="E150">
        <v>96.269997000000004</v>
      </c>
      <c r="F150">
        <v>94.148360999999994</v>
      </c>
      <c r="G150">
        <v>16400600</v>
      </c>
      <c r="I150">
        <f t="shared" si="8"/>
        <v>9.6486882585325451E-3</v>
      </c>
      <c r="J150">
        <v>0</v>
      </c>
      <c r="K150">
        <f t="shared" si="6"/>
        <v>9.6486882585325451E-3</v>
      </c>
      <c r="L150">
        <f t="shared" si="7"/>
        <v>0.96486882585325451</v>
      </c>
      <c r="M150">
        <v>0.79</v>
      </c>
    </row>
    <row r="151" spans="1:13" x14ac:dyDescent="0.2">
      <c r="A151" s="1">
        <v>44105</v>
      </c>
      <c r="B151">
        <v>97.120002999999997</v>
      </c>
      <c r="C151">
        <v>97.769997000000004</v>
      </c>
      <c r="D151">
        <v>96.029999000000004</v>
      </c>
      <c r="E151">
        <v>96.970000999999996</v>
      </c>
      <c r="F151">
        <v>94.832938999999996</v>
      </c>
      <c r="G151">
        <v>15778700</v>
      </c>
      <c r="I151">
        <f t="shared" si="8"/>
        <v>7.2712683760899665E-3</v>
      </c>
      <c r="J151">
        <v>0</v>
      </c>
      <c r="K151">
        <f t="shared" si="6"/>
        <v>7.2712683760899665E-3</v>
      </c>
      <c r="L151">
        <f t="shared" si="7"/>
        <v>0.72712683760899666</v>
      </c>
      <c r="M151">
        <v>0.79</v>
      </c>
    </row>
    <row r="152" spans="1:13" x14ac:dyDescent="0.2">
      <c r="A152" s="1">
        <v>44106</v>
      </c>
      <c r="B152">
        <v>95.25</v>
      </c>
      <c r="C152">
        <v>98.589995999999999</v>
      </c>
      <c r="D152">
        <v>95.089995999999999</v>
      </c>
      <c r="E152">
        <v>97.889999000000003</v>
      </c>
      <c r="F152">
        <v>95.732658000000001</v>
      </c>
      <c r="G152">
        <v>15149600</v>
      </c>
      <c r="I152">
        <f t="shared" si="8"/>
        <v>9.4874102762965585E-3</v>
      </c>
      <c r="J152">
        <v>0</v>
      </c>
      <c r="K152">
        <f t="shared" si="6"/>
        <v>9.4874102762965585E-3</v>
      </c>
      <c r="L152">
        <f t="shared" si="7"/>
        <v>0.94874102762965584</v>
      </c>
      <c r="M152">
        <v>-0.96</v>
      </c>
    </row>
    <row r="153" spans="1:13" x14ac:dyDescent="0.2">
      <c r="A153" s="1">
        <v>44109</v>
      </c>
      <c r="B153">
        <v>98.32</v>
      </c>
      <c r="C153">
        <v>99.25</v>
      </c>
      <c r="D153">
        <v>97.529999000000004</v>
      </c>
      <c r="E153">
        <v>99.040001000000004</v>
      </c>
      <c r="F153">
        <v>97.756088000000005</v>
      </c>
      <c r="G153">
        <v>13871900</v>
      </c>
      <c r="I153">
        <f t="shared" si="8"/>
        <v>2.1136256344203925E-2</v>
      </c>
      <c r="J153">
        <v>0</v>
      </c>
      <c r="K153">
        <f t="shared" si="6"/>
        <v>2.1136256344203925E-2</v>
      </c>
      <c r="L153">
        <f t="shared" si="7"/>
        <v>2.1136256344203925</v>
      </c>
      <c r="M153">
        <v>1.93</v>
      </c>
    </row>
    <row r="154" spans="1:13" x14ac:dyDescent="0.2">
      <c r="A154" s="1">
        <v>44110</v>
      </c>
      <c r="B154">
        <v>100.07</v>
      </c>
      <c r="C154">
        <v>100.860001</v>
      </c>
      <c r="D154">
        <v>97.510002</v>
      </c>
      <c r="E154">
        <v>98.019997000000004</v>
      </c>
      <c r="F154">
        <v>96.749306000000004</v>
      </c>
      <c r="G154">
        <v>19220400</v>
      </c>
      <c r="I154">
        <f t="shared" si="8"/>
        <v>-1.029891867195014E-2</v>
      </c>
      <c r="J154">
        <v>0</v>
      </c>
      <c r="K154">
        <f t="shared" si="6"/>
        <v>-1.029891867195014E-2</v>
      </c>
      <c r="L154">
        <f t="shared" si="7"/>
        <v>-1.0298918671950141</v>
      </c>
      <c r="M154">
        <v>-1.28</v>
      </c>
    </row>
    <row r="155" spans="1:13" x14ac:dyDescent="0.2">
      <c r="A155" s="1">
        <v>44111</v>
      </c>
      <c r="B155">
        <v>98.959998999999996</v>
      </c>
      <c r="C155">
        <v>100.349998</v>
      </c>
      <c r="D155">
        <v>98.669998000000007</v>
      </c>
      <c r="E155">
        <v>99.730002999999996</v>
      </c>
      <c r="F155">
        <v>98.437149000000005</v>
      </c>
      <c r="G155">
        <v>16358500</v>
      </c>
      <c r="I155">
        <f t="shared" si="8"/>
        <v>1.7445530823755995E-2</v>
      </c>
      <c r="J155">
        <v>0</v>
      </c>
      <c r="K155">
        <f t="shared" si="6"/>
        <v>1.7445530823755995E-2</v>
      </c>
      <c r="L155">
        <f t="shared" si="7"/>
        <v>1.7445530823755995</v>
      </c>
      <c r="M155">
        <v>1.84</v>
      </c>
    </row>
    <row r="156" spans="1:13" x14ac:dyDescent="0.2">
      <c r="A156" s="1">
        <v>44112</v>
      </c>
      <c r="B156">
        <v>100.510002</v>
      </c>
      <c r="C156">
        <v>101.91999800000001</v>
      </c>
      <c r="D156">
        <v>99.900002000000001</v>
      </c>
      <c r="E156">
        <v>101.779999</v>
      </c>
      <c r="F156">
        <v>100.46056400000001</v>
      </c>
      <c r="G156">
        <v>15659000</v>
      </c>
      <c r="I156">
        <f t="shared" si="8"/>
        <v>2.0555400278811406E-2</v>
      </c>
      <c r="J156">
        <v>0</v>
      </c>
      <c r="K156">
        <f t="shared" si="6"/>
        <v>2.0555400278811406E-2</v>
      </c>
      <c r="L156">
        <f t="shared" si="7"/>
        <v>2.0555400278811407</v>
      </c>
      <c r="M156">
        <v>0.8</v>
      </c>
    </row>
    <row r="157" spans="1:13" x14ac:dyDescent="0.2">
      <c r="A157" s="1">
        <v>44113</v>
      </c>
      <c r="B157">
        <v>102</v>
      </c>
      <c r="C157">
        <v>102.110001</v>
      </c>
      <c r="D157">
        <v>100.110001</v>
      </c>
      <c r="E157">
        <v>101.199997</v>
      </c>
      <c r="F157">
        <v>99.888084000000006</v>
      </c>
      <c r="G157">
        <v>13689100</v>
      </c>
      <c r="I157">
        <f t="shared" si="8"/>
        <v>-5.6985545094092715E-3</v>
      </c>
      <c r="J157">
        <v>0</v>
      </c>
      <c r="K157">
        <f t="shared" si="6"/>
        <v>-5.6985545094092715E-3</v>
      </c>
      <c r="L157">
        <f t="shared" si="7"/>
        <v>-0.56985545094092716</v>
      </c>
      <c r="M157">
        <v>0.93</v>
      </c>
    </row>
    <row r="158" spans="1:13" x14ac:dyDescent="0.2">
      <c r="A158" s="1">
        <v>44116</v>
      </c>
      <c r="B158">
        <v>101.099998</v>
      </c>
      <c r="C158">
        <v>103</v>
      </c>
      <c r="D158">
        <v>100.849998</v>
      </c>
      <c r="E158">
        <v>102.44000200000001</v>
      </c>
      <c r="F158">
        <v>101.112015</v>
      </c>
      <c r="G158">
        <v>16058000</v>
      </c>
      <c r="I158">
        <f t="shared" si="8"/>
        <v>1.2253023093325058E-2</v>
      </c>
      <c r="J158">
        <v>0</v>
      </c>
      <c r="K158">
        <f t="shared" si="6"/>
        <v>1.2253023093325058E-2</v>
      </c>
      <c r="L158">
        <f t="shared" si="7"/>
        <v>1.2253023093325057</v>
      </c>
      <c r="M158">
        <v>1.53</v>
      </c>
    </row>
    <row r="159" spans="1:13" x14ac:dyDescent="0.2">
      <c r="A159" s="1">
        <v>44117</v>
      </c>
      <c r="B159">
        <v>103</v>
      </c>
      <c r="C159">
        <v>103.220001</v>
      </c>
      <c r="D159">
        <v>100.260002</v>
      </c>
      <c r="E159">
        <v>100.779999</v>
      </c>
      <c r="F159">
        <v>99.473526000000007</v>
      </c>
      <c r="G159">
        <v>21697300</v>
      </c>
      <c r="I159">
        <f t="shared" si="8"/>
        <v>-1.6204691400918011E-2</v>
      </c>
      <c r="J159">
        <v>0</v>
      </c>
      <c r="K159">
        <f t="shared" si="6"/>
        <v>-1.6204691400918011E-2</v>
      </c>
      <c r="L159">
        <f t="shared" si="7"/>
        <v>-1.620469140091801</v>
      </c>
      <c r="M159">
        <v>-0.41</v>
      </c>
    </row>
    <row r="160" spans="1:13" x14ac:dyDescent="0.2">
      <c r="A160" s="1">
        <v>44118</v>
      </c>
      <c r="B160">
        <v>101.029999</v>
      </c>
      <c r="C160">
        <v>101.93</v>
      </c>
      <c r="D160">
        <v>100.099998</v>
      </c>
      <c r="E160">
        <v>100.220001</v>
      </c>
      <c r="F160">
        <v>98.920792000000006</v>
      </c>
      <c r="G160">
        <v>15214900</v>
      </c>
      <c r="I160">
        <f t="shared" si="8"/>
        <v>-5.5565940228156875E-3</v>
      </c>
      <c r="J160">
        <v>0</v>
      </c>
      <c r="K160">
        <f t="shared" si="6"/>
        <v>-5.5565940228156875E-3</v>
      </c>
      <c r="L160">
        <f t="shared" si="7"/>
        <v>-0.55565940228156874</v>
      </c>
      <c r="M160">
        <v>-0.65</v>
      </c>
    </row>
    <row r="161" spans="1:13" x14ac:dyDescent="0.2">
      <c r="A161" s="1">
        <v>44119</v>
      </c>
      <c r="B161">
        <v>99.099997999999999</v>
      </c>
      <c r="C161">
        <v>101.779999</v>
      </c>
      <c r="D161">
        <v>99.040001000000004</v>
      </c>
      <c r="E161">
        <v>101.720001</v>
      </c>
      <c r="F161">
        <v>100.40134399999999</v>
      </c>
      <c r="G161">
        <v>17171200</v>
      </c>
      <c r="I161">
        <f t="shared" si="8"/>
        <v>1.4967045552971197E-2</v>
      </c>
      <c r="J161">
        <v>0</v>
      </c>
      <c r="K161">
        <f t="shared" si="6"/>
        <v>1.4967045552971197E-2</v>
      </c>
      <c r="L161">
        <f t="shared" si="7"/>
        <v>1.4967045552971197</v>
      </c>
      <c r="M161">
        <v>-0.08</v>
      </c>
    </row>
    <row r="162" spans="1:13" x14ac:dyDescent="0.2">
      <c r="A162" s="1">
        <v>44120</v>
      </c>
      <c r="B162">
        <v>101.410004</v>
      </c>
      <c r="C162">
        <v>102.33000199999999</v>
      </c>
      <c r="D162">
        <v>100.720001</v>
      </c>
      <c r="E162">
        <v>101.510002</v>
      </c>
      <c r="F162">
        <v>100.194069</v>
      </c>
      <c r="G162">
        <v>13275000</v>
      </c>
      <c r="I162">
        <f t="shared" si="8"/>
        <v>-2.0644643960144164E-3</v>
      </c>
      <c r="J162">
        <v>0</v>
      </c>
      <c r="K162">
        <f t="shared" si="6"/>
        <v>-2.0644643960144164E-3</v>
      </c>
      <c r="L162">
        <f t="shared" si="7"/>
        <v>-0.20644643960144163</v>
      </c>
      <c r="M162">
        <v>-0.06</v>
      </c>
    </row>
    <row r="163" spans="1:13" x14ac:dyDescent="0.2">
      <c r="A163" s="1">
        <v>44123</v>
      </c>
      <c r="B163">
        <v>101.599998</v>
      </c>
      <c r="C163">
        <v>101.870003</v>
      </c>
      <c r="D163">
        <v>99.559997999999993</v>
      </c>
      <c r="E163">
        <v>99.800003000000004</v>
      </c>
      <c r="F163">
        <v>98.506241000000003</v>
      </c>
      <c r="G163">
        <v>11725700</v>
      </c>
      <c r="I163">
        <f t="shared" si="8"/>
        <v>-1.6845587935948547E-2</v>
      </c>
      <c r="J163">
        <v>0</v>
      </c>
      <c r="K163">
        <f t="shared" si="6"/>
        <v>-1.6845587935948547E-2</v>
      </c>
      <c r="L163">
        <f t="shared" si="7"/>
        <v>-1.6845587935948547</v>
      </c>
      <c r="M163">
        <v>-1.53</v>
      </c>
    </row>
    <row r="164" spans="1:13" x14ac:dyDescent="0.2">
      <c r="A164" s="1">
        <v>44124</v>
      </c>
      <c r="B164">
        <v>100.30999799999999</v>
      </c>
      <c r="C164">
        <v>101.769997</v>
      </c>
      <c r="D164">
        <v>100.120003</v>
      </c>
      <c r="E164">
        <v>100.370003</v>
      </c>
      <c r="F164">
        <v>99.068854999999999</v>
      </c>
      <c r="G164">
        <v>11257100</v>
      </c>
      <c r="I164">
        <f t="shared" si="8"/>
        <v>5.7114553787510416E-3</v>
      </c>
      <c r="J164">
        <v>0</v>
      </c>
      <c r="K164">
        <f t="shared" si="6"/>
        <v>5.7114553787510416E-3</v>
      </c>
      <c r="L164">
        <f t="shared" si="7"/>
        <v>0.57114553787510414</v>
      </c>
      <c r="M164">
        <v>0.34</v>
      </c>
    </row>
    <row r="165" spans="1:13" x14ac:dyDescent="0.2">
      <c r="A165" s="1">
        <v>44125</v>
      </c>
      <c r="B165">
        <v>100.360001</v>
      </c>
      <c r="C165">
        <v>100.989998</v>
      </c>
      <c r="D165">
        <v>99.330001999999993</v>
      </c>
      <c r="E165">
        <v>99.370002999999997</v>
      </c>
      <c r="F165">
        <v>98.081810000000004</v>
      </c>
      <c r="G165">
        <v>10730500</v>
      </c>
      <c r="I165">
        <f t="shared" si="8"/>
        <v>-9.9632220439006269E-3</v>
      </c>
      <c r="J165">
        <v>0</v>
      </c>
      <c r="K165">
        <f t="shared" si="6"/>
        <v>-9.9632220439006269E-3</v>
      </c>
      <c r="L165">
        <f t="shared" si="7"/>
        <v>-0.99632220439006269</v>
      </c>
      <c r="M165">
        <v>-0.36</v>
      </c>
    </row>
    <row r="166" spans="1:13" x14ac:dyDescent="0.2">
      <c r="A166" s="1">
        <v>44126</v>
      </c>
      <c r="B166">
        <v>99.32</v>
      </c>
      <c r="C166">
        <v>103.239998</v>
      </c>
      <c r="D166">
        <v>99.309997999999993</v>
      </c>
      <c r="E166">
        <v>102.879997</v>
      </c>
      <c r="F166">
        <v>101.54630299999999</v>
      </c>
      <c r="G166">
        <v>14837200</v>
      </c>
      <c r="I166">
        <f t="shared" si="8"/>
        <v>3.5322482323684588E-2</v>
      </c>
      <c r="J166">
        <v>0</v>
      </c>
      <c r="K166">
        <f t="shared" si="6"/>
        <v>3.5322482323684588E-2</v>
      </c>
      <c r="L166">
        <f t="shared" si="7"/>
        <v>3.5322482323684588</v>
      </c>
      <c r="M166">
        <v>0.67</v>
      </c>
    </row>
    <row r="167" spans="1:13" x14ac:dyDescent="0.2">
      <c r="A167" s="1">
        <v>44127</v>
      </c>
      <c r="B167">
        <v>103.5</v>
      </c>
      <c r="C167">
        <v>104.449997</v>
      </c>
      <c r="D167">
        <v>102.93</v>
      </c>
      <c r="E167">
        <v>103.80999799999999</v>
      </c>
      <c r="F167">
        <v>102.464249</v>
      </c>
      <c r="G167">
        <v>15087600</v>
      </c>
      <c r="I167">
        <f t="shared" si="8"/>
        <v>9.0396791698069065E-3</v>
      </c>
      <c r="J167">
        <v>0</v>
      </c>
      <c r="K167">
        <f t="shared" si="6"/>
        <v>9.0396791698069065E-3</v>
      </c>
      <c r="L167">
        <f t="shared" si="7"/>
        <v>0.90396791698069068</v>
      </c>
      <c r="M167">
        <v>0.38</v>
      </c>
    </row>
    <row r="168" spans="1:13" x14ac:dyDescent="0.2">
      <c r="A168" s="1">
        <v>44130</v>
      </c>
      <c r="B168">
        <v>102.650002</v>
      </c>
      <c r="C168">
        <v>102.699997</v>
      </c>
      <c r="D168">
        <v>100.25</v>
      </c>
      <c r="E168">
        <v>101.239998</v>
      </c>
      <c r="F168">
        <v>99.927566999999996</v>
      </c>
      <c r="G168">
        <v>12410700</v>
      </c>
      <c r="I168">
        <f t="shared" si="8"/>
        <v>-2.475675198673441E-2</v>
      </c>
      <c r="J168">
        <v>0</v>
      </c>
      <c r="K168">
        <f t="shared" si="6"/>
        <v>-2.475675198673441E-2</v>
      </c>
      <c r="L168">
        <f t="shared" si="7"/>
        <v>-2.4756751986734411</v>
      </c>
      <c r="M168">
        <v>-1.85</v>
      </c>
    </row>
    <row r="169" spans="1:13" x14ac:dyDescent="0.2">
      <c r="A169" s="1">
        <v>44131</v>
      </c>
      <c r="B169">
        <v>100.510002</v>
      </c>
      <c r="C169">
        <v>100.91999800000001</v>
      </c>
      <c r="D169">
        <v>99.160004000000001</v>
      </c>
      <c r="E169">
        <v>99.330001999999993</v>
      </c>
      <c r="F169">
        <v>98.042327999999998</v>
      </c>
      <c r="G169">
        <v>10391700</v>
      </c>
      <c r="I169">
        <f t="shared" si="8"/>
        <v>-1.8866055249799073E-2</v>
      </c>
      <c r="J169">
        <v>0</v>
      </c>
      <c r="K169">
        <f t="shared" si="6"/>
        <v>-1.8866055249799073E-2</v>
      </c>
      <c r="L169">
        <f t="shared" si="7"/>
        <v>-1.8866055249799074</v>
      </c>
      <c r="M169">
        <v>-0.23</v>
      </c>
    </row>
    <row r="170" spans="1:13" x14ac:dyDescent="0.2">
      <c r="A170" s="1">
        <v>44132</v>
      </c>
      <c r="B170">
        <v>97.5</v>
      </c>
      <c r="C170">
        <v>98.300003000000004</v>
      </c>
      <c r="D170">
        <v>96.07</v>
      </c>
      <c r="E170">
        <v>96.540001000000004</v>
      </c>
      <c r="F170">
        <v>95.288498000000004</v>
      </c>
      <c r="G170">
        <v>16389500</v>
      </c>
      <c r="I170">
        <f t="shared" si="8"/>
        <v>-2.8088174324053115E-2</v>
      </c>
      <c r="J170">
        <v>0</v>
      </c>
      <c r="K170">
        <f t="shared" si="6"/>
        <v>-2.8088174324053115E-2</v>
      </c>
      <c r="L170">
        <f t="shared" si="7"/>
        <v>-2.8088174324053115</v>
      </c>
      <c r="M170">
        <v>-3.41</v>
      </c>
    </row>
    <row r="171" spans="1:13" x14ac:dyDescent="0.2">
      <c r="A171" s="1">
        <v>44133</v>
      </c>
      <c r="B171">
        <v>96.120002999999997</v>
      </c>
      <c r="C171">
        <v>97.980002999999996</v>
      </c>
      <c r="D171">
        <v>95.239998</v>
      </c>
      <c r="E171">
        <v>97.169998000000007</v>
      </c>
      <c r="F171">
        <v>95.910331999999997</v>
      </c>
      <c r="G171">
        <v>14208800</v>
      </c>
      <c r="I171">
        <f t="shared" si="8"/>
        <v>6.5258033556158338E-3</v>
      </c>
      <c r="J171">
        <v>0</v>
      </c>
      <c r="K171">
        <f t="shared" si="6"/>
        <v>6.5258033556158338E-3</v>
      </c>
      <c r="L171">
        <f t="shared" si="7"/>
        <v>0.65258033556158335</v>
      </c>
      <c r="M171">
        <v>1.1299999999999999</v>
      </c>
    </row>
    <row r="172" spans="1:13" x14ac:dyDescent="0.2">
      <c r="A172" s="1">
        <v>44134</v>
      </c>
      <c r="B172">
        <v>97.910004000000001</v>
      </c>
      <c r="C172">
        <v>98.419998000000007</v>
      </c>
      <c r="D172">
        <v>96.230002999999996</v>
      </c>
      <c r="E172">
        <v>98.040001000000004</v>
      </c>
      <c r="F172">
        <v>96.769051000000005</v>
      </c>
      <c r="G172">
        <v>15194500</v>
      </c>
      <c r="I172">
        <f t="shared" si="8"/>
        <v>8.9533523875197068E-3</v>
      </c>
      <c r="J172">
        <v>0</v>
      </c>
      <c r="K172">
        <f t="shared" si="6"/>
        <v>8.9533523875197068E-3</v>
      </c>
      <c r="L172">
        <f t="shared" si="7"/>
        <v>0.89533523875197063</v>
      </c>
      <c r="M172">
        <v>-1.45</v>
      </c>
    </row>
    <row r="173" spans="1:13" x14ac:dyDescent="0.2">
      <c r="A173" s="1">
        <v>44137</v>
      </c>
      <c r="B173">
        <v>99.389999000000003</v>
      </c>
      <c r="C173">
        <v>100.879997</v>
      </c>
      <c r="D173">
        <v>97.860000999999997</v>
      </c>
      <c r="E173">
        <v>100.25</v>
      </c>
      <c r="F173">
        <v>98.950400999999999</v>
      </c>
      <c r="G173">
        <v>15011600</v>
      </c>
      <c r="I173">
        <f t="shared" si="8"/>
        <v>2.254181453117686E-2</v>
      </c>
      <c r="J173">
        <v>0</v>
      </c>
      <c r="K173">
        <f t="shared" si="6"/>
        <v>2.254181453117686E-2</v>
      </c>
      <c r="L173">
        <f t="shared" si="7"/>
        <v>2.254181453117686</v>
      </c>
      <c r="M173">
        <v>1.17</v>
      </c>
    </row>
    <row r="174" spans="1:13" x14ac:dyDescent="0.2">
      <c r="A174" s="1">
        <v>44138</v>
      </c>
      <c r="B174">
        <v>103.019997</v>
      </c>
      <c r="C174">
        <v>104.739998</v>
      </c>
      <c r="D174">
        <v>102.69000200000001</v>
      </c>
      <c r="E174">
        <v>103.410004</v>
      </c>
      <c r="F174">
        <v>102.06944300000001</v>
      </c>
      <c r="G174">
        <v>17482600</v>
      </c>
      <c r="I174">
        <f t="shared" si="8"/>
        <v>3.152126690219282E-2</v>
      </c>
      <c r="J174">
        <v>0</v>
      </c>
      <c r="K174">
        <f t="shared" si="6"/>
        <v>3.152126690219282E-2</v>
      </c>
      <c r="L174">
        <f t="shared" si="7"/>
        <v>3.1521266902192822</v>
      </c>
      <c r="M174">
        <v>1.93</v>
      </c>
    </row>
    <row r="175" spans="1:13" x14ac:dyDescent="0.2">
      <c r="A175" s="1">
        <v>44139</v>
      </c>
      <c r="B175">
        <v>101</v>
      </c>
      <c r="C175">
        <v>102.07</v>
      </c>
      <c r="D175">
        <v>98.93</v>
      </c>
      <c r="E175">
        <v>100.25</v>
      </c>
      <c r="F175">
        <v>98.950400999999999</v>
      </c>
      <c r="G175">
        <v>18886500</v>
      </c>
      <c r="I175">
        <f t="shared" si="8"/>
        <v>-3.0558038805012459E-2</v>
      </c>
      <c r="J175">
        <v>0</v>
      </c>
      <c r="K175">
        <f t="shared" si="6"/>
        <v>-3.0558038805012459E-2</v>
      </c>
      <c r="L175">
        <f t="shared" si="7"/>
        <v>-3.0558038805012457</v>
      </c>
      <c r="M175">
        <v>2.25</v>
      </c>
    </row>
    <row r="176" spans="1:13" x14ac:dyDescent="0.2">
      <c r="A176" s="1">
        <v>44140</v>
      </c>
      <c r="B176">
        <v>101.05999799999999</v>
      </c>
      <c r="C176">
        <v>105.099998</v>
      </c>
      <c r="D176">
        <v>101</v>
      </c>
      <c r="E176">
        <v>104.349998</v>
      </c>
      <c r="F176">
        <v>102.997253</v>
      </c>
      <c r="G176">
        <v>17837400</v>
      </c>
      <c r="I176">
        <f t="shared" si="8"/>
        <v>4.0897782718434875E-2</v>
      </c>
      <c r="J176">
        <v>0</v>
      </c>
      <c r="K176">
        <f t="shared" si="6"/>
        <v>4.0897782718434875E-2</v>
      </c>
      <c r="L176">
        <f t="shared" si="7"/>
        <v>4.0897782718434872</v>
      </c>
      <c r="M176">
        <v>2.13</v>
      </c>
    </row>
    <row r="177" spans="1:13" x14ac:dyDescent="0.2">
      <c r="A177" s="1">
        <v>44141</v>
      </c>
      <c r="B177">
        <v>105.029999</v>
      </c>
      <c r="C177">
        <v>105.099998</v>
      </c>
      <c r="D177">
        <v>102.389999</v>
      </c>
      <c r="E177">
        <v>102.959999</v>
      </c>
      <c r="F177">
        <v>101.62526699999999</v>
      </c>
      <c r="G177">
        <v>12552800</v>
      </c>
      <c r="I177">
        <f t="shared" si="8"/>
        <v>-1.3320607686498268E-2</v>
      </c>
      <c r="J177">
        <v>0</v>
      </c>
      <c r="K177">
        <f t="shared" si="6"/>
        <v>-1.3320607686498268E-2</v>
      </c>
      <c r="L177">
        <f t="shared" si="7"/>
        <v>-1.3320607686498267</v>
      </c>
      <c r="M177">
        <v>0.01</v>
      </c>
    </row>
    <row r="178" spans="1:13" x14ac:dyDescent="0.2">
      <c r="A178" s="1">
        <v>44144</v>
      </c>
      <c r="B178">
        <v>113.160004</v>
      </c>
      <c r="C178">
        <v>118.900002</v>
      </c>
      <c r="D178">
        <v>110.349998</v>
      </c>
      <c r="E178">
        <v>116.900002</v>
      </c>
      <c r="F178">
        <v>115.38455999999999</v>
      </c>
      <c r="G178">
        <v>47792400</v>
      </c>
      <c r="I178">
        <f t="shared" si="8"/>
        <v>0.13539244133056005</v>
      </c>
      <c r="J178">
        <v>0</v>
      </c>
      <c r="K178">
        <f t="shared" si="6"/>
        <v>0.13539244133056005</v>
      </c>
      <c r="L178">
        <f t="shared" si="7"/>
        <v>13.539244133056005</v>
      </c>
      <c r="M178">
        <v>0.82</v>
      </c>
    </row>
    <row r="179" spans="1:13" x14ac:dyDescent="0.2">
      <c r="A179" s="1">
        <v>44145</v>
      </c>
      <c r="B179">
        <v>117.349998</v>
      </c>
      <c r="C179">
        <v>117.449997</v>
      </c>
      <c r="D179">
        <v>114.69000200000001</v>
      </c>
      <c r="E179">
        <v>116.519997</v>
      </c>
      <c r="F179">
        <v>115.009483</v>
      </c>
      <c r="G179">
        <v>20539300</v>
      </c>
      <c r="I179">
        <f t="shared" si="8"/>
        <v>-3.2506688936543189E-3</v>
      </c>
      <c r="J179">
        <v>0</v>
      </c>
      <c r="K179">
        <f t="shared" si="6"/>
        <v>-3.2506688936543189E-3</v>
      </c>
      <c r="L179">
        <f t="shared" si="7"/>
        <v>-0.32506688936543188</v>
      </c>
      <c r="M179">
        <v>-0.17</v>
      </c>
    </row>
    <row r="180" spans="1:13" x14ac:dyDescent="0.2">
      <c r="A180" s="1">
        <v>44146</v>
      </c>
      <c r="B180">
        <v>116.889999</v>
      </c>
      <c r="C180">
        <v>116.959999</v>
      </c>
      <c r="D180">
        <v>113.959999</v>
      </c>
      <c r="E180">
        <v>114.779999</v>
      </c>
      <c r="F180">
        <v>113.292046</v>
      </c>
      <c r="G180">
        <v>14443400</v>
      </c>
      <c r="I180">
        <f t="shared" si="8"/>
        <v>-1.4933003394163626E-2</v>
      </c>
      <c r="J180">
        <v>0</v>
      </c>
      <c r="K180">
        <f t="shared" si="6"/>
        <v>-1.4933003394163626E-2</v>
      </c>
      <c r="L180">
        <f t="shared" si="7"/>
        <v>-1.4933003394163626</v>
      </c>
      <c r="M180">
        <v>0.88</v>
      </c>
    </row>
    <row r="181" spans="1:13" x14ac:dyDescent="0.2">
      <c r="A181" s="1">
        <v>44147</v>
      </c>
      <c r="B181">
        <v>112.529999</v>
      </c>
      <c r="C181">
        <v>113.959999</v>
      </c>
      <c r="D181">
        <v>112.05999799999999</v>
      </c>
      <c r="E181">
        <v>113.370003</v>
      </c>
      <c r="F181">
        <v>111.900322</v>
      </c>
      <c r="G181">
        <v>22063000</v>
      </c>
      <c r="I181">
        <f t="shared" si="8"/>
        <v>-1.2284392851374547E-2</v>
      </c>
      <c r="J181">
        <v>0</v>
      </c>
      <c r="K181">
        <f t="shared" si="6"/>
        <v>-1.2284392851374547E-2</v>
      </c>
      <c r="L181">
        <f t="shared" si="7"/>
        <v>-1.2284392851374548</v>
      </c>
      <c r="M181">
        <v>-0.94</v>
      </c>
    </row>
    <row r="182" spans="1:13" x14ac:dyDescent="0.2">
      <c r="A182" s="1">
        <v>44148</v>
      </c>
      <c r="B182">
        <v>114.699997</v>
      </c>
      <c r="C182">
        <v>114.860001</v>
      </c>
      <c r="D182">
        <v>113.57</v>
      </c>
      <c r="E182">
        <v>114.08000199999999</v>
      </c>
      <c r="F182">
        <v>112.60111999999999</v>
      </c>
      <c r="G182">
        <v>11847900</v>
      </c>
      <c r="I182">
        <f t="shared" si="8"/>
        <v>6.2626986900001218E-3</v>
      </c>
      <c r="J182">
        <v>0</v>
      </c>
      <c r="K182">
        <f t="shared" si="6"/>
        <v>6.2626986900001218E-3</v>
      </c>
      <c r="L182">
        <f t="shared" si="7"/>
        <v>0.62626986900001214</v>
      </c>
      <c r="M182">
        <v>1.31</v>
      </c>
    </row>
    <row r="183" spans="1:13" x14ac:dyDescent="0.2">
      <c r="A183" s="1">
        <v>44151</v>
      </c>
      <c r="B183">
        <v>117.790001</v>
      </c>
      <c r="C183">
        <v>118.610001</v>
      </c>
      <c r="D183">
        <v>115.730003</v>
      </c>
      <c r="E183">
        <v>117.300003</v>
      </c>
      <c r="F183">
        <v>115.77937300000001</v>
      </c>
      <c r="G183">
        <v>19858600</v>
      </c>
      <c r="I183">
        <f t="shared" si="8"/>
        <v>2.8225767203736627E-2</v>
      </c>
      <c r="J183">
        <v>0</v>
      </c>
      <c r="K183">
        <f t="shared" si="6"/>
        <v>2.8225767203736627E-2</v>
      </c>
      <c r="L183">
        <f t="shared" si="7"/>
        <v>2.8225767203736627</v>
      </c>
      <c r="M183">
        <v>1.22</v>
      </c>
    </row>
    <row r="184" spans="1:13" x14ac:dyDescent="0.2">
      <c r="A184" s="1">
        <v>44152</v>
      </c>
      <c r="B184">
        <v>115.389999</v>
      </c>
      <c r="C184">
        <v>116.44000200000001</v>
      </c>
      <c r="D184">
        <v>114.58000199999999</v>
      </c>
      <c r="E184">
        <v>116.110001</v>
      </c>
      <c r="F184">
        <v>114.604797</v>
      </c>
      <c r="G184">
        <v>14553200</v>
      </c>
      <c r="I184">
        <f t="shared" si="8"/>
        <v>-1.0144950430850942E-2</v>
      </c>
      <c r="J184">
        <v>0</v>
      </c>
      <c r="K184">
        <f t="shared" si="6"/>
        <v>-1.0144950430850942E-2</v>
      </c>
      <c r="L184">
        <f t="shared" si="7"/>
        <v>-1.0144950430850941</v>
      </c>
      <c r="M184">
        <v>-0.19</v>
      </c>
    </row>
    <row r="185" spans="1:13" x14ac:dyDescent="0.2">
      <c r="A185" s="1">
        <v>44153</v>
      </c>
      <c r="B185">
        <v>117.339996</v>
      </c>
      <c r="C185">
        <v>118.610001</v>
      </c>
      <c r="D185">
        <v>115.199997</v>
      </c>
      <c r="E185">
        <v>115.25</v>
      </c>
      <c r="F185">
        <v>113.755943</v>
      </c>
      <c r="G185">
        <v>12571200</v>
      </c>
      <c r="I185">
        <f t="shared" si="8"/>
        <v>-7.4067929285717669E-3</v>
      </c>
      <c r="J185">
        <v>0</v>
      </c>
      <c r="K185">
        <f t="shared" si="6"/>
        <v>-7.4067929285717669E-3</v>
      </c>
      <c r="L185">
        <f t="shared" si="7"/>
        <v>-0.74067929285717671</v>
      </c>
      <c r="M185">
        <v>-0.93</v>
      </c>
    </row>
    <row r="186" spans="1:13" x14ac:dyDescent="0.2">
      <c r="A186" s="1">
        <v>44154</v>
      </c>
      <c r="B186">
        <v>114.18</v>
      </c>
      <c r="C186">
        <v>115.82</v>
      </c>
      <c r="D186">
        <v>113.55999799999999</v>
      </c>
      <c r="E186">
        <v>115.55999799999999</v>
      </c>
      <c r="F186">
        <v>114.06192799999999</v>
      </c>
      <c r="G186">
        <v>10202500</v>
      </c>
      <c r="I186">
        <f t="shared" si="8"/>
        <v>2.6898374883147216E-3</v>
      </c>
      <c r="J186">
        <v>0</v>
      </c>
      <c r="K186">
        <f t="shared" si="6"/>
        <v>2.6898374883147216E-3</v>
      </c>
      <c r="L186">
        <f t="shared" si="7"/>
        <v>0.26898374883147214</v>
      </c>
      <c r="M186">
        <v>0.59</v>
      </c>
    </row>
    <row r="187" spans="1:13" x14ac:dyDescent="0.2">
      <c r="A187" s="1">
        <v>44155</v>
      </c>
      <c r="B187">
        <v>114.43</v>
      </c>
      <c r="C187">
        <v>115.650002</v>
      </c>
      <c r="D187">
        <v>114.089996</v>
      </c>
      <c r="E187">
        <v>114.57</v>
      </c>
      <c r="F187">
        <v>113.08477000000001</v>
      </c>
      <c r="G187">
        <v>12718900</v>
      </c>
      <c r="I187">
        <f t="shared" si="8"/>
        <v>-8.5669076188155321E-3</v>
      </c>
      <c r="J187">
        <v>0</v>
      </c>
      <c r="K187">
        <f t="shared" si="6"/>
        <v>-8.5669076188155321E-3</v>
      </c>
      <c r="L187">
        <f t="shared" si="7"/>
        <v>-0.85669076188155324</v>
      </c>
      <c r="M187">
        <v>-0.51</v>
      </c>
    </row>
    <row r="188" spans="1:13" x14ac:dyDescent="0.2">
      <c r="A188" s="1">
        <v>44158</v>
      </c>
      <c r="B188">
        <v>116.050003</v>
      </c>
      <c r="C188">
        <v>118.16999800000001</v>
      </c>
      <c r="D188">
        <v>115.57</v>
      </c>
      <c r="E188">
        <v>117.870003</v>
      </c>
      <c r="F188">
        <v>116.341988</v>
      </c>
      <c r="G188">
        <v>13209200</v>
      </c>
      <c r="I188">
        <f t="shared" si="8"/>
        <v>2.8803330457319712E-2</v>
      </c>
      <c r="J188">
        <v>0</v>
      </c>
      <c r="K188">
        <f t="shared" si="6"/>
        <v>2.8803330457319712E-2</v>
      </c>
      <c r="L188">
        <f t="shared" si="7"/>
        <v>2.8803330457319714</v>
      </c>
      <c r="M188">
        <v>0.83</v>
      </c>
    </row>
    <row r="189" spans="1:13" x14ac:dyDescent="0.2">
      <c r="A189" s="1">
        <v>44159</v>
      </c>
      <c r="B189">
        <v>120.07</v>
      </c>
      <c r="C189">
        <v>123.5</v>
      </c>
      <c r="D189">
        <v>119.709999</v>
      </c>
      <c r="E189">
        <v>123.32</v>
      </c>
      <c r="F189">
        <v>121.721329</v>
      </c>
      <c r="G189">
        <v>20121600</v>
      </c>
      <c r="I189">
        <f t="shared" si="8"/>
        <v>4.6237313737496018E-2</v>
      </c>
      <c r="J189">
        <v>0</v>
      </c>
      <c r="K189">
        <f t="shared" si="6"/>
        <v>4.6237313737496018E-2</v>
      </c>
      <c r="L189">
        <f t="shared" si="7"/>
        <v>4.6237313737496022</v>
      </c>
      <c r="M189">
        <v>1.56</v>
      </c>
    </row>
    <row r="190" spans="1:13" x14ac:dyDescent="0.2">
      <c r="A190" s="1">
        <v>44160</v>
      </c>
      <c r="B190">
        <v>121.370003</v>
      </c>
      <c r="C190">
        <v>122.379997</v>
      </c>
      <c r="D190">
        <v>120.470001</v>
      </c>
      <c r="E190">
        <v>122.029999</v>
      </c>
      <c r="F190">
        <v>120.44805100000001</v>
      </c>
      <c r="G190">
        <v>11715600</v>
      </c>
      <c r="I190">
        <f t="shared" si="8"/>
        <v>-1.0460598897995853E-2</v>
      </c>
      <c r="J190">
        <v>0</v>
      </c>
      <c r="K190">
        <f t="shared" si="6"/>
        <v>-1.0460598897995853E-2</v>
      </c>
      <c r="L190">
        <f t="shared" si="7"/>
        <v>-1.0460598897995852</v>
      </c>
      <c r="M190">
        <v>0.03</v>
      </c>
    </row>
    <row r="191" spans="1:13" x14ac:dyDescent="0.2">
      <c r="A191" s="1">
        <v>44162</v>
      </c>
      <c r="B191">
        <v>122</v>
      </c>
      <c r="C191">
        <v>122.349998</v>
      </c>
      <c r="D191">
        <v>121.08000199999999</v>
      </c>
      <c r="E191">
        <v>121.220001</v>
      </c>
      <c r="F191">
        <v>119.64856</v>
      </c>
      <c r="G191">
        <v>5983600</v>
      </c>
      <c r="I191">
        <f t="shared" si="8"/>
        <v>-6.6376416501750055E-3</v>
      </c>
      <c r="J191">
        <v>0</v>
      </c>
      <c r="K191">
        <f t="shared" si="6"/>
        <v>-6.6376416501750055E-3</v>
      </c>
      <c r="L191">
        <f t="shared" si="7"/>
        <v>-0.66376416501750057</v>
      </c>
      <c r="M191">
        <v>0.43</v>
      </c>
    </row>
    <row r="192" spans="1:13" x14ac:dyDescent="0.2">
      <c r="A192" s="1">
        <v>44165</v>
      </c>
      <c r="B192">
        <v>120</v>
      </c>
      <c r="C192">
        <v>120.720001</v>
      </c>
      <c r="D192">
        <v>117.769997</v>
      </c>
      <c r="E192">
        <v>117.879997</v>
      </c>
      <c r="F192">
        <v>116.351845</v>
      </c>
      <c r="G192">
        <v>14411800</v>
      </c>
      <c r="I192">
        <f t="shared" si="8"/>
        <v>-2.7553319488341572E-2</v>
      </c>
      <c r="J192">
        <v>0</v>
      </c>
      <c r="K192">
        <f t="shared" si="6"/>
        <v>-2.7553319488341572E-2</v>
      </c>
      <c r="L192">
        <f t="shared" si="7"/>
        <v>-2.755331948834157</v>
      </c>
      <c r="M192">
        <v>-0.53</v>
      </c>
    </row>
    <row r="193" spans="1:13" x14ac:dyDescent="0.2">
      <c r="A193" s="1">
        <v>44166</v>
      </c>
      <c r="B193">
        <v>120.339996</v>
      </c>
      <c r="C193">
        <v>121.58000199999999</v>
      </c>
      <c r="D193">
        <v>119.629997</v>
      </c>
      <c r="E193">
        <v>119.739998</v>
      </c>
      <c r="F193">
        <v>118.187737</v>
      </c>
      <c r="G193">
        <v>12678200</v>
      </c>
      <c r="I193">
        <f t="shared" si="8"/>
        <v>1.5778795772426309E-2</v>
      </c>
      <c r="J193">
        <v>0</v>
      </c>
      <c r="K193">
        <f t="shared" si="6"/>
        <v>1.5778795772426309E-2</v>
      </c>
      <c r="L193">
        <f t="shared" si="7"/>
        <v>1.5778795772426308</v>
      </c>
      <c r="M193">
        <v>0.98</v>
      </c>
    </row>
    <row r="194" spans="1:13" x14ac:dyDescent="0.2">
      <c r="A194" s="1">
        <v>44167</v>
      </c>
      <c r="B194">
        <v>119.699997</v>
      </c>
      <c r="C194">
        <v>122.30999799999999</v>
      </c>
      <c r="D194">
        <v>119.269997</v>
      </c>
      <c r="E194">
        <v>122.040001</v>
      </c>
      <c r="F194">
        <v>120.457932</v>
      </c>
      <c r="G194">
        <v>10811300</v>
      </c>
      <c r="I194">
        <f t="shared" si="8"/>
        <v>1.9208380307679476E-2</v>
      </c>
      <c r="J194">
        <v>0</v>
      </c>
      <c r="K194">
        <f t="shared" si="6"/>
        <v>1.9208380307679476E-2</v>
      </c>
      <c r="L194">
        <f t="shared" si="7"/>
        <v>1.9208380307679476</v>
      </c>
      <c r="M194">
        <v>0.11</v>
      </c>
    </row>
    <row r="195" spans="1:13" x14ac:dyDescent="0.2">
      <c r="A195" s="1">
        <v>44168</v>
      </c>
      <c r="B195">
        <v>121.849998</v>
      </c>
      <c r="C195">
        <v>121.889999</v>
      </c>
      <c r="D195">
        <v>120.360001</v>
      </c>
      <c r="E195">
        <v>121.239998</v>
      </c>
      <c r="F195">
        <v>119.668289</v>
      </c>
      <c r="G195">
        <v>12904400</v>
      </c>
      <c r="I195">
        <f t="shared" si="8"/>
        <v>-6.5553424908539699E-3</v>
      </c>
      <c r="J195">
        <v>0</v>
      </c>
      <c r="K195">
        <f t="shared" si="6"/>
        <v>-6.5553424908539699E-3</v>
      </c>
      <c r="L195">
        <f t="shared" si="7"/>
        <v>-0.65553424908539704</v>
      </c>
      <c r="M195">
        <v>0.18</v>
      </c>
    </row>
    <row r="196" spans="1:13" x14ac:dyDescent="0.2">
      <c r="A196" s="1">
        <v>44169</v>
      </c>
      <c r="B196">
        <v>122.480003</v>
      </c>
      <c r="C196">
        <v>123.290001</v>
      </c>
      <c r="D196">
        <v>121.69000200000001</v>
      </c>
      <c r="E196">
        <v>122.339996</v>
      </c>
      <c r="F196">
        <v>120.754036</v>
      </c>
      <c r="G196">
        <v>13583700</v>
      </c>
      <c r="I196">
        <f t="shared" si="8"/>
        <v>9.0729717043083798E-3</v>
      </c>
      <c r="J196">
        <v>0</v>
      </c>
      <c r="K196">
        <f t="shared" ref="K196:K252" si="9">I196-J196</f>
        <v>9.0729717043083798E-3</v>
      </c>
      <c r="L196">
        <f t="shared" ref="L196:L252" si="10">100*K196</f>
        <v>0.90729717043083802</v>
      </c>
      <c r="M196">
        <v>1.02</v>
      </c>
    </row>
    <row r="197" spans="1:13" x14ac:dyDescent="0.2">
      <c r="A197" s="1">
        <v>44172</v>
      </c>
      <c r="B197">
        <v>121.150002</v>
      </c>
      <c r="C197">
        <v>122.16999800000001</v>
      </c>
      <c r="D197">
        <v>120.209999</v>
      </c>
      <c r="E197">
        <v>121.879997</v>
      </c>
      <c r="F197">
        <v>120.300003</v>
      </c>
      <c r="G197">
        <v>9724300</v>
      </c>
      <c r="I197">
        <f t="shared" ref="I197:I252" si="11">(F197-F196)/F196</f>
        <v>-3.7599819851983703E-3</v>
      </c>
      <c r="J197">
        <v>0</v>
      </c>
      <c r="K197">
        <f t="shared" si="9"/>
        <v>-3.7599819851983703E-3</v>
      </c>
      <c r="L197">
        <f t="shared" si="10"/>
        <v>-0.37599819851983701</v>
      </c>
      <c r="M197">
        <v>0.03</v>
      </c>
    </row>
    <row r="198" spans="1:13" x14ac:dyDescent="0.2">
      <c r="A198" s="1">
        <v>44173</v>
      </c>
      <c r="B198">
        <v>121.040001</v>
      </c>
      <c r="C198">
        <v>122.33000199999999</v>
      </c>
      <c r="D198">
        <v>120.760002</v>
      </c>
      <c r="E198">
        <v>122</v>
      </c>
      <c r="F198">
        <v>120.418442</v>
      </c>
      <c r="G198">
        <v>9592100</v>
      </c>
      <c r="I198">
        <f t="shared" si="11"/>
        <v>9.8453031626271085E-4</v>
      </c>
      <c r="J198">
        <v>0</v>
      </c>
      <c r="K198">
        <f t="shared" si="9"/>
        <v>9.8453031626271085E-4</v>
      </c>
      <c r="L198">
        <f t="shared" si="10"/>
        <v>9.8453031626271087E-2</v>
      </c>
      <c r="M198">
        <v>0.47</v>
      </c>
    </row>
    <row r="199" spans="1:13" x14ac:dyDescent="0.2">
      <c r="A199" s="1">
        <v>44174</v>
      </c>
      <c r="B199">
        <v>123.16999800000001</v>
      </c>
      <c r="C199">
        <v>123.300003</v>
      </c>
      <c r="D199">
        <v>120.44000200000001</v>
      </c>
      <c r="E199">
        <v>121.050003</v>
      </c>
      <c r="F199">
        <v>119.480766</v>
      </c>
      <c r="G199">
        <v>13073900</v>
      </c>
      <c r="I199">
        <f t="shared" si="11"/>
        <v>-7.7868139167586656E-3</v>
      </c>
      <c r="J199">
        <v>0</v>
      </c>
      <c r="K199">
        <f t="shared" si="9"/>
        <v>-7.7868139167586656E-3</v>
      </c>
      <c r="L199">
        <f t="shared" si="10"/>
        <v>-0.77868139167586659</v>
      </c>
      <c r="M199">
        <v>-1.03</v>
      </c>
    </row>
    <row r="200" spans="1:13" x14ac:dyDescent="0.2">
      <c r="A200" s="1">
        <v>44175</v>
      </c>
      <c r="B200">
        <v>119.989998</v>
      </c>
      <c r="C200">
        <v>120.779999</v>
      </c>
      <c r="D200">
        <v>119.55999799999999</v>
      </c>
      <c r="E200">
        <v>120.269997</v>
      </c>
      <c r="F200">
        <v>118.710869</v>
      </c>
      <c r="G200">
        <v>13668400</v>
      </c>
      <c r="I200">
        <f t="shared" si="11"/>
        <v>-6.4436898571607771E-3</v>
      </c>
      <c r="J200">
        <v>0</v>
      </c>
      <c r="K200">
        <f t="shared" si="9"/>
        <v>-6.4436898571607771E-3</v>
      </c>
      <c r="L200">
        <f t="shared" si="10"/>
        <v>-0.6443689857160777</v>
      </c>
      <c r="M200">
        <v>0.24</v>
      </c>
    </row>
    <row r="201" spans="1:13" x14ac:dyDescent="0.2">
      <c r="A201" s="1">
        <v>44176</v>
      </c>
      <c r="B201">
        <v>118.94000200000001</v>
      </c>
      <c r="C201">
        <v>120.019997</v>
      </c>
      <c r="D201">
        <v>118.370003</v>
      </c>
      <c r="E201">
        <v>119.55999799999999</v>
      </c>
      <c r="F201">
        <v>118.010071</v>
      </c>
      <c r="G201">
        <v>9981600</v>
      </c>
      <c r="I201">
        <f t="shared" si="11"/>
        <v>-5.9034021560402019E-3</v>
      </c>
      <c r="J201">
        <v>0</v>
      </c>
      <c r="K201">
        <f t="shared" si="9"/>
        <v>-5.9034021560402019E-3</v>
      </c>
      <c r="L201">
        <f t="shared" si="10"/>
        <v>-0.59034021560402017</v>
      </c>
      <c r="M201">
        <v>-0.2</v>
      </c>
    </row>
    <row r="202" spans="1:13" x14ac:dyDescent="0.2">
      <c r="A202" s="1">
        <v>44179</v>
      </c>
      <c r="B202">
        <v>121.339996</v>
      </c>
      <c r="C202">
        <v>121.41999800000001</v>
      </c>
      <c r="D202">
        <v>118.110001</v>
      </c>
      <c r="E202">
        <v>118.300003</v>
      </c>
      <c r="F202">
        <v>116.76641100000001</v>
      </c>
      <c r="G202">
        <v>12112400</v>
      </c>
      <c r="I202">
        <f t="shared" si="11"/>
        <v>-1.053859208338237E-2</v>
      </c>
      <c r="J202">
        <v>0</v>
      </c>
      <c r="K202">
        <f t="shared" si="9"/>
        <v>-1.053859208338237E-2</v>
      </c>
      <c r="L202">
        <f t="shared" si="10"/>
        <v>-1.053859208338237</v>
      </c>
      <c r="M202">
        <v>-0.28000000000000003</v>
      </c>
    </row>
    <row r="203" spans="1:13" x14ac:dyDescent="0.2">
      <c r="A203" s="1">
        <v>44180</v>
      </c>
      <c r="B203">
        <v>119.290001</v>
      </c>
      <c r="C203">
        <v>120.900002</v>
      </c>
      <c r="D203">
        <v>118.620003</v>
      </c>
      <c r="E203">
        <v>120.32</v>
      </c>
      <c r="F203">
        <v>118.760223</v>
      </c>
      <c r="G203">
        <v>12591400</v>
      </c>
      <c r="I203">
        <f t="shared" si="11"/>
        <v>1.70752186602703E-2</v>
      </c>
      <c r="J203">
        <v>0</v>
      </c>
      <c r="K203">
        <f t="shared" si="9"/>
        <v>1.70752186602703E-2</v>
      </c>
      <c r="L203">
        <f t="shared" si="10"/>
        <v>1.7075218660270299</v>
      </c>
      <c r="M203">
        <v>1.28</v>
      </c>
    </row>
    <row r="204" spans="1:13" x14ac:dyDescent="0.2">
      <c r="A204" s="1">
        <v>44181</v>
      </c>
      <c r="B204">
        <v>120.300003</v>
      </c>
      <c r="C204">
        <v>121.08000199999999</v>
      </c>
      <c r="D204">
        <v>119.860001</v>
      </c>
      <c r="E204">
        <v>120.66999800000001</v>
      </c>
      <c r="F204">
        <v>119.10569</v>
      </c>
      <c r="G204">
        <v>11169400</v>
      </c>
      <c r="I204">
        <f t="shared" si="11"/>
        <v>2.9089453629604529E-3</v>
      </c>
      <c r="J204">
        <v>0</v>
      </c>
      <c r="K204">
        <f t="shared" si="9"/>
        <v>2.9089453629604529E-3</v>
      </c>
      <c r="L204">
        <f t="shared" si="10"/>
        <v>0.29089453629604528</v>
      </c>
      <c r="M204">
        <v>0.17</v>
      </c>
    </row>
    <row r="205" spans="1:13" x14ac:dyDescent="0.2">
      <c r="A205" s="1">
        <v>44182</v>
      </c>
      <c r="B205">
        <v>121.260002</v>
      </c>
      <c r="C205">
        <v>121.449997</v>
      </c>
      <c r="D205">
        <v>119.58000199999999</v>
      </c>
      <c r="E205">
        <v>119.66999800000001</v>
      </c>
      <c r="F205">
        <v>118.118652</v>
      </c>
      <c r="G205">
        <v>11618000</v>
      </c>
      <c r="I205">
        <f t="shared" si="11"/>
        <v>-8.2870767970866736E-3</v>
      </c>
      <c r="J205">
        <v>0</v>
      </c>
      <c r="K205">
        <f t="shared" si="9"/>
        <v>-8.2870767970866736E-3</v>
      </c>
      <c r="L205">
        <f t="shared" si="10"/>
        <v>-0.82870767970866732</v>
      </c>
      <c r="M205">
        <v>0.79</v>
      </c>
    </row>
    <row r="206" spans="1:13" x14ac:dyDescent="0.2">
      <c r="A206" s="1">
        <v>44183</v>
      </c>
      <c r="B206">
        <v>119.139999</v>
      </c>
      <c r="C206">
        <v>119.879997</v>
      </c>
      <c r="D206">
        <v>118.269997</v>
      </c>
      <c r="E206">
        <v>119.08000199999999</v>
      </c>
      <c r="F206">
        <v>117.53630099999999</v>
      </c>
      <c r="G206">
        <v>28954800</v>
      </c>
      <c r="I206">
        <f t="shared" si="11"/>
        <v>-4.9302205040403163E-3</v>
      </c>
      <c r="J206">
        <v>0</v>
      </c>
      <c r="K206">
        <f t="shared" si="9"/>
        <v>-4.9302205040403163E-3</v>
      </c>
      <c r="L206">
        <f t="shared" si="10"/>
        <v>-0.49302205040403163</v>
      </c>
      <c r="M206">
        <v>-0.12</v>
      </c>
    </row>
    <row r="207" spans="1:13" x14ac:dyDescent="0.2">
      <c r="A207" s="1">
        <v>44186</v>
      </c>
      <c r="B207">
        <v>123.16999800000001</v>
      </c>
      <c r="C207">
        <v>125</v>
      </c>
      <c r="D207">
        <v>121.089996</v>
      </c>
      <c r="E207">
        <v>123.550003</v>
      </c>
      <c r="F207">
        <v>121.948357</v>
      </c>
      <c r="G207">
        <v>28323600</v>
      </c>
      <c r="I207">
        <f t="shared" si="11"/>
        <v>3.7537815657479358E-2</v>
      </c>
      <c r="J207">
        <v>0</v>
      </c>
      <c r="K207">
        <f t="shared" si="9"/>
        <v>3.7537815657479358E-2</v>
      </c>
      <c r="L207">
        <f t="shared" si="10"/>
        <v>3.7537815657479356</v>
      </c>
      <c r="M207">
        <v>-0.23</v>
      </c>
    </row>
    <row r="208" spans="1:13" x14ac:dyDescent="0.2">
      <c r="A208" s="1">
        <v>44187</v>
      </c>
      <c r="B208">
        <v>123.389999</v>
      </c>
      <c r="C208">
        <v>123.519997</v>
      </c>
      <c r="D208">
        <v>121.610001</v>
      </c>
      <c r="E208">
        <v>121.66999800000001</v>
      </c>
      <c r="F208">
        <v>120.09272</v>
      </c>
      <c r="G208">
        <v>11788200</v>
      </c>
      <c r="I208">
        <f t="shared" si="11"/>
        <v>-1.5216580572709163E-2</v>
      </c>
      <c r="J208">
        <v>0</v>
      </c>
      <c r="K208">
        <f t="shared" si="9"/>
        <v>-1.5216580572709163E-2</v>
      </c>
      <c r="L208">
        <f t="shared" si="10"/>
        <v>-1.5216580572709164</v>
      </c>
      <c r="M208">
        <v>0.06</v>
      </c>
    </row>
    <row r="209" spans="1:13" x14ac:dyDescent="0.2">
      <c r="A209" s="1">
        <v>44188</v>
      </c>
      <c r="B209">
        <v>122.779999</v>
      </c>
      <c r="C209">
        <v>126.519997</v>
      </c>
      <c r="D209">
        <v>122.349998</v>
      </c>
      <c r="E209">
        <v>125.07</v>
      </c>
      <c r="F209">
        <v>123.44864699999999</v>
      </c>
      <c r="G209">
        <v>14973200</v>
      </c>
      <c r="I209">
        <f t="shared" si="11"/>
        <v>2.794446657549262E-2</v>
      </c>
      <c r="J209">
        <v>0</v>
      </c>
      <c r="K209">
        <f t="shared" si="9"/>
        <v>2.794446657549262E-2</v>
      </c>
      <c r="L209">
        <f t="shared" si="10"/>
        <v>2.7944466575492619</v>
      </c>
      <c r="M209">
        <v>0.1</v>
      </c>
    </row>
    <row r="210" spans="1:13" x14ac:dyDescent="0.2">
      <c r="A210" s="1">
        <v>44189</v>
      </c>
      <c r="B210">
        <v>125.089996</v>
      </c>
      <c r="C210">
        <v>125.550003</v>
      </c>
      <c r="D210">
        <v>123.57</v>
      </c>
      <c r="E210">
        <v>124.519997</v>
      </c>
      <c r="F210">
        <v>122.90576900000001</v>
      </c>
      <c r="G210">
        <v>4164900</v>
      </c>
      <c r="I210">
        <f t="shared" si="11"/>
        <v>-4.3976018627404443E-3</v>
      </c>
      <c r="J210">
        <v>0</v>
      </c>
      <c r="K210">
        <f t="shared" si="9"/>
        <v>-4.3976018627404443E-3</v>
      </c>
      <c r="L210">
        <f t="shared" si="10"/>
        <v>-0.43976018627404445</v>
      </c>
      <c r="M210">
        <v>0.21</v>
      </c>
    </row>
    <row r="211" spans="1:13" x14ac:dyDescent="0.2">
      <c r="A211" s="1">
        <v>44193</v>
      </c>
      <c r="B211">
        <v>125.82</v>
      </c>
      <c r="C211">
        <v>126.650002</v>
      </c>
      <c r="D211">
        <v>124.790001</v>
      </c>
      <c r="E211">
        <v>125.339996</v>
      </c>
      <c r="F211">
        <v>123.715141</v>
      </c>
      <c r="G211">
        <v>8072600</v>
      </c>
      <c r="I211">
        <f t="shared" si="11"/>
        <v>6.5853052023944958E-3</v>
      </c>
      <c r="J211">
        <v>0</v>
      </c>
      <c r="K211">
        <f t="shared" si="9"/>
        <v>6.5853052023944958E-3</v>
      </c>
      <c r="L211">
        <f t="shared" si="10"/>
        <v>0.65853052023944958</v>
      </c>
      <c r="M211">
        <v>0.46</v>
      </c>
    </row>
    <row r="212" spans="1:13" x14ac:dyDescent="0.2">
      <c r="A212" s="1">
        <v>44194</v>
      </c>
      <c r="B212">
        <v>126.199997</v>
      </c>
      <c r="C212">
        <v>126.279999</v>
      </c>
      <c r="D212">
        <v>124.889999</v>
      </c>
      <c r="E212">
        <v>125.010002</v>
      </c>
      <c r="F212">
        <v>123.389427</v>
      </c>
      <c r="G212">
        <v>8389200</v>
      </c>
      <c r="I212">
        <f t="shared" si="11"/>
        <v>-2.6327739464000201E-3</v>
      </c>
      <c r="J212">
        <v>0</v>
      </c>
      <c r="K212">
        <f t="shared" si="9"/>
        <v>-2.6327739464000201E-3</v>
      </c>
      <c r="L212">
        <f t="shared" si="10"/>
        <v>-0.26327739464000199</v>
      </c>
      <c r="M212">
        <v>-0.4</v>
      </c>
    </row>
    <row r="213" spans="1:13" x14ac:dyDescent="0.2">
      <c r="A213" s="1">
        <v>44195</v>
      </c>
      <c r="B213">
        <v>125.489998</v>
      </c>
      <c r="C213">
        <v>125.849998</v>
      </c>
      <c r="D213">
        <v>124.900002</v>
      </c>
      <c r="E213">
        <v>125.360001</v>
      </c>
      <c r="F213">
        <v>123.734886</v>
      </c>
      <c r="G213">
        <v>7398000</v>
      </c>
      <c r="I213">
        <f t="shared" si="11"/>
        <v>2.7997455568053273E-3</v>
      </c>
      <c r="J213">
        <v>0</v>
      </c>
      <c r="K213">
        <f t="shared" si="9"/>
        <v>2.7997455568053273E-3</v>
      </c>
      <c r="L213">
        <f t="shared" si="10"/>
        <v>0.27997455568053276</v>
      </c>
      <c r="M213">
        <v>0.27</v>
      </c>
    </row>
    <row r="214" spans="1:13" x14ac:dyDescent="0.2">
      <c r="A214" s="1">
        <v>44196</v>
      </c>
      <c r="B214">
        <v>125.089996</v>
      </c>
      <c r="C214">
        <v>127.33000199999999</v>
      </c>
      <c r="D214">
        <v>124.82</v>
      </c>
      <c r="E214">
        <v>127.07</v>
      </c>
      <c r="F214">
        <v>125.42272199999999</v>
      </c>
      <c r="G214">
        <v>8580200</v>
      </c>
      <c r="I214">
        <f t="shared" si="11"/>
        <v>1.3640744777507534E-2</v>
      </c>
      <c r="J214">
        <v>0</v>
      </c>
      <c r="K214">
        <f t="shared" si="9"/>
        <v>1.3640744777507534E-2</v>
      </c>
      <c r="L214">
        <f t="shared" si="10"/>
        <v>1.3640744777507534</v>
      </c>
      <c r="M214">
        <v>0.39</v>
      </c>
    </row>
    <row r="215" spans="1:13" x14ac:dyDescent="0.2">
      <c r="A215" s="1">
        <v>44200</v>
      </c>
      <c r="B215">
        <v>127.5</v>
      </c>
      <c r="C215">
        <v>127.860001</v>
      </c>
      <c r="D215">
        <v>124.779999</v>
      </c>
      <c r="E215">
        <v>125.870003</v>
      </c>
      <c r="F215">
        <v>124.238274</v>
      </c>
      <c r="G215">
        <v>16819900</v>
      </c>
      <c r="I215">
        <f t="shared" si="11"/>
        <v>-9.4436476988594541E-3</v>
      </c>
      <c r="J215">
        <v>0</v>
      </c>
      <c r="K215">
        <f t="shared" si="9"/>
        <v>-9.4436476988594541E-3</v>
      </c>
      <c r="L215">
        <f t="shared" si="10"/>
        <v>-0.94436476988594542</v>
      </c>
      <c r="M215">
        <v>-1.41</v>
      </c>
    </row>
    <row r="216" spans="1:13" x14ac:dyDescent="0.2">
      <c r="A216" s="1">
        <v>44201</v>
      </c>
      <c r="B216">
        <v>124.989998</v>
      </c>
      <c r="C216">
        <v>126.300003</v>
      </c>
      <c r="D216">
        <v>123.769997</v>
      </c>
      <c r="E216">
        <v>125.650002</v>
      </c>
      <c r="F216">
        <v>124.914299</v>
      </c>
      <c r="G216">
        <v>13731200</v>
      </c>
      <c r="I216">
        <f t="shared" si="11"/>
        <v>5.441358594534206E-3</v>
      </c>
      <c r="J216">
        <v>0</v>
      </c>
      <c r="K216">
        <f t="shared" si="9"/>
        <v>5.441358594534206E-3</v>
      </c>
      <c r="L216">
        <f t="shared" si="10"/>
        <v>0.54413585945342058</v>
      </c>
      <c r="M216">
        <v>0.86</v>
      </c>
    </row>
    <row r="217" spans="1:13" x14ac:dyDescent="0.2">
      <c r="A217" s="1">
        <v>44202</v>
      </c>
      <c r="B217">
        <v>129.88000500000001</v>
      </c>
      <c r="C217">
        <v>132.770004</v>
      </c>
      <c r="D217">
        <v>127.879997</v>
      </c>
      <c r="E217">
        <v>131.550003</v>
      </c>
      <c r="F217">
        <v>130.77975499999999</v>
      </c>
      <c r="G217">
        <v>24909100</v>
      </c>
      <c r="I217">
        <f t="shared" si="11"/>
        <v>4.6955841300442273E-2</v>
      </c>
      <c r="J217">
        <v>0</v>
      </c>
      <c r="K217">
        <f t="shared" si="9"/>
        <v>4.6955841300442273E-2</v>
      </c>
      <c r="L217">
        <f t="shared" si="10"/>
        <v>4.6955841300442271</v>
      </c>
      <c r="M217">
        <v>0.79</v>
      </c>
    </row>
    <row r="218" spans="1:13" x14ac:dyDescent="0.2">
      <c r="A218" s="1">
        <v>44203</v>
      </c>
      <c r="B218">
        <v>135.69000199999999</v>
      </c>
      <c r="C218">
        <v>138.19000199999999</v>
      </c>
      <c r="D218">
        <v>134.91999799999999</v>
      </c>
      <c r="E218">
        <v>135.86999499999999</v>
      </c>
      <c r="F218">
        <v>135.07444799999999</v>
      </c>
      <c r="G218">
        <v>21940400</v>
      </c>
      <c r="I218">
        <f t="shared" si="11"/>
        <v>3.2839127126365969E-2</v>
      </c>
      <c r="J218">
        <v>0</v>
      </c>
      <c r="K218">
        <f t="shared" si="9"/>
        <v>3.2839127126365969E-2</v>
      </c>
      <c r="L218">
        <f t="shared" si="10"/>
        <v>3.2839127126365968</v>
      </c>
      <c r="M218">
        <v>1.76</v>
      </c>
    </row>
    <row r="219" spans="1:13" x14ac:dyDescent="0.2">
      <c r="A219" s="1">
        <v>44204</v>
      </c>
      <c r="B219">
        <v>135.970001</v>
      </c>
      <c r="C219">
        <v>136.35000600000001</v>
      </c>
      <c r="D219">
        <v>134.11999499999999</v>
      </c>
      <c r="E219">
        <v>136.020004</v>
      </c>
      <c r="F219">
        <v>135.22358700000001</v>
      </c>
      <c r="G219">
        <v>12035100</v>
      </c>
      <c r="I219">
        <f t="shared" si="11"/>
        <v>1.1041244455059292E-3</v>
      </c>
      <c r="J219">
        <v>0</v>
      </c>
      <c r="K219">
        <f t="shared" si="9"/>
        <v>1.1041244455059292E-3</v>
      </c>
      <c r="L219">
        <f t="shared" si="10"/>
        <v>0.11041244455059292</v>
      </c>
      <c r="M219">
        <v>0.51</v>
      </c>
    </row>
    <row r="220" spans="1:13" x14ac:dyDescent="0.2">
      <c r="A220" s="1">
        <v>44207</v>
      </c>
      <c r="B220">
        <v>134.58000200000001</v>
      </c>
      <c r="C220">
        <v>138.199997</v>
      </c>
      <c r="D220">
        <v>134.11000100000001</v>
      </c>
      <c r="E220">
        <v>138.050003</v>
      </c>
      <c r="F220">
        <v>137.24169900000001</v>
      </c>
      <c r="G220">
        <v>15949000</v>
      </c>
      <c r="I220">
        <f t="shared" si="11"/>
        <v>1.4924260218004732E-2</v>
      </c>
      <c r="J220">
        <v>0</v>
      </c>
      <c r="K220">
        <f t="shared" si="9"/>
        <v>1.4924260218004732E-2</v>
      </c>
      <c r="L220">
        <f t="shared" si="10"/>
        <v>1.4924260218004732</v>
      </c>
      <c r="M220">
        <v>-0.51</v>
      </c>
    </row>
    <row r="221" spans="1:13" x14ac:dyDescent="0.2">
      <c r="A221" s="1">
        <v>44208</v>
      </c>
      <c r="B221">
        <v>139.44000199999999</v>
      </c>
      <c r="C221">
        <v>141.66000399999999</v>
      </c>
      <c r="D221">
        <v>138.83000200000001</v>
      </c>
      <c r="E221">
        <v>140.220001</v>
      </c>
      <c r="F221">
        <v>139.39898700000001</v>
      </c>
      <c r="G221">
        <v>18033500</v>
      </c>
      <c r="I221">
        <f t="shared" si="11"/>
        <v>1.5718896047767477E-2</v>
      </c>
      <c r="J221">
        <v>0</v>
      </c>
      <c r="K221">
        <f t="shared" si="9"/>
        <v>1.5718896047767477E-2</v>
      </c>
      <c r="L221">
        <f t="shared" si="10"/>
        <v>1.5718896047767477</v>
      </c>
      <c r="M221">
        <v>0.38</v>
      </c>
    </row>
    <row r="222" spans="1:13" x14ac:dyDescent="0.2">
      <c r="A222" s="1">
        <v>44209</v>
      </c>
      <c r="B222">
        <v>138.58999600000001</v>
      </c>
      <c r="C222">
        <v>140.78999300000001</v>
      </c>
      <c r="D222">
        <v>138.10000600000001</v>
      </c>
      <c r="E222">
        <v>140.35000600000001</v>
      </c>
      <c r="F222">
        <v>139.52822900000001</v>
      </c>
      <c r="G222">
        <v>14816800</v>
      </c>
      <c r="I222">
        <f t="shared" si="11"/>
        <v>9.2713729691597366E-4</v>
      </c>
      <c r="J222">
        <v>0</v>
      </c>
      <c r="K222">
        <f t="shared" si="9"/>
        <v>9.2713729691597366E-4</v>
      </c>
      <c r="L222">
        <f t="shared" si="10"/>
        <v>9.2713729691597371E-2</v>
      </c>
      <c r="M222">
        <v>7.0000000000000007E-2</v>
      </c>
    </row>
    <row r="223" spans="1:13" x14ac:dyDescent="0.2">
      <c r="A223" s="1">
        <v>44210</v>
      </c>
      <c r="B223">
        <v>140.490005</v>
      </c>
      <c r="C223">
        <v>142.75</v>
      </c>
      <c r="D223">
        <v>140</v>
      </c>
      <c r="E223">
        <v>141.16999799999999</v>
      </c>
      <c r="F223">
        <v>140.343414</v>
      </c>
      <c r="G223">
        <v>18565600</v>
      </c>
      <c r="I223">
        <f t="shared" si="11"/>
        <v>5.8424378051841058E-3</v>
      </c>
      <c r="J223">
        <v>0</v>
      </c>
      <c r="K223">
        <f t="shared" si="9"/>
        <v>5.8424378051841058E-3</v>
      </c>
      <c r="L223">
        <f t="shared" si="10"/>
        <v>0.58424378051841064</v>
      </c>
      <c r="M223">
        <v>-0.11</v>
      </c>
    </row>
    <row r="224" spans="1:13" x14ac:dyDescent="0.2">
      <c r="A224" s="1">
        <v>44211</v>
      </c>
      <c r="B224">
        <v>137.429993</v>
      </c>
      <c r="C224">
        <v>141.64999399999999</v>
      </c>
      <c r="D224">
        <v>137.009995</v>
      </c>
      <c r="E224">
        <v>138.63999899999999</v>
      </c>
      <c r="F224">
        <v>137.82823200000001</v>
      </c>
      <c r="G224">
        <v>27881000</v>
      </c>
      <c r="I224">
        <f t="shared" si="11"/>
        <v>-1.7921624736875658E-2</v>
      </c>
      <c r="J224">
        <v>0</v>
      </c>
      <c r="K224">
        <f t="shared" si="9"/>
        <v>-1.7921624736875658E-2</v>
      </c>
      <c r="L224">
        <f t="shared" si="10"/>
        <v>-1.7921624736875659</v>
      </c>
      <c r="M224">
        <v>-0.86</v>
      </c>
    </row>
    <row r="225" spans="1:13" x14ac:dyDescent="0.2">
      <c r="A225" s="1">
        <v>44215</v>
      </c>
      <c r="B225">
        <v>139.86000100000001</v>
      </c>
      <c r="C225">
        <v>140.699997</v>
      </c>
      <c r="D225">
        <v>137.820007</v>
      </c>
      <c r="E225">
        <v>138.03999300000001</v>
      </c>
      <c r="F225">
        <v>137.23173499999999</v>
      </c>
      <c r="G225">
        <v>19843800</v>
      </c>
      <c r="I225">
        <f t="shared" si="11"/>
        <v>-4.3278288587495469E-3</v>
      </c>
      <c r="J225">
        <v>0</v>
      </c>
      <c r="K225">
        <f t="shared" si="9"/>
        <v>-4.3278288587495469E-3</v>
      </c>
      <c r="L225">
        <f t="shared" si="10"/>
        <v>-0.43278288587495467</v>
      </c>
      <c r="M225">
        <v>0.91</v>
      </c>
    </row>
    <row r="226" spans="1:13" x14ac:dyDescent="0.2">
      <c r="A226" s="1">
        <v>44216</v>
      </c>
      <c r="B226">
        <v>137.820007</v>
      </c>
      <c r="C226">
        <v>138.16999799999999</v>
      </c>
      <c r="D226">
        <v>135.44000199999999</v>
      </c>
      <c r="E226">
        <v>135.970001</v>
      </c>
      <c r="F226">
        <v>135.17387400000001</v>
      </c>
      <c r="G226">
        <v>16028800</v>
      </c>
      <c r="I226">
        <f t="shared" si="11"/>
        <v>-1.4995518347122656E-2</v>
      </c>
      <c r="J226">
        <v>0</v>
      </c>
      <c r="K226">
        <f t="shared" si="9"/>
        <v>-1.4995518347122656E-2</v>
      </c>
      <c r="L226">
        <f t="shared" si="10"/>
        <v>-1.4995518347122656</v>
      </c>
      <c r="M226">
        <v>1.26</v>
      </c>
    </row>
    <row r="227" spans="1:13" x14ac:dyDescent="0.2">
      <c r="A227" s="1">
        <v>44217</v>
      </c>
      <c r="B227">
        <v>135.69000199999999</v>
      </c>
      <c r="C227">
        <v>136.16000399999999</v>
      </c>
      <c r="D227">
        <v>134.320007</v>
      </c>
      <c r="E227">
        <v>134.83000200000001</v>
      </c>
      <c r="F227">
        <v>134.04054300000001</v>
      </c>
      <c r="G227">
        <v>13415000</v>
      </c>
      <c r="I227">
        <f t="shared" si="11"/>
        <v>-8.3842459083476317E-3</v>
      </c>
      <c r="J227">
        <v>0</v>
      </c>
      <c r="K227">
        <f t="shared" si="9"/>
        <v>-8.3842459083476317E-3</v>
      </c>
      <c r="L227">
        <f t="shared" si="10"/>
        <v>-0.83842459083476317</v>
      </c>
      <c r="M227">
        <v>-0.04</v>
      </c>
    </row>
    <row r="228" spans="1:13" x14ac:dyDescent="0.2">
      <c r="A228" s="1">
        <v>44218</v>
      </c>
      <c r="B228">
        <v>132.69000199999999</v>
      </c>
      <c r="C228">
        <v>134.39999399999999</v>
      </c>
      <c r="D228">
        <v>132.199997</v>
      </c>
      <c r="E228">
        <v>133.78999300000001</v>
      </c>
      <c r="F228">
        <v>133.00662199999999</v>
      </c>
      <c r="G228">
        <v>12933200</v>
      </c>
      <c r="I228">
        <f t="shared" si="11"/>
        <v>-7.7134945655958779E-3</v>
      </c>
      <c r="J228">
        <v>0</v>
      </c>
      <c r="K228">
        <f t="shared" si="9"/>
        <v>-7.7134945655958779E-3</v>
      </c>
      <c r="L228">
        <f t="shared" si="10"/>
        <v>-0.77134945655958775</v>
      </c>
      <c r="M228">
        <v>-7.0000000000000007E-2</v>
      </c>
    </row>
    <row r="229" spans="1:13" x14ac:dyDescent="0.2">
      <c r="A229" s="1">
        <v>44221</v>
      </c>
      <c r="B229">
        <v>132.13999899999999</v>
      </c>
      <c r="C229">
        <v>133.16999799999999</v>
      </c>
      <c r="D229">
        <v>130.05999800000001</v>
      </c>
      <c r="E229">
        <v>132.11999499999999</v>
      </c>
      <c r="F229">
        <v>131.346405</v>
      </c>
      <c r="G229">
        <v>14212800</v>
      </c>
      <c r="I229">
        <f t="shared" si="11"/>
        <v>-1.2482213103645237E-2</v>
      </c>
      <c r="J229">
        <v>0</v>
      </c>
      <c r="K229">
        <f t="shared" si="9"/>
        <v>-1.2482213103645237E-2</v>
      </c>
      <c r="L229">
        <f t="shared" si="10"/>
        <v>-1.2482213103645237</v>
      </c>
      <c r="M229">
        <v>0.28000000000000003</v>
      </c>
    </row>
    <row r="230" spans="1:13" x14ac:dyDescent="0.2">
      <c r="A230" s="1">
        <v>44222</v>
      </c>
      <c r="B230">
        <v>132.75</v>
      </c>
      <c r="C230">
        <v>133.16999799999999</v>
      </c>
      <c r="D230">
        <v>131.33999600000001</v>
      </c>
      <c r="E230">
        <v>131.58000200000001</v>
      </c>
      <c r="F230">
        <v>130.80957000000001</v>
      </c>
      <c r="G230">
        <v>11307800</v>
      </c>
      <c r="I230">
        <f t="shared" si="11"/>
        <v>-4.0871693442998793E-3</v>
      </c>
      <c r="J230">
        <v>0</v>
      </c>
      <c r="K230">
        <f t="shared" si="9"/>
        <v>-4.0871693442998793E-3</v>
      </c>
      <c r="L230">
        <f t="shared" si="10"/>
        <v>-0.40871693442998791</v>
      </c>
      <c r="M230">
        <v>-0.32</v>
      </c>
    </row>
    <row r="231" spans="1:13" x14ac:dyDescent="0.2">
      <c r="A231" s="1">
        <v>44223</v>
      </c>
      <c r="B231">
        <v>129.58999600000001</v>
      </c>
      <c r="C231">
        <v>129.85000600000001</v>
      </c>
      <c r="D231">
        <v>127.349998</v>
      </c>
      <c r="E231">
        <v>127.860001</v>
      </c>
      <c r="F231">
        <v>127.111351</v>
      </c>
      <c r="G231">
        <v>17603900</v>
      </c>
      <c r="I231">
        <f t="shared" si="11"/>
        <v>-2.8271777057290292E-2</v>
      </c>
      <c r="J231">
        <v>0</v>
      </c>
      <c r="K231">
        <f t="shared" si="9"/>
        <v>-2.8271777057290292E-2</v>
      </c>
      <c r="L231">
        <f t="shared" si="10"/>
        <v>-2.8271777057290293</v>
      </c>
      <c r="M231">
        <v>-2.5299999999999998</v>
      </c>
    </row>
    <row r="232" spans="1:13" x14ac:dyDescent="0.2">
      <c r="A232" s="1">
        <v>44224</v>
      </c>
      <c r="B232">
        <v>129.89999399999999</v>
      </c>
      <c r="C232">
        <v>132.16999799999999</v>
      </c>
      <c r="D232">
        <v>128.990005</v>
      </c>
      <c r="E232">
        <v>130.11000100000001</v>
      </c>
      <c r="F232">
        <v>129.348175</v>
      </c>
      <c r="G232">
        <v>13761800</v>
      </c>
      <c r="I232">
        <f t="shared" si="11"/>
        <v>1.7597358397992313E-2</v>
      </c>
      <c r="J232">
        <v>0</v>
      </c>
      <c r="K232">
        <f t="shared" si="9"/>
        <v>1.7597358397992313E-2</v>
      </c>
      <c r="L232">
        <f t="shared" si="10"/>
        <v>1.7597358397992313</v>
      </c>
      <c r="M232">
        <v>0.92</v>
      </c>
    </row>
    <row r="233" spans="1:13" x14ac:dyDescent="0.2">
      <c r="A233" s="1">
        <v>44225</v>
      </c>
      <c r="B233">
        <v>131.19000199999999</v>
      </c>
      <c r="C233">
        <v>131.720001</v>
      </c>
      <c r="D233">
        <v>128.19000199999999</v>
      </c>
      <c r="E233">
        <v>128.66999799999999</v>
      </c>
      <c r="F233">
        <v>127.916611</v>
      </c>
      <c r="G233">
        <v>14803100</v>
      </c>
      <c r="I233">
        <f t="shared" si="11"/>
        <v>-1.1067523759032506E-2</v>
      </c>
      <c r="J233">
        <v>0</v>
      </c>
      <c r="K233">
        <f t="shared" si="9"/>
        <v>-1.1067523759032506E-2</v>
      </c>
      <c r="L233">
        <f t="shared" si="10"/>
        <v>-1.1067523759032507</v>
      </c>
      <c r="M233">
        <v>-1.84</v>
      </c>
    </row>
    <row r="234" spans="1:13" x14ac:dyDescent="0.2">
      <c r="A234" s="1">
        <v>44228</v>
      </c>
      <c r="B234">
        <v>129.39999399999999</v>
      </c>
      <c r="C234">
        <v>130.070007</v>
      </c>
      <c r="D234">
        <v>128.479996</v>
      </c>
      <c r="E234">
        <v>129.61999499999999</v>
      </c>
      <c r="F234">
        <v>128.86103800000001</v>
      </c>
      <c r="G234">
        <v>11080700</v>
      </c>
      <c r="I234">
        <f t="shared" si="11"/>
        <v>7.3831458840009807E-3</v>
      </c>
      <c r="J234">
        <v>0</v>
      </c>
      <c r="K234">
        <f t="shared" si="9"/>
        <v>7.3831458840009807E-3</v>
      </c>
      <c r="L234">
        <f t="shared" si="10"/>
        <v>0.73831458840009812</v>
      </c>
      <c r="M234">
        <v>1.73</v>
      </c>
    </row>
    <row r="235" spans="1:13" x14ac:dyDescent="0.2">
      <c r="A235" s="1">
        <v>44229</v>
      </c>
      <c r="B235">
        <v>131.94000199999999</v>
      </c>
      <c r="C235">
        <v>134.38999899999999</v>
      </c>
      <c r="D235">
        <v>131.220001</v>
      </c>
      <c r="E235">
        <v>133.61000100000001</v>
      </c>
      <c r="F235">
        <v>132.82768200000001</v>
      </c>
      <c r="G235">
        <v>12253600</v>
      </c>
      <c r="I235">
        <f t="shared" si="11"/>
        <v>3.0782337792436547E-2</v>
      </c>
      <c r="J235">
        <v>0</v>
      </c>
      <c r="K235">
        <f t="shared" si="9"/>
        <v>3.0782337792436547E-2</v>
      </c>
      <c r="L235">
        <f t="shared" si="10"/>
        <v>3.0782337792436545</v>
      </c>
      <c r="M235">
        <v>1.48</v>
      </c>
    </row>
    <row r="236" spans="1:13" x14ac:dyDescent="0.2">
      <c r="A236" s="1">
        <v>44230</v>
      </c>
      <c r="B236">
        <v>133.64999399999999</v>
      </c>
      <c r="C236">
        <v>135.759995</v>
      </c>
      <c r="D236">
        <v>133.509995</v>
      </c>
      <c r="E236">
        <v>135.13999899999999</v>
      </c>
      <c r="F236">
        <v>134.348724</v>
      </c>
      <c r="G236">
        <v>10600800</v>
      </c>
      <c r="I236">
        <f t="shared" si="11"/>
        <v>1.1451242520365553E-2</v>
      </c>
      <c r="J236">
        <v>0</v>
      </c>
      <c r="K236">
        <f t="shared" si="9"/>
        <v>1.1451242520365553E-2</v>
      </c>
      <c r="L236">
        <f t="shared" si="10"/>
        <v>1.1451242520365552</v>
      </c>
      <c r="M236">
        <v>0.16</v>
      </c>
    </row>
    <row r="237" spans="1:13" x14ac:dyDescent="0.2">
      <c r="A237" s="1">
        <v>44231</v>
      </c>
      <c r="B237">
        <v>135.470001</v>
      </c>
      <c r="C237">
        <v>138.66000399999999</v>
      </c>
      <c r="D237">
        <v>135.470001</v>
      </c>
      <c r="E237">
        <v>138.25</v>
      </c>
      <c r="F237">
        <v>137.44052099999999</v>
      </c>
      <c r="G237">
        <v>12419500</v>
      </c>
      <c r="I237">
        <f t="shared" si="11"/>
        <v>2.3013221919398249E-2</v>
      </c>
      <c r="J237">
        <v>0</v>
      </c>
      <c r="K237">
        <f t="shared" si="9"/>
        <v>2.3013221919398249E-2</v>
      </c>
      <c r="L237">
        <f t="shared" si="10"/>
        <v>2.3013221919398248</v>
      </c>
      <c r="M237">
        <v>1.23</v>
      </c>
    </row>
    <row r="238" spans="1:13" x14ac:dyDescent="0.2">
      <c r="A238" s="1">
        <v>44232</v>
      </c>
      <c r="B238">
        <v>139.38999899999999</v>
      </c>
      <c r="C238">
        <v>139.490005</v>
      </c>
      <c r="D238">
        <v>137.38000500000001</v>
      </c>
      <c r="E238">
        <v>137.979996</v>
      </c>
      <c r="F238">
        <v>137.172089</v>
      </c>
      <c r="G238">
        <v>10045100</v>
      </c>
      <c r="I238">
        <f t="shared" si="11"/>
        <v>-1.9530775789185929E-3</v>
      </c>
      <c r="J238">
        <v>0</v>
      </c>
      <c r="K238">
        <f t="shared" si="9"/>
        <v>-1.9530775789185929E-3</v>
      </c>
      <c r="L238">
        <f t="shared" si="10"/>
        <v>-0.19530775789185928</v>
      </c>
      <c r="M238">
        <v>0.57999999999999996</v>
      </c>
    </row>
    <row r="239" spans="1:13" x14ac:dyDescent="0.2">
      <c r="A239" s="1">
        <v>44235</v>
      </c>
      <c r="B239">
        <v>138.199997</v>
      </c>
      <c r="C239">
        <v>140.300003</v>
      </c>
      <c r="D239">
        <v>138.179993</v>
      </c>
      <c r="E239">
        <v>140.13999899999999</v>
      </c>
      <c r="F239">
        <v>139.319458</v>
      </c>
      <c r="G239">
        <v>10136400</v>
      </c>
      <c r="I239">
        <f t="shared" si="11"/>
        <v>1.5654562204706218E-2</v>
      </c>
      <c r="J239">
        <v>0</v>
      </c>
      <c r="K239">
        <f t="shared" si="9"/>
        <v>1.5654562204706218E-2</v>
      </c>
      <c r="L239">
        <f t="shared" si="10"/>
        <v>1.5654562204706217</v>
      </c>
      <c r="M239">
        <v>0.96</v>
      </c>
    </row>
    <row r="240" spans="1:13" x14ac:dyDescent="0.2">
      <c r="A240" s="1">
        <v>44236</v>
      </c>
      <c r="B240">
        <v>139.429993</v>
      </c>
      <c r="C240">
        <v>139.979996</v>
      </c>
      <c r="D240">
        <v>138.53999300000001</v>
      </c>
      <c r="E240">
        <v>139.58000200000001</v>
      </c>
      <c r="F240">
        <v>138.76272599999999</v>
      </c>
      <c r="G240">
        <v>8614800</v>
      </c>
      <c r="I240">
        <f t="shared" si="11"/>
        <v>-3.996082155301027E-3</v>
      </c>
      <c r="J240">
        <v>0</v>
      </c>
      <c r="K240">
        <f t="shared" si="9"/>
        <v>-3.996082155301027E-3</v>
      </c>
      <c r="L240">
        <f t="shared" si="10"/>
        <v>-0.39960821553010273</v>
      </c>
      <c r="M240">
        <v>0.05</v>
      </c>
    </row>
    <row r="241" spans="1:13" x14ac:dyDescent="0.2">
      <c r="A241" s="1">
        <v>44237</v>
      </c>
      <c r="B241">
        <v>140</v>
      </c>
      <c r="C241">
        <v>140.86999499999999</v>
      </c>
      <c r="D241">
        <v>139.03999300000001</v>
      </c>
      <c r="E241">
        <v>139.66000399999999</v>
      </c>
      <c r="F241">
        <v>138.84227000000001</v>
      </c>
      <c r="G241">
        <v>10323200</v>
      </c>
      <c r="I241">
        <f t="shared" si="11"/>
        <v>5.7323751336527454E-4</v>
      </c>
      <c r="J241">
        <v>0</v>
      </c>
      <c r="K241">
        <f t="shared" si="9"/>
        <v>5.7323751336527454E-4</v>
      </c>
      <c r="L241">
        <f t="shared" si="10"/>
        <v>5.7323751336527451E-2</v>
      </c>
      <c r="M241">
        <v>-7.0000000000000007E-2</v>
      </c>
    </row>
    <row r="242" spans="1:13" x14ac:dyDescent="0.2">
      <c r="A242" s="1">
        <v>44238</v>
      </c>
      <c r="B242">
        <v>139.66000399999999</v>
      </c>
      <c r="C242">
        <v>140.550003</v>
      </c>
      <c r="D242">
        <v>138.220001</v>
      </c>
      <c r="E242">
        <v>139.270004</v>
      </c>
      <c r="F242">
        <v>138.454544</v>
      </c>
      <c r="G242">
        <v>9197800</v>
      </c>
      <c r="I242">
        <f t="shared" si="11"/>
        <v>-2.7925645410436955E-3</v>
      </c>
      <c r="J242">
        <v>0</v>
      </c>
      <c r="K242">
        <f t="shared" si="9"/>
        <v>-2.7925645410436955E-3</v>
      </c>
      <c r="L242">
        <f t="shared" si="10"/>
        <v>-0.27925645410436956</v>
      </c>
      <c r="M242">
        <v>0.19</v>
      </c>
    </row>
    <row r="243" spans="1:13" x14ac:dyDescent="0.2">
      <c r="A243" s="1">
        <v>44239</v>
      </c>
      <c r="B243">
        <v>139.050003</v>
      </c>
      <c r="C243">
        <v>141.61000100000001</v>
      </c>
      <c r="D243">
        <v>139</v>
      </c>
      <c r="E243">
        <v>141.25</v>
      </c>
      <c r="F243">
        <v>140.42295799999999</v>
      </c>
      <c r="G243">
        <v>8322600</v>
      </c>
      <c r="I243">
        <f t="shared" si="11"/>
        <v>1.4217041515083793E-2</v>
      </c>
      <c r="J243">
        <v>0</v>
      </c>
      <c r="K243">
        <f t="shared" si="9"/>
        <v>1.4217041515083793E-2</v>
      </c>
      <c r="L243">
        <f t="shared" si="10"/>
        <v>1.4217041515083793</v>
      </c>
      <c r="M243">
        <v>0.49</v>
      </c>
    </row>
    <row r="244" spans="1:13" x14ac:dyDescent="0.2">
      <c r="A244" s="1">
        <v>44243</v>
      </c>
      <c r="B244">
        <v>143.550003</v>
      </c>
      <c r="C244">
        <v>145.320007</v>
      </c>
      <c r="D244">
        <v>142.39999399999999</v>
      </c>
      <c r="E244">
        <v>144.64999399999999</v>
      </c>
      <c r="F244">
        <v>143.80304000000001</v>
      </c>
      <c r="G244">
        <v>12130600</v>
      </c>
      <c r="I244">
        <f t="shared" si="11"/>
        <v>2.4070722110838997E-2</v>
      </c>
      <c r="J244">
        <v>0</v>
      </c>
      <c r="K244">
        <f t="shared" si="9"/>
        <v>2.4070722110838997E-2</v>
      </c>
      <c r="L244">
        <f t="shared" si="10"/>
        <v>2.4070722110838996</v>
      </c>
      <c r="M244">
        <v>-0.14000000000000001</v>
      </c>
    </row>
    <row r="245" spans="1:13" x14ac:dyDescent="0.2">
      <c r="A245" s="1">
        <v>44244</v>
      </c>
      <c r="B245">
        <v>143.949997</v>
      </c>
      <c r="C245">
        <v>145.38000500000001</v>
      </c>
      <c r="D245">
        <v>143.11999499999999</v>
      </c>
      <c r="E245">
        <v>145.10000600000001</v>
      </c>
      <c r="F245">
        <v>144.25041200000001</v>
      </c>
      <c r="G245">
        <v>10810100</v>
      </c>
      <c r="I245">
        <f t="shared" si="11"/>
        <v>3.1110051637295109E-3</v>
      </c>
      <c r="J245">
        <v>0</v>
      </c>
      <c r="K245">
        <f t="shared" si="9"/>
        <v>3.1110051637295109E-3</v>
      </c>
      <c r="L245">
        <f t="shared" si="10"/>
        <v>0.31110051637295111</v>
      </c>
      <c r="M245">
        <v>-0.2</v>
      </c>
    </row>
    <row r="246" spans="1:13" x14ac:dyDescent="0.2">
      <c r="A246" s="1">
        <v>44245</v>
      </c>
      <c r="B246">
        <v>144</v>
      </c>
      <c r="C246">
        <v>145.78999300000001</v>
      </c>
      <c r="D246">
        <v>143.39999399999999</v>
      </c>
      <c r="E246">
        <v>145.58999600000001</v>
      </c>
      <c r="F246">
        <v>144.73753400000001</v>
      </c>
      <c r="G246">
        <v>10587800</v>
      </c>
      <c r="I246">
        <f t="shared" si="11"/>
        <v>3.3769192978110826E-3</v>
      </c>
      <c r="J246">
        <v>0</v>
      </c>
      <c r="K246">
        <f t="shared" si="9"/>
        <v>3.3769192978110826E-3</v>
      </c>
      <c r="L246">
        <f t="shared" si="10"/>
        <v>0.33769192978110824</v>
      </c>
      <c r="M246">
        <v>-0.63</v>
      </c>
    </row>
    <row r="247" spans="1:13" x14ac:dyDescent="0.2">
      <c r="A247" s="1">
        <v>44246</v>
      </c>
      <c r="B247">
        <v>145.86000100000001</v>
      </c>
      <c r="C247">
        <v>148.83999600000001</v>
      </c>
      <c r="D247">
        <v>145.86000100000001</v>
      </c>
      <c r="E247">
        <v>148.020004</v>
      </c>
      <c r="F247">
        <v>147.15332000000001</v>
      </c>
      <c r="G247">
        <v>11969800</v>
      </c>
      <c r="I247">
        <f t="shared" si="11"/>
        <v>1.6690805302790337E-2</v>
      </c>
      <c r="J247">
        <v>0</v>
      </c>
      <c r="K247">
        <f t="shared" si="9"/>
        <v>1.6690805302790337E-2</v>
      </c>
      <c r="L247">
        <f t="shared" si="10"/>
        <v>1.6690805302790337</v>
      </c>
      <c r="M247">
        <v>0.16</v>
      </c>
    </row>
    <row r="248" spans="1:13" x14ac:dyDescent="0.2">
      <c r="A248" s="1">
        <v>44249</v>
      </c>
      <c r="B248">
        <v>146.86999499999999</v>
      </c>
      <c r="C248">
        <v>150.19000199999999</v>
      </c>
      <c r="D248">
        <v>146.78999300000001</v>
      </c>
      <c r="E248">
        <v>149.41000399999999</v>
      </c>
      <c r="F248">
        <v>148.53517199999999</v>
      </c>
      <c r="G248">
        <v>11488400</v>
      </c>
      <c r="I248">
        <f t="shared" si="11"/>
        <v>9.3905594518695241E-3</v>
      </c>
      <c r="J248">
        <v>0</v>
      </c>
      <c r="K248">
        <f t="shared" si="9"/>
        <v>9.3905594518695241E-3</v>
      </c>
      <c r="L248">
        <f t="shared" si="10"/>
        <v>0.93905594518695246</v>
      </c>
      <c r="M248">
        <v>-1.1200000000000001</v>
      </c>
    </row>
    <row r="249" spans="1:13" x14ac:dyDescent="0.2">
      <c r="A249" s="1">
        <v>44250</v>
      </c>
      <c r="B249">
        <v>151.509995</v>
      </c>
      <c r="C249">
        <v>152.30999800000001</v>
      </c>
      <c r="D249">
        <v>149.58999600000001</v>
      </c>
      <c r="E249">
        <v>150.61000100000001</v>
      </c>
      <c r="F249">
        <v>149.728149</v>
      </c>
      <c r="G249">
        <v>16234400</v>
      </c>
      <c r="I249">
        <f t="shared" si="11"/>
        <v>8.0316128761746299E-3</v>
      </c>
      <c r="J249">
        <v>0</v>
      </c>
      <c r="K249">
        <f t="shared" si="9"/>
        <v>8.0316128761746299E-3</v>
      </c>
      <c r="L249">
        <f t="shared" si="10"/>
        <v>0.80316128761746297</v>
      </c>
      <c r="M249">
        <v>-0.15</v>
      </c>
    </row>
    <row r="250" spans="1:13" x14ac:dyDescent="0.2">
      <c r="A250" s="1">
        <v>44251</v>
      </c>
      <c r="B250">
        <v>150.11000100000001</v>
      </c>
      <c r="C250">
        <v>153.759995</v>
      </c>
      <c r="D250">
        <v>150.11000100000001</v>
      </c>
      <c r="E250">
        <v>153.259995</v>
      </c>
      <c r="F250">
        <v>152.36262500000001</v>
      </c>
      <c r="G250">
        <v>15061400</v>
      </c>
      <c r="I250">
        <f t="shared" si="11"/>
        <v>1.7595061567214101E-2</v>
      </c>
      <c r="J250">
        <v>0</v>
      </c>
      <c r="K250">
        <f t="shared" si="9"/>
        <v>1.7595061567214101E-2</v>
      </c>
      <c r="L250">
        <f t="shared" si="10"/>
        <v>1.7595061567214101</v>
      </c>
      <c r="M250">
        <v>1.1499999999999999</v>
      </c>
    </row>
    <row r="251" spans="1:13" x14ac:dyDescent="0.2">
      <c r="A251" s="1">
        <v>44252</v>
      </c>
      <c r="B251">
        <v>154.270004</v>
      </c>
      <c r="C251">
        <v>154.89999399999999</v>
      </c>
      <c r="D251">
        <v>150.58999600000001</v>
      </c>
      <c r="E251">
        <v>151.179993</v>
      </c>
      <c r="F251">
        <v>150.29480000000001</v>
      </c>
      <c r="G251">
        <v>18127700</v>
      </c>
      <c r="I251">
        <f t="shared" si="11"/>
        <v>-1.3571733881586768E-2</v>
      </c>
      <c r="J251">
        <v>0</v>
      </c>
      <c r="K251">
        <f t="shared" si="9"/>
        <v>-1.3571733881586768E-2</v>
      </c>
      <c r="L251">
        <f t="shared" si="10"/>
        <v>-1.3571733881586767</v>
      </c>
      <c r="M251">
        <v>-2.73</v>
      </c>
    </row>
    <row r="252" spans="1:13" x14ac:dyDescent="0.2">
      <c r="A252" s="1">
        <v>44253</v>
      </c>
      <c r="B252">
        <v>150.300003</v>
      </c>
      <c r="C252">
        <v>150.86999499999999</v>
      </c>
      <c r="D252">
        <v>146.509995</v>
      </c>
      <c r="E252">
        <v>147.16999799999999</v>
      </c>
      <c r="F252">
        <v>146.308289</v>
      </c>
      <c r="G252">
        <v>19823300</v>
      </c>
      <c r="I252">
        <f t="shared" si="11"/>
        <v>-2.6524610299225301E-2</v>
      </c>
      <c r="J252">
        <v>0</v>
      </c>
      <c r="K252">
        <f t="shared" si="9"/>
        <v>-2.6524610299225301E-2</v>
      </c>
      <c r="L252">
        <f t="shared" si="10"/>
        <v>-2.65246102992253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JPM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2021-04-29T13:27:22Z</dcterms:created>
  <dcterms:modified xsi:type="dcterms:W3CDTF">2021-04-29T16:21:30Z</dcterms:modified>
</cp:coreProperties>
</file>