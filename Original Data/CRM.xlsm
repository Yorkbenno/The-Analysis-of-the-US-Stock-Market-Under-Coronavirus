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10111"/>
  <workbookPr defaultThemeVersion="166925"/>
  <mc:AlternateContent xmlns:mc="http://schemas.openxmlformats.org/markup-compatibility/2006">
    <mc:Choice Requires="x15">
      <x15ac:absPath xmlns:x15ac="http://schemas.microsoft.com/office/spreadsheetml/2010/11/ac" url="/Users/xiaohongyu/Desktop/"/>
    </mc:Choice>
  </mc:AlternateContent>
  <xr:revisionPtr revIDLastSave="0" documentId="8_{EA059F91-EA4E-9043-BFAC-D6990991282A}" xr6:coauthVersionLast="46" xr6:coauthVersionMax="46" xr10:uidLastSave="{00000000-0000-0000-0000-000000000000}"/>
  <bookViews>
    <workbookView xWindow="1180" yWindow="1460" windowWidth="27240" windowHeight="15320"/>
  </bookViews>
  <sheets>
    <sheet name="CRM" sheetId="1" r:id="rId1"/>
  </sheets>
  <calcPr calcId="191029"/>
  <extLst>
    <ext xmlns:xcalcf="http://schemas.microsoft.com/office/spreadsheetml/2018/calcfeatures" uri="{B58B0392-4F1F-4190-BB64-5DF3571DCE5F}">
      <xcalcf:calcFeatures>
        <xcalcf:feature name="microsoft.com:RD"/>
        <xcalcf:feature name="microsoft.com:Single"/>
        <xcalcf:feature name="microsoft.com:FV"/>
        <xcalcf:feature name="microsoft.com:CNMTM"/>
        <xcalcf:feature name="microsoft.com:LET_WF"/>
      </xcalcf:calcFeatures>
    </ext>
  </extLst>
</workbook>
</file>

<file path=xl/calcChain.xml><?xml version="1.0" encoding="utf-8"?>
<calcChain xmlns="http://schemas.openxmlformats.org/spreadsheetml/2006/main">
  <c r="I252" i="1" l="1"/>
  <c r="K252" i="1" s="1"/>
  <c r="L252" i="1" s="1"/>
  <c r="I251" i="1"/>
  <c r="K251" i="1" s="1"/>
  <c r="L251" i="1" s="1"/>
  <c r="I250" i="1"/>
  <c r="K250" i="1" s="1"/>
  <c r="L250" i="1" s="1"/>
  <c r="I249" i="1"/>
  <c r="K249" i="1" s="1"/>
  <c r="L249" i="1" s="1"/>
  <c r="I248" i="1"/>
  <c r="K248" i="1" s="1"/>
  <c r="L248" i="1" s="1"/>
  <c r="I247" i="1"/>
  <c r="K247" i="1" s="1"/>
  <c r="L247" i="1" s="1"/>
  <c r="I246" i="1"/>
  <c r="K246" i="1" s="1"/>
  <c r="L246" i="1" s="1"/>
  <c r="I245" i="1"/>
  <c r="K245" i="1" s="1"/>
  <c r="L245" i="1" s="1"/>
  <c r="I244" i="1"/>
  <c r="K244" i="1" s="1"/>
  <c r="L244" i="1" s="1"/>
  <c r="I243" i="1"/>
  <c r="K243" i="1" s="1"/>
  <c r="L243" i="1" s="1"/>
  <c r="I242" i="1"/>
  <c r="K242" i="1" s="1"/>
  <c r="L242" i="1" s="1"/>
  <c r="I241" i="1"/>
  <c r="K241" i="1" s="1"/>
  <c r="L241" i="1" s="1"/>
  <c r="I240" i="1"/>
  <c r="K240" i="1" s="1"/>
  <c r="L240" i="1" s="1"/>
  <c r="I239" i="1"/>
  <c r="K239" i="1" s="1"/>
  <c r="L239" i="1" s="1"/>
  <c r="I238" i="1"/>
  <c r="K238" i="1" s="1"/>
  <c r="L238" i="1" s="1"/>
  <c r="I237" i="1"/>
  <c r="K237" i="1" s="1"/>
  <c r="L237" i="1" s="1"/>
  <c r="I236" i="1"/>
  <c r="K236" i="1" s="1"/>
  <c r="L236" i="1" s="1"/>
  <c r="I235" i="1"/>
  <c r="K235" i="1" s="1"/>
  <c r="L235" i="1" s="1"/>
  <c r="I234" i="1"/>
  <c r="K234" i="1" s="1"/>
  <c r="L234" i="1" s="1"/>
  <c r="I233" i="1"/>
  <c r="K233" i="1" s="1"/>
  <c r="L233" i="1" s="1"/>
  <c r="I232" i="1"/>
  <c r="K232" i="1" s="1"/>
  <c r="L232" i="1" s="1"/>
  <c r="I231" i="1"/>
  <c r="K231" i="1" s="1"/>
  <c r="L231" i="1" s="1"/>
  <c r="I230" i="1"/>
  <c r="K230" i="1" s="1"/>
  <c r="L230" i="1" s="1"/>
  <c r="I229" i="1"/>
  <c r="K229" i="1" s="1"/>
  <c r="L229" i="1" s="1"/>
  <c r="I228" i="1"/>
  <c r="K228" i="1" s="1"/>
  <c r="L228" i="1" s="1"/>
  <c r="I227" i="1"/>
  <c r="K227" i="1" s="1"/>
  <c r="L227" i="1" s="1"/>
  <c r="I226" i="1"/>
  <c r="K226" i="1" s="1"/>
  <c r="L226" i="1" s="1"/>
  <c r="I225" i="1"/>
  <c r="K225" i="1" s="1"/>
  <c r="L225" i="1" s="1"/>
  <c r="I224" i="1"/>
  <c r="K224" i="1" s="1"/>
  <c r="L224" i="1" s="1"/>
  <c r="I223" i="1"/>
  <c r="K223" i="1" s="1"/>
  <c r="L223" i="1" s="1"/>
  <c r="I222" i="1"/>
  <c r="K222" i="1" s="1"/>
  <c r="L222" i="1" s="1"/>
  <c r="I221" i="1"/>
  <c r="K221" i="1" s="1"/>
  <c r="L221" i="1" s="1"/>
  <c r="I220" i="1"/>
  <c r="K220" i="1" s="1"/>
  <c r="L220" i="1" s="1"/>
  <c r="I219" i="1"/>
  <c r="K219" i="1" s="1"/>
  <c r="L219" i="1" s="1"/>
  <c r="I218" i="1"/>
  <c r="K218" i="1" s="1"/>
  <c r="L218" i="1" s="1"/>
  <c r="I217" i="1"/>
  <c r="K217" i="1" s="1"/>
  <c r="L217" i="1" s="1"/>
  <c r="I216" i="1"/>
  <c r="K216" i="1" s="1"/>
  <c r="L216" i="1" s="1"/>
  <c r="I215" i="1"/>
  <c r="K215" i="1" s="1"/>
  <c r="L215" i="1" s="1"/>
  <c r="I214" i="1"/>
  <c r="K214" i="1" s="1"/>
  <c r="L214" i="1" s="1"/>
  <c r="I213" i="1"/>
  <c r="K213" i="1" s="1"/>
  <c r="L213" i="1" s="1"/>
  <c r="K212" i="1"/>
  <c r="L212" i="1" s="1"/>
  <c r="I212" i="1"/>
  <c r="I211" i="1"/>
  <c r="K211" i="1" s="1"/>
  <c r="L211" i="1" s="1"/>
  <c r="I210" i="1"/>
  <c r="K210" i="1" s="1"/>
  <c r="L210" i="1" s="1"/>
  <c r="I209" i="1"/>
  <c r="K209" i="1" s="1"/>
  <c r="L209" i="1" s="1"/>
  <c r="I208" i="1"/>
  <c r="K208" i="1" s="1"/>
  <c r="L208" i="1" s="1"/>
  <c r="I207" i="1"/>
  <c r="K207" i="1" s="1"/>
  <c r="L207" i="1" s="1"/>
  <c r="I206" i="1"/>
  <c r="K206" i="1" s="1"/>
  <c r="L206" i="1" s="1"/>
  <c r="I205" i="1"/>
  <c r="K205" i="1" s="1"/>
  <c r="L205" i="1" s="1"/>
  <c r="I204" i="1"/>
  <c r="K204" i="1" s="1"/>
  <c r="L204" i="1" s="1"/>
  <c r="I203" i="1"/>
  <c r="K203" i="1" s="1"/>
  <c r="L203" i="1" s="1"/>
  <c r="I202" i="1"/>
  <c r="K202" i="1" s="1"/>
  <c r="L202" i="1" s="1"/>
  <c r="I201" i="1"/>
  <c r="K201" i="1" s="1"/>
  <c r="L201" i="1" s="1"/>
  <c r="K200" i="1"/>
  <c r="L200" i="1" s="1"/>
  <c r="I200" i="1"/>
  <c r="I199" i="1"/>
  <c r="K199" i="1" s="1"/>
  <c r="L199" i="1" s="1"/>
  <c r="I198" i="1"/>
  <c r="K198" i="1" s="1"/>
  <c r="L198" i="1" s="1"/>
  <c r="I197" i="1"/>
  <c r="K197" i="1" s="1"/>
  <c r="L197" i="1" s="1"/>
  <c r="I196" i="1"/>
  <c r="K196" i="1" s="1"/>
  <c r="L196" i="1" s="1"/>
  <c r="I195" i="1"/>
  <c r="K195" i="1" s="1"/>
  <c r="L195" i="1" s="1"/>
  <c r="I194" i="1"/>
  <c r="K194" i="1" s="1"/>
  <c r="L194" i="1" s="1"/>
  <c r="I193" i="1"/>
  <c r="K193" i="1" s="1"/>
  <c r="L193" i="1" s="1"/>
  <c r="I192" i="1"/>
  <c r="K192" i="1" s="1"/>
  <c r="L192" i="1" s="1"/>
  <c r="L191" i="1"/>
  <c r="I191" i="1"/>
  <c r="K191" i="1" s="1"/>
  <c r="I190" i="1"/>
  <c r="K190" i="1" s="1"/>
  <c r="L190" i="1" s="1"/>
  <c r="I189" i="1"/>
  <c r="K189" i="1" s="1"/>
  <c r="L189" i="1" s="1"/>
  <c r="K188" i="1"/>
  <c r="L188" i="1" s="1"/>
  <c r="I188" i="1"/>
  <c r="I187" i="1"/>
  <c r="K187" i="1" s="1"/>
  <c r="L187" i="1" s="1"/>
  <c r="I186" i="1"/>
  <c r="K186" i="1" s="1"/>
  <c r="L186" i="1" s="1"/>
  <c r="I185" i="1"/>
  <c r="K185" i="1" s="1"/>
  <c r="L185" i="1" s="1"/>
  <c r="I184" i="1"/>
  <c r="K184" i="1" s="1"/>
  <c r="L184" i="1" s="1"/>
  <c r="I183" i="1"/>
  <c r="K183" i="1" s="1"/>
  <c r="L183" i="1" s="1"/>
  <c r="I182" i="1"/>
  <c r="K182" i="1" s="1"/>
  <c r="L182" i="1" s="1"/>
  <c r="I181" i="1"/>
  <c r="K181" i="1" s="1"/>
  <c r="L181" i="1" s="1"/>
  <c r="I180" i="1"/>
  <c r="K180" i="1" s="1"/>
  <c r="L180" i="1" s="1"/>
  <c r="I179" i="1"/>
  <c r="K179" i="1" s="1"/>
  <c r="L179" i="1" s="1"/>
  <c r="I178" i="1"/>
  <c r="K178" i="1" s="1"/>
  <c r="L178" i="1" s="1"/>
  <c r="I177" i="1"/>
  <c r="K177" i="1" s="1"/>
  <c r="L177" i="1" s="1"/>
  <c r="I176" i="1"/>
  <c r="K176" i="1" s="1"/>
  <c r="L176" i="1" s="1"/>
  <c r="I175" i="1"/>
  <c r="K175" i="1" s="1"/>
  <c r="L175" i="1" s="1"/>
  <c r="I174" i="1"/>
  <c r="K174" i="1" s="1"/>
  <c r="L174" i="1" s="1"/>
  <c r="I173" i="1"/>
  <c r="K173" i="1" s="1"/>
  <c r="L173" i="1" s="1"/>
  <c r="I172" i="1"/>
  <c r="K172" i="1" s="1"/>
  <c r="L172" i="1" s="1"/>
  <c r="I171" i="1"/>
  <c r="K171" i="1" s="1"/>
  <c r="L171" i="1" s="1"/>
  <c r="I170" i="1"/>
  <c r="K170" i="1" s="1"/>
  <c r="L170" i="1" s="1"/>
  <c r="I169" i="1"/>
  <c r="K169" i="1" s="1"/>
  <c r="L169" i="1" s="1"/>
  <c r="I168" i="1"/>
  <c r="K168" i="1" s="1"/>
  <c r="L168" i="1" s="1"/>
  <c r="I167" i="1"/>
  <c r="K167" i="1" s="1"/>
  <c r="L167" i="1" s="1"/>
  <c r="I166" i="1"/>
  <c r="K166" i="1" s="1"/>
  <c r="L166" i="1" s="1"/>
  <c r="I165" i="1"/>
  <c r="K165" i="1" s="1"/>
  <c r="L165" i="1" s="1"/>
  <c r="I164" i="1"/>
  <c r="K164" i="1" s="1"/>
  <c r="L164" i="1" s="1"/>
  <c r="I163" i="1"/>
  <c r="K163" i="1" s="1"/>
  <c r="L163" i="1" s="1"/>
  <c r="I162" i="1"/>
  <c r="K162" i="1" s="1"/>
  <c r="L162" i="1" s="1"/>
  <c r="I161" i="1"/>
  <c r="K161" i="1" s="1"/>
  <c r="L161" i="1" s="1"/>
  <c r="I160" i="1"/>
  <c r="K160" i="1" s="1"/>
  <c r="L160" i="1" s="1"/>
  <c r="I159" i="1"/>
  <c r="K159" i="1" s="1"/>
  <c r="L159" i="1" s="1"/>
  <c r="I158" i="1"/>
  <c r="K158" i="1" s="1"/>
  <c r="L158" i="1" s="1"/>
  <c r="I157" i="1"/>
  <c r="K157" i="1" s="1"/>
  <c r="L157" i="1" s="1"/>
  <c r="I156" i="1"/>
  <c r="K156" i="1" s="1"/>
  <c r="L156" i="1" s="1"/>
  <c r="I155" i="1"/>
  <c r="K155" i="1" s="1"/>
  <c r="L155" i="1" s="1"/>
  <c r="K154" i="1"/>
  <c r="L154" i="1" s="1"/>
  <c r="I154" i="1"/>
  <c r="I153" i="1"/>
  <c r="K153" i="1" s="1"/>
  <c r="L153" i="1" s="1"/>
  <c r="I152" i="1"/>
  <c r="K152" i="1" s="1"/>
  <c r="L152" i="1" s="1"/>
  <c r="I151" i="1"/>
  <c r="K151" i="1" s="1"/>
  <c r="L151" i="1" s="1"/>
  <c r="I150" i="1"/>
  <c r="K150" i="1" s="1"/>
  <c r="L150" i="1" s="1"/>
  <c r="I149" i="1"/>
  <c r="K149" i="1" s="1"/>
  <c r="L149" i="1" s="1"/>
  <c r="I148" i="1"/>
  <c r="K148" i="1" s="1"/>
  <c r="L148" i="1" s="1"/>
  <c r="I147" i="1"/>
  <c r="K147" i="1" s="1"/>
  <c r="L147" i="1" s="1"/>
  <c r="I146" i="1"/>
  <c r="K146" i="1" s="1"/>
  <c r="L146" i="1" s="1"/>
  <c r="I145" i="1"/>
  <c r="K145" i="1" s="1"/>
  <c r="L145" i="1" s="1"/>
  <c r="I144" i="1"/>
  <c r="K144" i="1" s="1"/>
  <c r="L144" i="1" s="1"/>
  <c r="I143" i="1"/>
  <c r="K143" i="1" s="1"/>
  <c r="L143" i="1" s="1"/>
  <c r="K142" i="1"/>
  <c r="L142" i="1" s="1"/>
  <c r="I142" i="1"/>
  <c r="I141" i="1"/>
  <c r="K141" i="1" s="1"/>
  <c r="L141" i="1" s="1"/>
  <c r="I140" i="1"/>
  <c r="K140" i="1" s="1"/>
  <c r="L140" i="1" s="1"/>
  <c r="I139" i="1"/>
  <c r="K139" i="1" s="1"/>
  <c r="L139" i="1" s="1"/>
  <c r="I138" i="1"/>
  <c r="K138" i="1" s="1"/>
  <c r="L138" i="1" s="1"/>
  <c r="I137" i="1"/>
  <c r="K137" i="1" s="1"/>
  <c r="L137" i="1" s="1"/>
  <c r="I136" i="1"/>
  <c r="K136" i="1" s="1"/>
  <c r="L136" i="1" s="1"/>
  <c r="I135" i="1"/>
  <c r="K135" i="1" s="1"/>
  <c r="L135" i="1" s="1"/>
  <c r="I134" i="1"/>
  <c r="K134" i="1" s="1"/>
  <c r="L134" i="1" s="1"/>
  <c r="I133" i="1"/>
  <c r="K133" i="1" s="1"/>
  <c r="L133" i="1" s="1"/>
  <c r="I132" i="1"/>
  <c r="K132" i="1" s="1"/>
  <c r="L132" i="1" s="1"/>
  <c r="I131" i="1"/>
  <c r="K131" i="1" s="1"/>
  <c r="L131" i="1" s="1"/>
  <c r="I130" i="1"/>
  <c r="K130" i="1" s="1"/>
  <c r="L130" i="1" s="1"/>
  <c r="I129" i="1"/>
  <c r="K129" i="1" s="1"/>
  <c r="L129" i="1" s="1"/>
  <c r="I128" i="1"/>
  <c r="K128" i="1" s="1"/>
  <c r="L128" i="1" s="1"/>
  <c r="I127" i="1"/>
  <c r="K127" i="1" s="1"/>
  <c r="L127" i="1" s="1"/>
  <c r="I126" i="1"/>
  <c r="K126" i="1" s="1"/>
  <c r="L126" i="1" s="1"/>
  <c r="I125" i="1"/>
  <c r="K125" i="1" s="1"/>
  <c r="L125" i="1" s="1"/>
  <c r="I124" i="1"/>
  <c r="K124" i="1" s="1"/>
  <c r="L124" i="1" s="1"/>
  <c r="I123" i="1"/>
  <c r="K123" i="1" s="1"/>
  <c r="L123" i="1" s="1"/>
  <c r="K122" i="1"/>
  <c r="L122" i="1" s="1"/>
  <c r="I122" i="1"/>
  <c r="I121" i="1"/>
  <c r="K121" i="1" s="1"/>
  <c r="L121" i="1" s="1"/>
  <c r="I120" i="1"/>
  <c r="K120" i="1" s="1"/>
  <c r="L120" i="1" s="1"/>
  <c r="I119" i="1"/>
  <c r="K119" i="1" s="1"/>
  <c r="L119" i="1" s="1"/>
  <c r="I118" i="1"/>
  <c r="K118" i="1" s="1"/>
  <c r="L118" i="1" s="1"/>
  <c r="I117" i="1"/>
  <c r="K117" i="1" s="1"/>
  <c r="L117" i="1" s="1"/>
  <c r="I116" i="1"/>
  <c r="K116" i="1" s="1"/>
  <c r="L116" i="1" s="1"/>
  <c r="I115" i="1"/>
  <c r="K115" i="1" s="1"/>
  <c r="L115" i="1" s="1"/>
  <c r="I114" i="1"/>
  <c r="K114" i="1" s="1"/>
  <c r="L114" i="1" s="1"/>
  <c r="I113" i="1"/>
  <c r="K113" i="1" s="1"/>
  <c r="L113" i="1" s="1"/>
  <c r="I112" i="1"/>
  <c r="K112" i="1" s="1"/>
  <c r="L112" i="1" s="1"/>
  <c r="I111" i="1"/>
  <c r="K111" i="1" s="1"/>
  <c r="L111" i="1" s="1"/>
  <c r="I110" i="1"/>
  <c r="K110" i="1" s="1"/>
  <c r="L110" i="1" s="1"/>
  <c r="I109" i="1"/>
  <c r="K109" i="1" s="1"/>
  <c r="L109" i="1" s="1"/>
  <c r="I108" i="1"/>
  <c r="K108" i="1" s="1"/>
  <c r="L108" i="1" s="1"/>
  <c r="I107" i="1"/>
  <c r="K107" i="1" s="1"/>
  <c r="L107" i="1" s="1"/>
  <c r="I106" i="1"/>
  <c r="K106" i="1" s="1"/>
  <c r="L106" i="1" s="1"/>
  <c r="I105" i="1"/>
  <c r="K105" i="1" s="1"/>
  <c r="L105" i="1" s="1"/>
  <c r="I104" i="1"/>
  <c r="K104" i="1" s="1"/>
  <c r="L104" i="1" s="1"/>
  <c r="I103" i="1"/>
  <c r="K103" i="1" s="1"/>
  <c r="L103" i="1" s="1"/>
  <c r="I102" i="1"/>
  <c r="K102" i="1" s="1"/>
  <c r="L102" i="1" s="1"/>
  <c r="I101" i="1"/>
  <c r="K101" i="1" s="1"/>
  <c r="L101" i="1" s="1"/>
  <c r="I100" i="1"/>
  <c r="K100" i="1" s="1"/>
  <c r="L100" i="1" s="1"/>
  <c r="I99" i="1"/>
  <c r="K99" i="1" s="1"/>
  <c r="L99" i="1" s="1"/>
  <c r="K98" i="1"/>
  <c r="L98" i="1" s="1"/>
  <c r="I98" i="1"/>
  <c r="I97" i="1"/>
  <c r="K97" i="1" s="1"/>
  <c r="L97" i="1" s="1"/>
  <c r="I96" i="1"/>
  <c r="K96" i="1" s="1"/>
  <c r="L96" i="1" s="1"/>
  <c r="L95" i="1"/>
  <c r="I95" i="1"/>
  <c r="K95" i="1" s="1"/>
  <c r="I94" i="1"/>
  <c r="K94" i="1" s="1"/>
  <c r="L94" i="1" s="1"/>
  <c r="I93" i="1"/>
  <c r="K93" i="1" s="1"/>
  <c r="L93" i="1" s="1"/>
  <c r="I92" i="1"/>
  <c r="K92" i="1" s="1"/>
  <c r="L92" i="1" s="1"/>
  <c r="I91" i="1"/>
  <c r="K91" i="1" s="1"/>
  <c r="L91" i="1" s="1"/>
  <c r="I90" i="1"/>
  <c r="K90" i="1" s="1"/>
  <c r="L90" i="1" s="1"/>
  <c r="I89" i="1"/>
  <c r="K89" i="1" s="1"/>
  <c r="L89" i="1" s="1"/>
  <c r="I88" i="1"/>
  <c r="K88" i="1" s="1"/>
  <c r="L88" i="1" s="1"/>
  <c r="I87" i="1"/>
  <c r="K87" i="1" s="1"/>
  <c r="L87" i="1" s="1"/>
  <c r="I86" i="1"/>
  <c r="K86" i="1" s="1"/>
  <c r="L86" i="1" s="1"/>
  <c r="I85" i="1"/>
  <c r="K85" i="1" s="1"/>
  <c r="L85" i="1" s="1"/>
  <c r="I84" i="1"/>
  <c r="K84" i="1" s="1"/>
  <c r="L84" i="1" s="1"/>
  <c r="I83" i="1"/>
  <c r="K83" i="1" s="1"/>
  <c r="L83" i="1" s="1"/>
  <c r="K82" i="1"/>
  <c r="L82" i="1" s="1"/>
  <c r="I82" i="1"/>
  <c r="I81" i="1"/>
  <c r="K81" i="1" s="1"/>
  <c r="L81" i="1" s="1"/>
  <c r="I80" i="1"/>
  <c r="K80" i="1" s="1"/>
  <c r="L80" i="1" s="1"/>
  <c r="I79" i="1"/>
  <c r="K79" i="1" s="1"/>
  <c r="L79" i="1" s="1"/>
  <c r="I78" i="1"/>
  <c r="K78" i="1" s="1"/>
  <c r="L78" i="1" s="1"/>
  <c r="I77" i="1"/>
  <c r="K77" i="1" s="1"/>
  <c r="L77" i="1" s="1"/>
  <c r="I76" i="1"/>
  <c r="K76" i="1" s="1"/>
  <c r="L76" i="1" s="1"/>
  <c r="I75" i="1"/>
  <c r="K75" i="1" s="1"/>
  <c r="L75" i="1" s="1"/>
  <c r="I74" i="1"/>
  <c r="K74" i="1" s="1"/>
  <c r="L74" i="1" s="1"/>
  <c r="K73" i="1"/>
  <c r="L73" i="1" s="1"/>
  <c r="I73" i="1"/>
  <c r="I72" i="1"/>
  <c r="K72" i="1" s="1"/>
  <c r="L72" i="1" s="1"/>
  <c r="I71" i="1"/>
  <c r="K71" i="1" s="1"/>
  <c r="L71" i="1" s="1"/>
  <c r="I70" i="1"/>
  <c r="K70" i="1" s="1"/>
  <c r="L70" i="1" s="1"/>
  <c r="I69" i="1"/>
  <c r="K69" i="1" s="1"/>
  <c r="L69" i="1" s="1"/>
  <c r="I68" i="1"/>
  <c r="K68" i="1" s="1"/>
  <c r="L68" i="1" s="1"/>
  <c r="I67" i="1"/>
  <c r="K67" i="1" s="1"/>
  <c r="L67" i="1" s="1"/>
  <c r="I66" i="1"/>
  <c r="K66" i="1" s="1"/>
  <c r="L66" i="1" s="1"/>
  <c r="I65" i="1"/>
  <c r="K65" i="1" s="1"/>
  <c r="L65" i="1" s="1"/>
  <c r="I64" i="1"/>
  <c r="K64" i="1" s="1"/>
  <c r="L64" i="1" s="1"/>
  <c r="I63" i="1"/>
  <c r="K63" i="1" s="1"/>
  <c r="L63" i="1" s="1"/>
  <c r="I62" i="1"/>
  <c r="K62" i="1" s="1"/>
  <c r="L62" i="1" s="1"/>
  <c r="I61" i="1"/>
  <c r="K61" i="1" s="1"/>
  <c r="L61" i="1" s="1"/>
  <c r="I60" i="1"/>
  <c r="K60" i="1" s="1"/>
  <c r="L60" i="1" s="1"/>
  <c r="I59" i="1"/>
  <c r="K59" i="1" s="1"/>
  <c r="L59" i="1" s="1"/>
  <c r="I58" i="1"/>
  <c r="K58" i="1" s="1"/>
  <c r="L58" i="1" s="1"/>
  <c r="I57" i="1"/>
  <c r="K57" i="1" s="1"/>
  <c r="L57" i="1" s="1"/>
  <c r="I56" i="1"/>
  <c r="K56" i="1" s="1"/>
  <c r="L56" i="1" s="1"/>
  <c r="K55" i="1"/>
  <c r="L55" i="1" s="1"/>
  <c r="I55" i="1"/>
  <c r="I54" i="1"/>
  <c r="K54" i="1" s="1"/>
  <c r="L54" i="1" s="1"/>
  <c r="I53" i="1"/>
  <c r="K53" i="1" s="1"/>
  <c r="L53" i="1" s="1"/>
  <c r="I52" i="1"/>
  <c r="K52" i="1" s="1"/>
  <c r="L52" i="1" s="1"/>
  <c r="I51" i="1"/>
  <c r="K51" i="1" s="1"/>
  <c r="L51" i="1" s="1"/>
  <c r="K50" i="1"/>
  <c r="L50" i="1" s="1"/>
  <c r="I50" i="1"/>
  <c r="I49" i="1"/>
  <c r="K49" i="1" s="1"/>
  <c r="L49" i="1" s="1"/>
  <c r="I48" i="1"/>
  <c r="K48" i="1" s="1"/>
  <c r="L48" i="1" s="1"/>
  <c r="I47" i="1"/>
  <c r="K47" i="1" s="1"/>
  <c r="L47" i="1" s="1"/>
  <c r="I46" i="1"/>
  <c r="K46" i="1" s="1"/>
  <c r="L46" i="1" s="1"/>
  <c r="I45" i="1"/>
  <c r="K45" i="1" s="1"/>
  <c r="L45" i="1" s="1"/>
  <c r="I44" i="1"/>
  <c r="K44" i="1" s="1"/>
  <c r="L44" i="1" s="1"/>
  <c r="I43" i="1"/>
  <c r="K43" i="1" s="1"/>
  <c r="L43" i="1" s="1"/>
  <c r="I42" i="1"/>
  <c r="K42" i="1" s="1"/>
  <c r="L42" i="1" s="1"/>
  <c r="K41" i="1"/>
  <c r="L41" i="1" s="1"/>
  <c r="I41" i="1"/>
  <c r="I40" i="1"/>
  <c r="K40" i="1" s="1"/>
  <c r="L40" i="1" s="1"/>
  <c r="I39" i="1"/>
  <c r="K39" i="1" s="1"/>
  <c r="L39" i="1" s="1"/>
  <c r="I38" i="1"/>
  <c r="K38" i="1" s="1"/>
  <c r="L38" i="1" s="1"/>
  <c r="I37" i="1"/>
  <c r="K37" i="1" s="1"/>
  <c r="L37" i="1" s="1"/>
  <c r="I36" i="1"/>
  <c r="K36" i="1" s="1"/>
  <c r="L36" i="1" s="1"/>
  <c r="I35" i="1"/>
  <c r="K35" i="1" s="1"/>
  <c r="L35" i="1" s="1"/>
  <c r="I34" i="1"/>
  <c r="K34" i="1" s="1"/>
  <c r="L34" i="1" s="1"/>
  <c r="I33" i="1"/>
  <c r="K33" i="1" s="1"/>
  <c r="L33" i="1" s="1"/>
  <c r="I32" i="1"/>
  <c r="K32" i="1" s="1"/>
  <c r="L32" i="1" s="1"/>
  <c r="I31" i="1"/>
  <c r="K31" i="1" s="1"/>
  <c r="L31" i="1" s="1"/>
  <c r="I30" i="1"/>
  <c r="K30" i="1" s="1"/>
  <c r="L30" i="1" s="1"/>
  <c r="I29" i="1"/>
  <c r="K29" i="1" s="1"/>
  <c r="L29" i="1" s="1"/>
  <c r="I28" i="1"/>
  <c r="K28" i="1" s="1"/>
  <c r="L28" i="1" s="1"/>
  <c r="I27" i="1"/>
  <c r="K27" i="1" s="1"/>
  <c r="L27" i="1" s="1"/>
  <c r="I26" i="1"/>
  <c r="K26" i="1" s="1"/>
  <c r="L26" i="1" s="1"/>
  <c r="I25" i="1"/>
  <c r="K25" i="1" s="1"/>
  <c r="L25" i="1" s="1"/>
  <c r="I24" i="1"/>
  <c r="K24" i="1" s="1"/>
  <c r="L24" i="1" s="1"/>
  <c r="K23" i="1"/>
  <c r="L23" i="1" s="1"/>
  <c r="I23" i="1"/>
  <c r="I22" i="1"/>
  <c r="K22" i="1" s="1"/>
  <c r="L22" i="1" s="1"/>
  <c r="I21" i="1"/>
  <c r="K21" i="1" s="1"/>
  <c r="L21" i="1" s="1"/>
  <c r="I20" i="1"/>
  <c r="K20" i="1" s="1"/>
  <c r="L20" i="1" s="1"/>
  <c r="I19" i="1"/>
  <c r="K19" i="1" s="1"/>
  <c r="L19" i="1" s="1"/>
  <c r="I18" i="1"/>
  <c r="K18" i="1" s="1"/>
  <c r="L18" i="1" s="1"/>
  <c r="I17" i="1"/>
  <c r="K17" i="1" s="1"/>
  <c r="L17" i="1" s="1"/>
  <c r="I16" i="1"/>
  <c r="K16" i="1" s="1"/>
  <c r="L16" i="1" s="1"/>
  <c r="I15" i="1"/>
  <c r="K15" i="1" s="1"/>
  <c r="L15" i="1" s="1"/>
  <c r="I14" i="1"/>
  <c r="K14" i="1" s="1"/>
  <c r="L14" i="1" s="1"/>
  <c r="I13" i="1"/>
  <c r="K13" i="1" s="1"/>
  <c r="L13" i="1" s="1"/>
  <c r="I12" i="1"/>
  <c r="K12" i="1" s="1"/>
  <c r="L12" i="1" s="1"/>
  <c r="I11" i="1"/>
  <c r="K11" i="1" s="1"/>
  <c r="L11" i="1" s="1"/>
  <c r="K10" i="1"/>
  <c r="L10" i="1" s="1"/>
  <c r="I10" i="1"/>
  <c r="I9" i="1"/>
  <c r="K9" i="1" s="1"/>
  <c r="L9" i="1" s="1"/>
  <c r="I8" i="1"/>
  <c r="K8" i="1" s="1"/>
  <c r="L8" i="1" s="1"/>
  <c r="I7" i="1"/>
  <c r="K7" i="1" s="1"/>
  <c r="L7" i="1" s="1"/>
  <c r="I6" i="1"/>
  <c r="K6" i="1" s="1"/>
  <c r="L6" i="1" s="1"/>
  <c r="I5" i="1"/>
  <c r="K5" i="1" s="1"/>
  <c r="L5" i="1" s="1"/>
  <c r="I4" i="1"/>
  <c r="K4" i="1" s="1"/>
  <c r="L4" i="1" s="1"/>
  <c r="I3" i="1"/>
  <c r="K3" i="1" s="1"/>
  <c r="L3" i="1" s="1"/>
</calcChain>
</file>

<file path=xl/sharedStrings.xml><?xml version="1.0" encoding="utf-8"?>
<sst xmlns="http://schemas.openxmlformats.org/spreadsheetml/2006/main" count="12" uniqueCount="12">
  <si>
    <t>Date</t>
  </si>
  <si>
    <t>Open</t>
  </si>
  <si>
    <t>High</t>
  </si>
  <si>
    <t>Low</t>
  </si>
  <si>
    <t>Close</t>
  </si>
  <si>
    <t>Adj Close</t>
  </si>
  <si>
    <t>Volume</t>
  </si>
  <si>
    <t>Daily Return</t>
  </si>
  <si>
    <t>RF rate</t>
  </si>
  <si>
    <t>Mkt-RF</t>
  </si>
  <si>
    <t>Excess Return for CRM</t>
  </si>
  <si>
    <t>CRM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</si>
</sst>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18" x14ac:knownFonts="1">
    <font>
      <sz val="12"/>
      <color theme="1"/>
      <name val="Calibri"/>
      <family val="2"/>
      <scheme val="minor"/>
    </font>
    <font>
      <sz val="12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2"/>
      <color rgb="FF006100"/>
      <name val="Calibri"/>
      <family val="2"/>
      <scheme val="minor"/>
    </font>
    <font>
      <sz val="12"/>
      <color rgb="FF9C0006"/>
      <name val="Calibri"/>
      <family val="2"/>
      <scheme val="minor"/>
    </font>
    <font>
      <sz val="12"/>
      <color rgb="FF9C5700"/>
      <name val="Calibri"/>
      <family val="2"/>
      <scheme val="minor"/>
    </font>
    <font>
      <sz val="12"/>
      <color rgb="FF3F3F76"/>
      <name val="Calibri"/>
      <family val="2"/>
      <scheme val="minor"/>
    </font>
    <font>
      <b/>
      <sz val="12"/>
      <color rgb="FF3F3F3F"/>
      <name val="Calibri"/>
      <family val="2"/>
      <scheme val="minor"/>
    </font>
    <font>
      <b/>
      <sz val="12"/>
      <color rgb="FFFA7D00"/>
      <name val="Calibri"/>
      <family val="2"/>
      <scheme val="minor"/>
    </font>
    <font>
      <sz val="12"/>
      <color rgb="FFFA7D00"/>
      <name val="Calibri"/>
      <family val="2"/>
      <scheme val="minor"/>
    </font>
    <font>
      <b/>
      <sz val="12"/>
      <color theme="0"/>
      <name val="Calibri"/>
      <family val="2"/>
      <scheme val="minor"/>
    </font>
    <font>
      <sz val="12"/>
      <color rgb="FFFF0000"/>
      <name val="Calibri"/>
      <family val="2"/>
      <scheme val="minor"/>
    </font>
    <font>
      <i/>
      <sz val="12"/>
      <color rgb="FF7F7F7F"/>
      <name val="Calibri"/>
      <family val="2"/>
      <scheme val="minor"/>
    </font>
    <font>
      <b/>
      <sz val="12"/>
      <color theme="1"/>
      <name val="Calibri"/>
      <family val="2"/>
      <scheme val="minor"/>
    </font>
    <font>
      <sz val="12"/>
      <color theme="0"/>
      <name val="Calibri"/>
      <family val="2"/>
      <scheme val="minor"/>
    </font>
  </fonts>
  <fills count="33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</fills>
  <borders count="10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2">
    <xf numFmtId="0" fontId="0" fillId="0" borderId="0" xfId="0"/>
    <xf numFmtId="14" fontId="0" fillId="0" borderId="0" xfId="0" applyNumberFormat="1"/>
  </cellXfs>
  <cellStyles count="42">
    <cellStyle name="20% - Accent1" xfId="19" builtinId="30" customBuiltin="1"/>
    <cellStyle name="20% - Accent2" xfId="23" builtinId="34" customBuiltin="1"/>
    <cellStyle name="20% - Accent3" xfId="27" builtinId="38" customBuiltin="1"/>
    <cellStyle name="20% - Accent4" xfId="31" builtinId="42" customBuiltin="1"/>
    <cellStyle name="20% - Accent5" xfId="35" builtinId="46" customBuiltin="1"/>
    <cellStyle name="20% - Accent6" xfId="39" builtinId="50" customBuiltin="1"/>
    <cellStyle name="40% - Accent1" xfId="20" builtinId="31" customBuiltin="1"/>
    <cellStyle name="40% - Accent2" xfId="24" builtinId="35" customBuiltin="1"/>
    <cellStyle name="40% - Accent3" xfId="28" builtinId="39" customBuiltin="1"/>
    <cellStyle name="40% - Accent4" xfId="32" builtinId="43" customBuiltin="1"/>
    <cellStyle name="40% - Accent5" xfId="36" builtinId="47" customBuiltin="1"/>
    <cellStyle name="40% - Accent6" xfId="40" builtinId="51" customBuiltin="1"/>
    <cellStyle name="60% - Accent1" xfId="21" builtinId="32" customBuiltin="1"/>
    <cellStyle name="60% - Accent2" xfId="25" builtinId="36" customBuiltin="1"/>
    <cellStyle name="60% - Accent3" xfId="29" builtinId="40" customBuiltin="1"/>
    <cellStyle name="60% - Accent4" xfId="33" builtinId="44" customBuiltin="1"/>
    <cellStyle name="60% - Accent5" xfId="37" builtinId="48" customBuiltin="1"/>
    <cellStyle name="60% - Accent6" xfId="41" builtinId="52" customBuiltin="1"/>
    <cellStyle name="Accent1" xfId="18" builtinId="29" customBuiltin="1"/>
    <cellStyle name="Accent2" xfId="22" builtinId="33" customBuiltin="1"/>
    <cellStyle name="Accent3" xfId="26" builtinId="37" customBuiltin="1"/>
    <cellStyle name="Accent4" xfId="30" builtinId="41" customBuiltin="1"/>
    <cellStyle name="Accent5" xfId="34" builtinId="45" customBuiltin="1"/>
    <cellStyle name="Accent6" xfId="38" builtinId="49" customBuiltin="1"/>
    <cellStyle name="Bad" xfId="7" builtinId="27" customBuiltin="1"/>
    <cellStyle name="Calculation" xfId="11" builtinId="22" customBuiltin="1"/>
    <cellStyle name="Check Cell" xfId="13" builtinId="23" customBuiltin="1"/>
    <cellStyle name="Explanatory Text" xfId="16" builtinId="53" customBuiltin="1"/>
    <cellStyle name="Good" xfId="6" builtinId="26" customBuiltin="1"/>
    <cellStyle name="Heading 1" xfId="2" builtinId="16" customBuiltin="1"/>
    <cellStyle name="Heading 2" xfId="3" builtinId="17" customBuiltin="1"/>
    <cellStyle name="Heading 3" xfId="4" builtinId="18" customBuiltin="1"/>
    <cellStyle name="Heading 4" xfId="5" builtinId="19" customBuiltin="1"/>
    <cellStyle name="Input" xfId="9" builtinId="20" customBuiltin="1"/>
    <cellStyle name="Linked Cell" xfId="12" builtinId="24" customBuiltin="1"/>
    <cellStyle name="Neutral" xfId="8" builtinId="28" customBuiltin="1"/>
    <cellStyle name="Normal" xfId="0" builtinId="0"/>
    <cellStyle name="Note" xfId="15" builtinId="10" customBuiltin="1"/>
    <cellStyle name="Output" xfId="10" builtinId="21" customBuiltin="1"/>
    <cellStyle name="Title" xfId="1" builtinId="15" customBuiltin="1"/>
    <cellStyle name="Total" xfId="17" builtinId="25" customBuiltin="1"/>
    <cellStyle name="Warning Text" xfId="14" builtinId="11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Office Them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M252"/>
  <sheetViews>
    <sheetView tabSelected="1" workbookViewId="0">
      <selection activeCell="L2" sqref="L2"/>
    </sheetView>
  </sheetViews>
  <sheetFormatPr baseColWidth="10" defaultRowHeight="16" x14ac:dyDescent="0.2"/>
  <cols>
    <col min="9" max="9" width="13.33203125" bestFit="1" customWidth="1"/>
    <col min="10" max="10" width="11.83203125" customWidth="1"/>
    <col min="11" max="11" width="20.1640625" bestFit="1" customWidth="1"/>
    <col min="12" max="12" width="13.33203125" bestFit="1" customWidth="1"/>
  </cols>
  <sheetData>
    <row r="1" spans="1:13" x14ac:dyDescent="0.2">
      <c r="A1" t="s">
        <v>0</v>
      </c>
      <c r="B1" t="s">
        <v>1</v>
      </c>
      <c r="C1" t="s">
        <v>2</v>
      </c>
      <c r="D1" t="s">
        <v>3</v>
      </c>
      <c r="E1" t="s">
        <v>4</v>
      </c>
      <c r="F1" t="s">
        <v>5</v>
      </c>
      <c r="G1" t="s">
        <v>6</v>
      </c>
      <c r="I1" t="s">
        <v>7</v>
      </c>
      <c r="J1" t="s">
        <v>8</v>
      </c>
      <c r="K1" t="s">
        <v>10</v>
      </c>
      <c r="L1" t="s">
        <v>11</v>
      </c>
      <c r="M1" t="s">
        <v>9</v>
      </c>
    </row>
    <row r="2" spans="1:13" x14ac:dyDescent="0.2">
      <c r="A2" s="1">
        <v>43892</v>
      </c>
      <c r="B2">
        <v>172.199997</v>
      </c>
      <c r="C2">
        <v>176.78999300000001</v>
      </c>
      <c r="D2">
        <v>168.58999600000001</v>
      </c>
      <c r="E2">
        <v>176.759995</v>
      </c>
      <c r="F2">
        <v>176.759995</v>
      </c>
      <c r="G2">
        <v>7761000</v>
      </c>
      <c r="J2">
        <v>6.0000000000000001E-3</v>
      </c>
      <c r="M2">
        <v>4.3099999999999996</v>
      </c>
    </row>
    <row r="3" spans="1:13" x14ac:dyDescent="0.2">
      <c r="A3" s="1">
        <v>43893</v>
      </c>
      <c r="B3">
        <v>178.41000399999999</v>
      </c>
      <c r="C3">
        <v>178.41999799999999</v>
      </c>
      <c r="D3">
        <v>167.08999600000001</v>
      </c>
      <c r="E3">
        <v>169.36999499999999</v>
      </c>
      <c r="F3">
        <v>169.36999499999999</v>
      </c>
      <c r="G3">
        <v>8323500</v>
      </c>
      <c r="I3">
        <f>(F3-F2)/F2</f>
        <v>-4.1808102563026292E-2</v>
      </c>
      <c r="J3">
        <v>6.0000000000000001E-3</v>
      </c>
      <c r="K3">
        <f>I3-J3</f>
        <v>-4.780810256302629E-2</v>
      </c>
      <c r="L3">
        <f>100*K3</f>
        <v>-4.7808102563026287</v>
      </c>
      <c r="M3">
        <v>-2.79</v>
      </c>
    </row>
    <row r="4" spans="1:13" x14ac:dyDescent="0.2">
      <c r="A4" s="1">
        <v>43894</v>
      </c>
      <c r="B4">
        <v>172.25</v>
      </c>
      <c r="C4">
        <v>175.80999800000001</v>
      </c>
      <c r="D4">
        <v>169.63000500000001</v>
      </c>
      <c r="E4">
        <v>175.69000199999999</v>
      </c>
      <c r="F4">
        <v>175.69000199999999</v>
      </c>
      <c r="G4">
        <v>5846300</v>
      </c>
      <c r="I4">
        <f t="shared" ref="I4:I67" si="0">(F4-F3)/F3</f>
        <v>3.7314797110314636E-2</v>
      </c>
      <c r="J4">
        <v>6.0000000000000001E-3</v>
      </c>
      <c r="K4">
        <f t="shared" ref="K4:K67" si="1">I4-J4</f>
        <v>3.1314797110314638E-2</v>
      </c>
      <c r="L4">
        <f t="shared" ref="L4:L67" si="2">100*K4</f>
        <v>3.1314797110314636</v>
      </c>
      <c r="M4">
        <v>4.03</v>
      </c>
    </row>
    <row r="5" spans="1:13" x14ac:dyDescent="0.2">
      <c r="A5" s="1">
        <v>43895</v>
      </c>
      <c r="B5">
        <v>172.570007</v>
      </c>
      <c r="C5">
        <v>173.75</v>
      </c>
      <c r="D5">
        <v>168.10000600000001</v>
      </c>
      <c r="E5">
        <v>169.60000600000001</v>
      </c>
      <c r="F5">
        <v>169.60000600000001</v>
      </c>
      <c r="G5">
        <v>5797500</v>
      </c>
      <c r="I5">
        <f t="shared" si="0"/>
        <v>-3.4663304289790975E-2</v>
      </c>
      <c r="J5">
        <v>6.0000000000000001E-3</v>
      </c>
      <c r="K5">
        <f t="shared" si="1"/>
        <v>-4.0663304289790973E-2</v>
      </c>
      <c r="L5">
        <f t="shared" si="2"/>
        <v>-4.0663304289790974</v>
      </c>
      <c r="M5">
        <v>-3.38</v>
      </c>
    </row>
    <row r="6" spans="1:13" x14ac:dyDescent="0.2">
      <c r="A6" s="1">
        <v>43896</v>
      </c>
      <c r="B6">
        <v>165.66999799999999</v>
      </c>
      <c r="C6">
        <v>167.570007</v>
      </c>
      <c r="D6">
        <v>158.53999300000001</v>
      </c>
      <c r="E6">
        <v>164.08000200000001</v>
      </c>
      <c r="F6">
        <v>164.08000200000001</v>
      </c>
      <c r="G6">
        <v>9757700</v>
      </c>
      <c r="I6">
        <f t="shared" si="0"/>
        <v>-3.2547192244792723E-2</v>
      </c>
      <c r="J6">
        <v>6.0000000000000001E-3</v>
      </c>
      <c r="K6">
        <f t="shared" si="1"/>
        <v>-3.8547192244792722E-2</v>
      </c>
      <c r="L6">
        <f t="shared" si="2"/>
        <v>-3.8547192244792723</v>
      </c>
      <c r="M6">
        <v>-1.78</v>
      </c>
    </row>
    <row r="7" spans="1:13" x14ac:dyDescent="0.2">
      <c r="A7" s="1">
        <v>43899</v>
      </c>
      <c r="B7">
        <v>151.699997</v>
      </c>
      <c r="C7">
        <v>157.71000699999999</v>
      </c>
      <c r="D7">
        <v>150.63999899999999</v>
      </c>
      <c r="E7">
        <v>151.21000699999999</v>
      </c>
      <c r="F7">
        <v>151.21000699999999</v>
      </c>
      <c r="G7">
        <v>9657100</v>
      </c>
      <c r="I7">
        <f t="shared" si="0"/>
        <v>-7.8437316206273672E-2</v>
      </c>
      <c r="J7">
        <v>6.0000000000000001E-3</v>
      </c>
      <c r="K7">
        <f t="shared" si="1"/>
        <v>-8.4437316206273677E-2</v>
      </c>
      <c r="L7">
        <f t="shared" si="2"/>
        <v>-8.4437316206273678</v>
      </c>
      <c r="M7">
        <v>-7.79</v>
      </c>
    </row>
    <row r="8" spans="1:13" x14ac:dyDescent="0.2">
      <c r="A8" s="1">
        <v>43900</v>
      </c>
      <c r="B8">
        <v>157.229996</v>
      </c>
      <c r="C8">
        <v>161.470001</v>
      </c>
      <c r="D8">
        <v>151</v>
      </c>
      <c r="E8">
        <v>161.33999600000001</v>
      </c>
      <c r="F8">
        <v>161.33999600000001</v>
      </c>
      <c r="G8">
        <v>11443900</v>
      </c>
      <c r="I8">
        <f t="shared" si="0"/>
        <v>6.6992847900602392E-2</v>
      </c>
      <c r="J8">
        <v>6.0000000000000001E-3</v>
      </c>
      <c r="K8">
        <f t="shared" si="1"/>
        <v>6.0992847900602394E-2</v>
      </c>
      <c r="L8">
        <f t="shared" si="2"/>
        <v>6.0992847900602394</v>
      </c>
      <c r="M8">
        <v>4.74</v>
      </c>
    </row>
    <row r="9" spans="1:13" x14ac:dyDescent="0.2">
      <c r="A9" s="1">
        <v>43901</v>
      </c>
      <c r="B9">
        <v>157.679993</v>
      </c>
      <c r="C9">
        <v>159.61999499999999</v>
      </c>
      <c r="D9">
        <v>150.14999399999999</v>
      </c>
      <c r="E9">
        <v>154.570007</v>
      </c>
      <c r="F9">
        <v>154.570007</v>
      </c>
      <c r="G9">
        <v>10341300</v>
      </c>
      <c r="I9">
        <f t="shared" si="0"/>
        <v>-4.1961008849907305E-2</v>
      </c>
      <c r="J9">
        <v>6.0000000000000001E-3</v>
      </c>
      <c r="K9">
        <f t="shared" si="1"/>
        <v>-4.7961008849907304E-2</v>
      </c>
      <c r="L9">
        <f t="shared" si="2"/>
        <v>-4.7961008849907305</v>
      </c>
      <c r="M9">
        <v>-5.05</v>
      </c>
    </row>
    <row r="10" spans="1:13" x14ac:dyDescent="0.2">
      <c r="A10" s="1">
        <v>43902</v>
      </c>
      <c r="B10">
        <v>144.33999600000001</v>
      </c>
      <c r="C10">
        <v>151.229996</v>
      </c>
      <c r="D10">
        <v>140.10000600000001</v>
      </c>
      <c r="E10">
        <v>140.58999600000001</v>
      </c>
      <c r="F10">
        <v>140.58999600000001</v>
      </c>
      <c r="G10">
        <v>13213000</v>
      </c>
      <c r="I10">
        <f t="shared" si="0"/>
        <v>-9.0444525890459398E-2</v>
      </c>
      <c r="J10">
        <v>6.0000000000000001E-3</v>
      </c>
      <c r="K10">
        <f t="shared" si="1"/>
        <v>-9.6444525890459404E-2</v>
      </c>
      <c r="L10">
        <f t="shared" si="2"/>
        <v>-9.6444525890459403</v>
      </c>
      <c r="M10">
        <v>-9.6300000000000008</v>
      </c>
    </row>
    <row r="11" spans="1:13" x14ac:dyDescent="0.2">
      <c r="A11" s="1">
        <v>43903</v>
      </c>
      <c r="B11">
        <v>149.470001</v>
      </c>
      <c r="C11">
        <v>149.5</v>
      </c>
      <c r="D11">
        <v>135.320007</v>
      </c>
      <c r="E11">
        <v>147.779999</v>
      </c>
      <c r="F11">
        <v>147.779999</v>
      </c>
      <c r="G11">
        <v>13765400</v>
      </c>
      <c r="I11">
        <f t="shared" si="0"/>
        <v>5.1141640262938694E-2</v>
      </c>
      <c r="J11">
        <v>6.0000000000000001E-3</v>
      </c>
      <c r="K11">
        <f t="shared" si="1"/>
        <v>4.5141640262938695E-2</v>
      </c>
      <c r="L11">
        <f t="shared" si="2"/>
        <v>4.5141640262938694</v>
      </c>
      <c r="M11">
        <v>8.9600000000000009</v>
      </c>
    </row>
    <row r="12" spans="1:13" x14ac:dyDescent="0.2">
      <c r="A12" s="1">
        <v>43906</v>
      </c>
      <c r="B12">
        <v>134.009995</v>
      </c>
      <c r="C12">
        <v>141.550003</v>
      </c>
      <c r="D12">
        <v>123.389999</v>
      </c>
      <c r="E12">
        <v>124.300003</v>
      </c>
      <c r="F12">
        <v>124.300003</v>
      </c>
      <c r="G12">
        <v>13845300</v>
      </c>
      <c r="I12">
        <f t="shared" si="0"/>
        <v>-0.15888480280744893</v>
      </c>
      <c r="J12">
        <v>6.0000000000000001E-3</v>
      </c>
      <c r="K12">
        <f t="shared" si="1"/>
        <v>-0.16488480280744894</v>
      </c>
      <c r="L12">
        <f t="shared" si="2"/>
        <v>-16.488480280744895</v>
      </c>
      <c r="M12">
        <v>-12</v>
      </c>
    </row>
    <row r="13" spans="1:13" x14ac:dyDescent="0.2">
      <c r="A13" s="1">
        <v>43907</v>
      </c>
      <c r="B13">
        <v>127</v>
      </c>
      <c r="C13">
        <v>138.009995</v>
      </c>
      <c r="D13">
        <v>122.91999800000001</v>
      </c>
      <c r="E13">
        <v>135.41999799999999</v>
      </c>
      <c r="F13">
        <v>135.41999799999999</v>
      </c>
      <c r="G13">
        <v>12191500</v>
      </c>
      <c r="I13">
        <f t="shared" si="0"/>
        <v>8.9460939111964372E-2</v>
      </c>
      <c r="J13">
        <v>6.0000000000000001E-3</v>
      </c>
      <c r="K13">
        <f t="shared" si="1"/>
        <v>8.3460939111964366E-2</v>
      </c>
      <c r="L13">
        <f t="shared" si="2"/>
        <v>8.3460939111964372</v>
      </c>
      <c r="M13">
        <v>5.87</v>
      </c>
    </row>
    <row r="14" spans="1:13" x14ac:dyDescent="0.2">
      <c r="A14" s="1">
        <v>43908</v>
      </c>
      <c r="B14">
        <v>125.540001</v>
      </c>
      <c r="C14">
        <v>133.41999799999999</v>
      </c>
      <c r="D14">
        <v>115.290001</v>
      </c>
      <c r="E14">
        <v>132.240005</v>
      </c>
      <c r="F14">
        <v>132.240005</v>
      </c>
      <c r="G14">
        <v>12988200</v>
      </c>
      <c r="I14">
        <f t="shared" si="0"/>
        <v>-2.3482447548108784E-2</v>
      </c>
      <c r="J14">
        <v>6.0000000000000001E-3</v>
      </c>
      <c r="K14">
        <f t="shared" si="1"/>
        <v>-2.9482447548108782E-2</v>
      </c>
      <c r="L14">
        <f t="shared" si="2"/>
        <v>-2.9482447548108781</v>
      </c>
      <c r="M14">
        <v>-5.56</v>
      </c>
    </row>
    <row r="15" spans="1:13" x14ac:dyDescent="0.2">
      <c r="A15" s="1">
        <v>43909</v>
      </c>
      <c r="B15">
        <v>131.58999600000001</v>
      </c>
      <c r="C15">
        <v>144</v>
      </c>
      <c r="D15">
        <v>128.86000100000001</v>
      </c>
      <c r="E15">
        <v>139.46000699999999</v>
      </c>
      <c r="F15">
        <v>139.46000699999999</v>
      </c>
      <c r="G15">
        <v>10444000</v>
      </c>
      <c r="I15">
        <f t="shared" si="0"/>
        <v>5.4597714209100291E-2</v>
      </c>
      <c r="J15">
        <v>6.0000000000000001E-3</v>
      </c>
      <c r="K15">
        <f t="shared" si="1"/>
        <v>4.8597714209100293E-2</v>
      </c>
      <c r="L15">
        <f t="shared" si="2"/>
        <v>4.8597714209100289</v>
      </c>
      <c r="M15">
        <v>1.31</v>
      </c>
    </row>
    <row r="16" spans="1:13" x14ac:dyDescent="0.2">
      <c r="A16" s="1">
        <v>43910</v>
      </c>
      <c r="B16">
        <v>140.41999799999999</v>
      </c>
      <c r="C16">
        <v>146.199997</v>
      </c>
      <c r="D16">
        <v>134.60000600000001</v>
      </c>
      <c r="E16">
        <v>139.35000600000001</v>
      </c>
      <c r="F16">
        <v>139.35000600000001</v>
      </c>
      <c r="G16">
        <v>12450100</v>
      </c>
      <c r="I16">
        <f t="shared" si="0"/>
        <v>-7.8876376365005275E-4</v>
      </c>
      <c r="J16">
        <v>6.0000000000000001E-3</v>
      </c>
      <c r="K16">
        <f t="shared" si="1"/>
        <v>-6.7887637636500527E-3</v>
      </c>
      <c r="L16">
        <f t="shared" si="2"/>
        <v>-0.67887637636500531</v>
      </c>
      <c r="M16">
        <v>-4.1500000000000004</v>
      </c>
    </row>
    <row r="17" spans="1:13" x14ac:dyDescent="0.2">
      <c r="A17" s="1">
        <v>43913</v>
      </c>
      <c r="B17">
        <v>138.759995</v>
      </c>
      <c r="C17">
        <v>143.720001</v>
      </c>
      <c r="D17">
        <v>134.08999600000001</v>
      </c>
      <c r="E17">
        <v>140.520004</v>
      </c>
      <c r="F17">
        <v>140.520004</v>
      </c>
      <c r="G17">
        <v>11898300</v>
      </c>
      <c r="I17">
        <f t="shared" si="0"/>
        <v>8.3961101515847257E-3</v>
      </c>
      <c r="J17">
        <v>6.0000000000000001E-3</v>
      </c>
      <c r="K17">
        <f t="shared" si="1"/>
        <v>2.3961101515847256E-3</v>
      </c>
      <c r="L17">
        <f t="shared" si="2"/>
        <v>0.23961101515847255</v>
      </c>
      <c r="M17">
        <v>-2.5499999999999998</v>
      </c>
    </row>
    <row r="18" spans="1:13" x14ac:dyDescent="0.2">
      <c r="A18" s="1">
        <v>43914</v>
      </c>
      <c r="B18">
        <v>144.63000500000001</v>
      </c>
      <c r="C18">
        <v>154.13999899999999</v>
      </c>
      <c r="D18">
        <v>143.179993</v>
      </c>
      <c r="E18">
        <v>153.63999899999999</v>
      </c>
      <c r="F18">
        <v>153.63999899999999</v>
      </c>
      <c r="G18">
        <v>11834400</v>
      </c>
      <c r="I18">
        <f t="shared" si="0"/>
        <v>9.3367453932039379E-2</v>
      </c>
      <c r="J18">
        <v>6.0000000000000001E-3</v>
      </c>
      <c r="K18">
        <f t="shared" si="1"/>
        <v>8.7367453932039374E-2</v>
      </c>
      <c r="L18">
        <f t="shared" si="2"/>
        <v>8.7367453932039378</v>
      </c>
      <c r="M18">
        <v>9.34</v>
      </c>
    </row>
    <row r="19" spans="1:13" x14ac:dyDescent="0.2">
      <c r="A19" s="1">
        <v>43915</v>
      </c>
      <c r="B19">
        <v>152.66999799999999</v>
      </c>
      <c r="C19">
        <v>158.020004</v>
      </c>
      <c r="D19">
        <v>146.96000699999999</v>
      </c>
      <c r="E19">
        <v>147.05999800000001</v>
      </c>
      <c r="F19">
        <v>147.05999800000001</v>
      </c>
      <c r="G19">
        <v>10639300</v>
      </c>
      <c r="I19">
        <f t="shared" si="0"/>
        <v>-4.2827395488332316E-2</v>
      </c>
      <c r="J19">
        <v>6.0000000000000001E-3</v>
      </c>
      <c r="K19">
        <f t="shared" si="1"/>
        <v>-4.8827395488332315E-2</v>
      </c>
      <c r="L19">
        <f t="shared" si="2"/>
        <v>-4.8827395488332312</v>
      </c>
      <c r="M19">
        <v>1.18</v>
      </c>
    </row>
    <row r="20" spans="1:13" x14ac:dyDescent="0.2">
      <c r="A20" s="1">
        <v>43916</v>
      </c>
      <c r="B20">
        <v>148.300003</v>
      </c>
      <c r="C20">
        <v>155.08000200000001</v>
      </c>
      <c r="D20">
        <v>147.729996</v>
      </c>
      <c r="E20">
        <v>154.729996</v>
      </c>
      <c r="F20">
        <v>154.729996</v>
      </c>
      <c r="G20">
        <v>8573100</v>
      </c>
      <c r="I20">
        <f t="shared" si="0"/>
        <v>5.2155569864756779E-2</v>
      </c>
      <c r="J20">
        <v>6.0000000000000001E-3</v>
      </c>
      <c r="K20">
        <f t="shared" si="1"/>
        <v>4.6155569864756781E-2</v>
      </c>
      <c r="L20">
        <f t="shared" si="2"/>
        <v>4.6155569864756778</v>
      </c>
      <c r="M20">
        <v>6.02</v>
      </c>
    </row>
    <row r="21" spans="1:13" x14ac:dyDescent="0.2">
      <c r="A21" s="1">
        <v>43917</v>
      </c>
      <c r="B21">
        <v>150.63000500000001</v>
      </c>
      <c r="C21">
        <v>151.449997</v>
      </c>
      <c r="D21">
        <v>144.91000399999999</v>
      </c>
      <c r="E21">
        <v>146</v>
      </c>
      <c r="F21">
        <v>146</v>
      </c>
      <c r="G21">
        <v>8273500</v>
      </c>
      <c r="I21">
        <f t="shared" si="0"/>
        <v>-5.6420837754044793E-2</v>
      </c>
      <c r="J21">
        <v>6.0000000000000001E-3</v>
      </c>
      <c r="K21">
        <f t="shared" si="1"/>
        <v>-6.2420837754044792E-2</v>
      </c>
      <c r="L21">
        <f t="shared" si="2"/>
        <v>-6.2420837754044793</v>
      </c>
      <c r="M21">
        <v>-3.48</v>
      </c>
    </row>
    <row r="22" spans="1:13" x14ac:dyDescent="0.2">
      <c r="A22" s="1">
        <v>43920</v>
      </c>
      <c r="B22">
        <v>147.720001</v>
      </c>
      <c r="C22">
        <v>153</v>
      </c>
      <c r="D22">
        <v>146.55999800000001</v>
      </c>
      <c r="E22">
        <v>149.85000600000001</v>
      </c>
      <c r="F22">
        <v>149.85000600000001</v>
      </c>
      <c r="G22">
        <v>7650400</v>
      </c>
      <c r="I22">
        <f t="shared" si="0"/>
        <v>2.6369904109589094E-2</v>
      </c>
      <c r="J22">
        <v>6.0000000000000001E-3</v>
      </c>
      <c r="K22">
        <f t="shared" si="1"/>
        <v>2.0369904109589096E-2</v>
      </c>
      <c r="L22">
        <f t="shared" si="2"/>
        <v>2.0369904109589094</v>
      </c>
      <c r="M22">
        <v>3.16</v>
      </c>
    </row>
    <row r="23" spans="1:13" x14ac:dyDescent="0.2">
      <c r="A23" s="1">
        <v>43921</v>
      </c>
      <c r="B23">
        <v>149.029999</v>
      </c>
      <c r="C23">
        <v>151.949997</v>
      </c>
      <c r="D23">
        <v>142.779999</v>
      </c>
      <c r="E23">
        <v>143.979996</v>
      </c>
      <c r="F23">
        <v>143.979996</v>
      </c>
      <c r="G23">
        <v>10429700</v>
      </c>
      <c r="I23">
        <f t="shared" si="0"/>
        <v>-3.9172571004101313E-2</v>
      </c>
      <c r="J23">
        <v>6.0000000000000001E-3</v>
      </c>
      <c r="K23">
        <f t="shared" si="1"/>
        <v>-4.5172571004101311E-2</v>
      </c>
      <c r="L23">
        <f t="shared" si="2"/>
        <v>-4.5172571004101307</v>
      </c>
      <c r="M23">
        <v>-1.44</v>
      </c>
    </row>
    <row r="24" spans="1:13" x14ac:dyDescent="0.2">
      <c r="A24" s="1">
        <v>43922</v>
      </c>
      <c r="B24">
        <v>138.320007</v>
      </c>
      <c r="C24">
        <v>139.05999800000001</v>
      </c>
      <c r="D24">
        <v>133.10000600000001</v>
      </c>
      <c r="E24">
        <v>134.05999800000001</v>
      </c>
      <c r="F24">
        <v>134.05999800000001</v>
      </c>
      <c r="G24">
        <v>8737600</v>
      </c>
      <c r="I24">
        <f t="shared" si="0"/>
        <v>-6.8898446142476574E-2</v>
      </c>
      <c r="J24">
        <v>0</v>
      </c>
      <c r="K24">
        <f t="shared" si="1"/>
        <v>-6.8898446142476574E-2</v>
      </c>
      <c r="L24">
        <f t="shared" si="2"/>
        <v>-6.8898446142476573</v>
      </c>
      <c r="M24">
        <v>-4.51</v>
      </c>
    </row>
    <row r="25" spans="1:13" x14ac:dyDescent="0.2">
      <c r="A25" s="1">
        <v>43923</v>
      </c>
      <c r="B25">
        <v>134.009995</v>
      </c>
      <c r="C25">
        <v>135.38999899999999</v>
      </c>
      <c r="D25">
        <v>130.03999300000001</v>
      </c>
      <c r="E25">
        <v>134.320007</v>
      </c>
      <c r="F25">
        <v>134.320007</v>
      </c>
      <c r="G25">
        <v>8150500</v>
      </c>
      <c r="I25">
        <f t="shared" si="0"/>
        <v>1.9394972689765115E-3</v>
      </c>
      <c r="J25">
        <v>0</v>
      </c>
      <c r="K25">
        <f t="shared" si="1"/>
        <v>1.9394972689765115E-3</v>
      </c>
      <c r="L25">
        <f t="shared" si="2"/>
        <v>0.19394972689765116</v>
      </c>
      <c r="M25">
        <v>2.1</v>
      </c>
    </row>
    <row r="26" spans="1:13" x14ac:dyDescent="0.2">
      <c r="A26" s="1">
        <v>43924</v>
      </c>
      <c r="B26">
        <v>134.449997</v>
      </c>
      <c r="C26">
        <v>136.19000199999999</v>
      </c>
      <c r="D26">
        <v>131.66000399999999</v>
      </c>
      <c r="E26">
        <v>134.30999800000001</v>
      </c>
      <c r="F26">
        <v>134.30999800000001</v>
      </c>
      <c r="G26">
        <v>6004400</v>
      </c>
      <c r="I26">
        <f t="shared" si="0"/>
        <v>-7.4516077117213104E-5</v>
      </c>
      <c r="J26">
        <v>0</v>
      </c>
      <c r="K26">
        <f t="shared" si="1"/>
        <v>-7.4516077117213104E-5</v>
      </c>
      <c r="L26">
        <f t="shared" si="2"/>
        <v>-7.4516077117213102E-3</v>
      </c>
      <c r="M26">
        <v>-1.64</v>
      </c>
    </row>
    <row r="27" spans="1:13" x14ac:dyDescent="0.2">
      <c r="A27" s="1">
        <v>43927</v>
      </c>
      <c r="B27">
        <v>139</v>
      </c>
      <c r="C27">
        <v>149.85000600000001</v>
      </c>
      <c r="D27">
        <v>138.300003</v>
      </c>
      <c r="E27">
        <v>147.550003</v>
      </c>
      <c r="F27">
        <v>147.550003</v>
      </c>
      <c r="G27">
        <v>12296800</v>
      </c>
      <c r="I27">
        <f t="shared" si="0"/>
        <v>9.8577955454961702E-2</v>
      </c>
      <c r="J27">
        <v>0</v>
      </c>
      <c r="K27">
        <f t="shared" si="1"/>
        <v>9.8577955454961702E-2</v>
      </c>
      <c r="L27">
        <f t="shared" si="2"/>
        <v>9.8577955454961703</v>
      </c>
      <c r="M27">
        <v>7.06</v>
      </c>
    </row>
    <row r="28" spans="1:13" x14ac:dyDescent="0.2">
      <c r="A28" s="1">
        <v>43928</v>
      </c>
      <c r="B28">
        <v>150.33000200000001</v>
      </c>
      <c r="C28">
        <v>150.800003</v>
      </c>
      <c r="D28">
        <v>144.509995</v>
      </c>
      <c r="E28">
        <v>145.070007</v>
      </c>
      <c r="F28">
        <v>145.070007</v>
      </c>
      <c r="G28">
        <v>7859500</v>
      </c>
      <c r="I28">
        <f t="shared" si="0"/>
        <v>-1.6807834290589609E-2</v>
      </c>
      <c r="J28">
        <v>0</v>
      </c>
      <c r="K28">
        <f t="shared" si="1"/>
        <v>-1.6807834290589609E-2</v>
      </c>
      <c r="L28">
        <f t="shared" si="2"/>
        <v>-1.6807834290589609</v>
      </c>
      <c r="M28">
        <v>-0.11</v>
      </c>
    </row>
    <row r="29" spans="1:13" x14ac:dyDescent="0.2">
      <c r="A29" s="1">
        <v>43929</v>
      </c>
      <c r="B29">
        <v>146.300003</v>
      </c>
      <c r="C29">
        <v>152.16000399999999</v>
      </c>
      <c r="D29">
        <v>145</v>
      </c>
      <c r="E29">
        <v>151.11999499999999</v>
      </c>
      <c r="F29">
        <v>151.11999499999999</v>
      </c>
      <c r="G29">
        <v>7665500</v>
      </c>
      <c r="I29">
        <f t="shared" si="0"/>
        <v>4.1703920232112383E-2</v>
      </c>
      <c r="J29">
        <v>0</v>
      </c>
      <c r="K29">
        <f t="shared" si="1"/>
        <v>4.1703920232112383E-2</v>
      </c>
      <c r="L29">
        <f t="shared" si="2"/>
        <v>4.1703920232112379</v>
      </c>
      <c r="M29">
        <v>3.4</v>
      </c>
    </row>
    <row r="30" spans="1:13" x14ac:dyDescent="0.2">
      <c r="A30" s="1">
        <v>43930</v>
      </c>
      <c r="B30">
        <v>152.38999899999999</v>
      </c>
      <c r="C30">
        <v>156.10000600000001</v>
      </c>
      <c r="D30">
        <v>151.679993</v>
      </c>
      <c r="E30">
        <v>154.550003</v>
      </c>
      <c r="F30">
        <v>154.550003</v>
      </c>
      <c r="G30">
        <v>7094600</v>
      </c>
      <c r="I30">
        <f t="shared" si="0"/>
        <v>2.2697247971719528E-2</v>
      </c>
      <c r="J30">
        <v>0</v>
      </c>
      <c r="K30">
        <f t="shared" si="1"/>
        <v>2.2697247971719528E-2</v>
      </c>
      <c r="L30">
        <f t="shared" si="2"/>
        <v>2.269724797171953</v>
      </c>
      <c r="M30">
        <v>1.59</v>
      </c>
    </row>
    <row r="31" spans="1:13" x14ac:dyDescent="0.2">
      <c r="A31" s="1">
        <v>43934</v>
      </c>
      <c r="B31">
        <v>154.11999499999999</v>
      </c>
      <c r="C31">
        <v>155.30999800000001</v>
      </c>
      <c r="D31">
        <v>150</v>
      </c>
      <c r="E31">
        <v>152.5</v>
      </c>
      <c r="F31">
        <v>152.5</v>
      </c>
      <c r="G31">
        <v>5138600</v>
      </c>
      <c r="I31">
        <f t="shared" si="0"/>
        <v>-1.3264334909136196E-2</v>
      </c>
      <c r="J31">
        <v>0</v>
      </c>
      <c r="K31">
        <f t="shared" si="1"/>
        <v>-1.3264334909136196E-2</v>
      </c>
      <c r="L31">
        <f t="shared" si="2"/>
        <v>-1.3264334909136195</v>
      </c>
      <c r="M31">
        <v>-0.92</v>
      </c>
    </row>
    <row r="32" spans="1:13" x14ac:dyDescent="0.2">
      <c r="A32" s="1">
        <v>43935</v>
      </c>
      <c r="B32">
        <v>155.71000699999999</v>
      </c>
      <c r="C32">
        <v>158.78999300000001</v>
      </c>
      <c r="D32">
        <v>155.14999399999999</v>
      </c>
      <c r="E32">
        <v>157.71000699999999</v>
      </c>
      <c r="F32">
        <v>157.71000699999999</v>
      </c>
      <c r="G32">
        <v>7334300</v>
      </c>
      <c r="I32">
        <f t="shared" si="0"/>
        <v>3.4163980327868791E-2</v>
      </c>
      <c r="J32">
        <v>0</v>
      </c>
      <c r="K32">
        <f t="shared" si="1"/>
        <v>3.4163980327868791E-2</v>
      </c>
      <c r="L32">
        <f t="shared" si="2"/>
        <v>3.416398032786879</v>
      </c>
      <c r="M32">
        <v>3.02</v>
      </c>
    </row>
    <row r="33" spans="1:13" x14ac:dyDescent="0.2">
      <c r="A33" s="1">
        <v>43936</v>
      </c>
      <c r="B33">
        <v>155.08000200000001</v>
      </c>
      <c r="C33">
        <v>157.270004</v>
      </c>
      <c r="D33">
        <v>154</v>
      </c>
      <c r="E33">
        <v>155.63000500000001</v>
      </c>
      <c r="F33">
        <v>155.63000500000001</v>
      </c>
      <c r="G33">
        <v>4042600</v>
      </c>
      <c r="I33">
        <f t="shared" si="0"/>
        <v>-1.3188776283549206E-2</v>
      </c>
      <c r="J33">
        <v>0</v>
      </c>
      <c r="K33">
        <f t="shared" si="1"/>
        <v>-1.3188776283549206E-2</v>
      </c>
      <c r="L33">
        <f t="shared" si="2"/>
        <v>-1.3188776283549206</v>
      </c>
      <c r="M33">
        <v>-2.15</v>
      </c>
    </row>
    <row r="34" spans="1:13" x14ac:dyDescent="0.2">
      <c r="A34" s="1">
        <v>43937</v>
      </c>
      <c r="B34">
        <v>157</v>
      </c>
      <c r="C34">
        <v>158</v>
      </c>
      <c r="D34">
        <v>154.25</v>
      </c>
      <c r="E34">
        <v>157.05999800000001</v>
      </c>
      <c r="F34">
        <v>157.05999800000001</v>
      </c>
      <c r="G34">
        <v>4391500</v>
      </c>
      <c r="I34">
        <f t="shared" si="0"/>
        <v>9.1884145348449745E-3</v>
      </c>
      <c r="J34">
        <v>0</v>
      </c>
      <c r="K34">
        <f t="shared" si="1"/>
        <v>9.1884145348449745E-3</v>
      </c>
      <c r="L34">
        <f t="shared" si="2"/>
        <v>0.91884145348449742</v>
      </c>
      <c r="M34">
        <v>0.62</v>
      </c>
    </row>
    <row r="35" spans="1:13" x14ac:dyDescent="0.2">
      <c r="A35" s="1">
        <v>43938</v>
      </c>
      <c r="B35">
        <v>160</v>
      </c>
      <c r="C35">
        <v>163.259995</v>
      </c>
      <c r="D35">
        <v>157.63000500000001</v>
      </c>
      <c r="E35">
        <v>162.61999499999999</v>
      </c>
      <c r="F35">
        <v>162.61999499999999</v>
      </c>
      <c r="G35">
        <v>7312900</v>
      </c>
      <c r="I35">
        <f t="shared" si="0"/>
        <v>3.5400465241314856E-2</v>
      </c>
      <c r="J35">
        <v>0</v>
      </c>
      <c r="K35">
        <f t="shared" si="1"/>
        <v>3.5400465241314856E-2</v>
      </c>
      <c r="L35">
        <f t="shared" si="2"/>
        <v>3.5400465241314856</v>
      </c>
      <c r="M35">
        <v>2.72</v>
      </c>
    </row>
    <row r="36" spans="1:13" x14ac:dyDescent="0.2">
      <c r="A36" s="1">
        <v>43941</v>
      </c>
      <c r="B36">
        <v>160.75</v>
      </c>
      <c r="C36">
        <v>164.30999800000001</v>
      </c>
      <c r="D36">
        <v>160.520004</v>
      </c>
      <c r="E36">
        <v>162.759995</v>
      </c>
      <c r="F36">
        <v>162.759995</v>
      </c>
      <c r="G36">
        <v>4686000</v>
      </c>
      <c r="I36">
        <f t="shared" si="0"/>
        <v>8.6090274446272604E-4</v>
      </c>
      <c r="J36">
        <v>0</v>
      </c>
      <c r="K36">
        <f t="shared" si="1"/>
        <v>8.6090274446272604E-4</v>
      </c>
      <c r="L36">
        <f t="shared" si="2"/>
        <v>8.6090274446272597E-2</v>
      </c>
      <c r="M36">
        <v>-1.56</v>
      </c>
    </row>
    <row r="37" spans="1:13" x14ac:dyDescent="0.2">
      <c r="A37" s="1">
        <v>43942</v>
      </c>
      <c r="B37">
        <v>160</v>
      </c>
      <c r="C37">
        <v>160.08999600000001</v>
      </c>
      <c r="D37">
        <v>148</v>
      </c>
      <c r="E37">
        <v>150.55999800000001</v>
      </c>
      <c r="F37">
        <v>150.55999800000001</v>
      </c>
      <c r="G37">
        <v>13737900</v>
      </c>
      <c r="I37">
        <f t="shared" si="0"/>
        <v>-7.4956975760536212E-2</v>
      </c>
      <c r="J37">
        <v>0</v>
      </c>
      <c r="K37">
        <f t="shared" si="1"/>
        <v>-7.4956975760536212E-2</v>
      </c>
      <c r="L37">
        <f t="shared" si="2"/>
        <v>-7.4956975760536215</v>
      </c>
      <c r="M37">
        <v>-3.08</v>
      </c>
    </row>
    <row r="38" spans="1:13" x14ac:dyDescent="0.2">
      <c r="A38" s="1">
        <v>43943</v>
      </c>
      <c r="B38">
        <v>154</v>
      </c>
      <c r="C38">
        <v>155.699997</v>
      </c>
      <c r="D38">
        <v>150.66999799999999</v>
      </c>
      <c r="E38">
        <v>154.13999899999999</v>
      </c>
      <c r="F38">
        <v>154.13999899999999</v>
      </c>
      <c r="G38">
        <v>6665500</v>
      </c>
      <c r="I38">
        <f t="shared" si="0"/>
        <v>2.3777902813202623E-2</v>
      </c>
      <c r="J38">
        <v>0</v>
      </c>
      <c r="K38">
        <f t="shared" si="1"/>
        <v>2.3777902813202623E-2</v>
      </c>
      <c r="L38">
        <f t="shared" si="2"/>
        <v>2.3777902813202623</v>
      </c>
      <c r="M38">
        <v>2.31</v>
      </c>
    </row>
    <row r="39" spans="1:13" x14ac:dyDescent="0.2">
      <c r="A39" s="1">
        <v>43944</v>
      </c>
      <c r="B39">
        <v>153.5</v>
      </c>
      <c r="C39">
        <v>156.470001</v>
      </c>
      <c r="D39">
        <v>151.5</v>
      </c>
      <c r="E39">
        <v>151.720001</v>
      </c>
      <c r="F39">
        <v>151.720001</v>
      </c>
      <c r="G39">
        <v>6281400</v>
      </c>
      <c r="I39">
        <f t="shared" si="0"/>
        <v>-1.5700000101855408E-2</v>
      </c>
      <c r="J39">
        <v>0</v>
      </c>
      <c r="K39">
        <f t="shared" si="1"/>
        <v>-1.5700000101855408E-2</v>
      </c>
      <c r="L39">
        <f t="shared" si="2"/>
        <v>-1.5700000101855409</v>
      </c>
      <c r="M39">
        <v>0.13</v>
      </c>
    </row>
    <row r="40" spans="1:13" x14ac:dyDescent="0.2">
      <c r="A40" s="1">
        <v>43945</v>
      </c>
      <c r="B40">
        <v>153.58999600000001</v>
      </c>
      <c r="C40">
        <v>154.5</v>
      </c>
      <c r="D40">
        <v>151.300003</v>
      </c>
      <c r="E40">
        <v>153.979996</v>
      </c>
      <c r="F40">
        <v>153.979996</v>
      </c>
      <c r="G40">
        <v>6712000</v>
      </c>
      <c r="I40">
        <f t="shared" si="0"/>
        <v>1.4895827742579594E-2</v>
      </c>
      <c r="J40">
        <v>0</v>
      </c>
      <c r="K40">
        <f t="shared" si="1"/>
        <v>1.4895827742579594E-2</v>
      </c>
      <c r="L40">
        <f t="shared" si="2"/>
        <v>1.4895827742579593</v>
      </c>
      <c r="M40">
        <v>1.44</v>
      </c>
    </row>
    <row r="41" spans="1:13" x14ac:dyDescent="0.2">
      <c r="A41" s="1">
        <v>43948</v>
      </c>
      <c r="B41">
        <v>155.53999300000001</v>
      </c>
      <c r="C41">
        <v>158.44000199999999</v>
      </c>
      <c r="D41">
        <v>154.199997</v>
      </c>
      <c r="E41">
        <v>157.63000500000001</v>
      </c>
      <c r="F41">
        <v>157.63000500000001</v>
      </c>
      <c r="G41">
        <v>5036400</v>
      </c>
      <c r="I41">
        <f t="shared" si="0"/>
        <v>2.3704436256772026E-2</v>
      </c>
      <c r="J41">
        <v>0</v>
      </c>
      <c r="K41">
        <f t="shared" si="1"/>
        <v>2.3704436256772026E-2</v>
      </c>
      <c r="L41">
        <f t="shared" si="2"/>
        <v>2.3704436256772028</v>
      </c>
      <c r="M41">
        <v>1.73</v>
      </c>
    </row>
    <row r="42" spans="1:13" x14ac:dyDescent="0.2">
      <c r="A42" s="1">
        <v>43949</v>
      </c>
      <c r="B42">
        <v>159.5</v>
      </c>
      <c r="C42">
        <v>160.80999800000001</v>
      </c>
      <c r="D42">
        <v>154.179993</v>
      </c>
      <c r="E42">
        <v>154.46000699999999</v>
      </c>
      <c r="F42">
        <v>154.46000699999999</v>
      </c>
      <c r="G42">
        <v>4731800</v>
      </c>
      <c r="I42">
        <f t="shared" si="0"/>
        <v>-2.0110371753144465E-2</v>
      </c>
      <c r="J42">
        <v>0</v>
      </c>
      <c r="K42">
        <f t="shared" si="1"/>
        <v>-2.0110371753144465E-2</v>
      </c>
      <c r="L42">
        <f t="shared" si="2"/>
        <v>-2.0110371753144465</v>
      </c>
      <c r="M42">
        <v>-0.45</v>
      </c>
    </row>
    <row r="43" spans="1:13" x14ac:dyDescent="0.2">
      <c r="A43" s="1">
        <v>43950</v>
      </c>
      <c r="B43">
        <v>157.88000500000001</v>
      </c>
      <c r="C43">
        <v>161.88999899999999</v>
      </c>
      <c r="D43">
        <v>156.520004</v>
      </c>
      <c r="E43">
        <v>160.429993</v>
      </c>
      <c r="F43">
        <v>160.429993</v>
      </c>
      <c r="G43">
        <v>5256700</v>
      </c>
      <c r="I43">
        <f t="shared" si="0"/>
        <v>3.8650690984365979E-2</v>
      </c>
      <c r="J43">
        <v>0</v>
      </c>
      <c r="K43">
        <f t="shared" si="1"/>
        <v>3.8650690984365979E-2</v>
      </c>
      <c r="L43">
        <f t="shared" si="2"/>
        <v>3.8650690984365981</v>
      </c>
      <c r="M43">
        <v>2.92</v>
      </c>
    </row>
    <row r="44" spans="1:13" x14ac:dyDescent="0.2">
      <c r="A44" s="1">
        <v>43951</v>
      </c>
      <c r="B44">
        <v>161.63000500000001</v>
      </c>
      <c r="C44">
        <v>165.300003</v>
      </c>
      <c r="D44">
        <v>160.009995</v>
      </c>
      <c r="E44">
        <v>161.949997</v>
      </c>
      <c r="F44">
        <v>161.949997</v>
      </c>
      <c r="G44">
        <v>6830700</v>
      </c>
      <c r="I44">
        <f t="shared" si="0"/>
        <v>9.4745625277188675E-3</v>
      </c>
      <c r="J44">
        <v>0</v>
      </c>
      <c r="K44">
        <f t="shared" si="1"/>
        <v>9.4745625277188675E-3</v>
      </c>
      <c r="L44">
        <f t="shared" si="2"/>
        <v>0.94745625277188672</v>
      </c>
      <c r="M44">
        <v>-1.18</v>
      </c>
    </row>
    <row r="45" spans="1:13" x14ac:dyDescent="0.2">
      <c r="A45" s="1">
        <v>43952</v>
      </c>
      <c r="B45">
        <v>158.490005</v>
      </c>
      <c r="C45">
        <v>160.16999799999999</v>
      </c>
      <c r="D45">
        <v>155.259995</v>
      </c>
      <c r="E45">
        <v>156.36999499999999</v>
      </c>
      <c r="F45">
        <v>156.36999499999999</v>
      </c>
      <c r="G45">
        <v>4276900</v>
      </c>
      <c r="I45">
        <f t="shared" si="0"/>
        <v>-3.4455091715747344E-2</v>
      </c>
      <c r="J45">
        <v>0</v>
      </c>
      <c r="K45">
        <f t="shared" si="1"/>
        <v>-3.4455091715747344E-2</v>
      </c>
      <c r="L45">
        <f t="shared" si="2"/>
        <v>-3.4455091715747344</v>
      </c>
      <c r="M45">
        <v>-2.91</v>
      </c>
    </row>
    <row r="46" spans="1:13" x14ac:dyDescent="0.2">
      <c r="A46" s="1">
        <v>43955</v>
      </c>
      <c r="B46">
        <v>155.58000200000001</v>
      </c>
      <c r="C46">
        <v>162.020004</v>
      </c>
      <c r="D46">
        <v>155.08000200000001</v>
      </c>
      <c r="E46">
        <v>161.470001</v>
      </c>
      <c r="F46">
        <v>161.470001</v>
      </c>
      <c r="G46">
        <v>5974200</v>
      </c>
      <c r="I46">
        <f t="shared" si="0"/>
        <v>3.2614991130491551E-2</v>
      </c>
      <c r="J46">
        <v>0</v>
      </c>
      <c r="K46">
        <f t="shared" si="1"/>
        <v>3.2614991130491551E-2</v>
      </c>
      <c r="L46">
        <f t="shared" si="2"/>
        <v>3.2614991130491551</v>
      </c>
      <c r="M46">
        <v>0.53</v>
      </c>
    </row>
    <row r="47" spans="1:13" x14ac:dyDescent="0.2">
      <c r="A47" s="1">
        <v>43956</v>
      </c>
      <c r="B47">
        <v>162.529999</v>
      </c>
      <c r="C47">
        <v>164.13999899999999</v>
      </c>
      <c r="D47">
        <v>160.25</v>
      </c>
      <c r="E47">
        <v>163.25</v>
      </c>
      <c r="F47">
        <v>163.25</v>
      </c>
      <c r="G47">
        <v>5264800</v>
      </c>
      <c r="I47">
        <f t="shared" si="0"/>
        <v>1.1023713315020068E-2</v>
      </c>
      <c r="J47">
        <v>0</v>
      </c>
      <c r="K47">
        <f t="shared" si="1"/>
        <v>1.1023713315020068E-2</v>
      </c>
      <c r="L47">
        <f t="shared" si="2"/>
        <v>1.1023713315020067</v>
      </c>
      <c r="M47">
        <v>0.95</v>
      </c>
    </row>
    <row r="48" spans="1:13" x14ac:dyDescent="0.2">
      <c r="A48" s="1">
        <v>43957</v>
      </c>
      <c r="B48">
        <v>164.44000199999999</v>
      </c>
      <c r="C48">
        <v>165.71000699999999</v>
      </c>
      <c r="D48">
        <v>162.91999799999999</v>
      </c>
      <c r="E48">
        <v>163.66999799999999</v>
      </c>
      <c r="F48">
        <v>163.66999799999999</v>
      </c>
      <c r="G48">
        <v>4112600</v>
      </c>
      <c r="I48">
        <f t="shared" si="0"/>
        <v>2.5727289433383925E-3</v>
      </c>
      <c r="J48">
        <v>0</v>
      </c>
      <c r="K48">
        <f t="shared" si="1"/>
        <v>2.5727289433383925E-3</v>
      </c>
      <c r="L48">
        <f t="shared" si="2"/>
        <v>0.25727289433383926</v>
      </c>
      <c r="M48">
        <v>-0.52</v>
      </c>
    </row>
    <row r="49" spans="1:13" x14ac:dyDescent="0.2">
      <c r="A49" s="1">
        <v>43958</v>
      </c>
      <c r="B49">
        <v>166.5</v>
      </c>
      <c r="C49">
        <v>171.270004</v>
      </c>
      <c r="D49">
        <v>166.020004</v>
      </c>
      <c r="E49">
        <v>169.89999399999999</v>
      </c>
      <c r="F49">
        <v>169.89999399999999</v>
      </c>
      <c r="G49">
        <v>6460900</v>
      </c>
      <c r="I49">
        <f t="shared" si="0"/>
        <v>3.8064373899485235E-2</v>
      </c>
      <c r="J49">
        <v>0</v>
      </c>
      <c r="K49">
        <f t="shared" si="1"/>
        <v>3.8064373899485235E-2</v>
      </c>
      <c r="L49">
        <f t="shared" si="2"/>
        <v>3.8064373899485235</v>
      </c>
      <c r="M49">
        <v>1.33</v>
      </c>
    </row>
    <row r="50" spans="1:13" x14ac:dyDescent="0.2">
      <c r="A50" s="1">
        <v>43959</v>
      </c>
      <c r="B50">
        <v>172.949997</v>
      </c>
      <c r="C50">
        <v>176.08000200000001</v>
      </c>
      <c r="D50">
        <v>171.14999399999999</v>
      </c>
      <c r="E50">
        <v>175.89999399999999</v>
      </c>
      <c r="F50">
        <v>175.89999399999999</v>
      </c>
      <c r="G50">
        <v>5405900</v>
      </c>
      <c r="I50">
        <f t="shared" si="0"/>
        <v>3.5314892359560653E-2</v>
      </c>
      <c r="J50">
        <v>0</v>
      </c>
      <c r="K50">
        <f t="shared" si="1"/>
        <v>3.5314892359560653E-2</v>
      </c>
      <c r="L50">
        <f t="shared" si="2"/>
        <v>3.5314892359560655</v>
      </c>
      <c r="M50">
        <v>1.9</v>
      </c>
    </row>
    <row r="51" spans="1:13" x14ac:dyDescent="0.2">
      <c r="A51" s="1">
        <v>43962</v>
      </c>
      <c r="B51">
        <v>175.55999800000001</v>
      </c>
      <c r="C51">
        <v>183.300003</v>
      </c>
      <c r="D51">
        <v>174.16000399999999</v>
      </c>
      <c r="E51">
        <v>182.66999799999999</v>
      </c>
      <c r="F51">
        <v>182.66999799999999</v>
      </c>
      <c r="G51">
        <v>8696000</v>
      </c>
      <c r="I51">
        <f t="shared" si="0"/>
        <v>3.8487801199129097E-2</v>
      </c>
      <c r="J51">
        <v>0</v>
      </c>
      <c r="K51">
        <f t="shared" si="1"/>
        <v>3.8487801199129097E-2</v>
      </c>
      <c r="L51">
        <f t="shared" si="2"/>
        <v>3.8487801199129099</v>
      </c>
      <c r="M51">
        <v>7.0000000000000007E-2</v>
      </c>
    </row>
    <row r="52" spans="1:13" x14ac:dyDescent="0.2">
      <c r="A52" s="1">
        <v>43963</v>
      </c>
      <c r="B52">
        <v>183</v>
      </c>
      <c r="C52">
        <v>183.020004</v>
      </c>
      <c r="D52">
        <v>177.009995</v>
      </c>
      <c r="E52">
        <v>177.53999300000001</v>
      </c>
      <c r="F52">
        <v>177.53999300000001</v>
      </c>
      <c r="G52">
        <v>5904600</v>
      </c>
      <c r="I52">
        <f t="shared" si="0"/>
        <v>-2.8083456813745532E-2</v>
      </c>
      <c r="J52">
        <v>0</v>
      </c>
      <c r="K52">
        <f t="shared" si="1"/>
        <v>-2.8083456813745532E-2</v>
      </c>
      <c r="L52">
        <f t="shared" si="2"/>
        <v>-2.8083456813745533</v>
      </c>
      <c r="M52">
        <v>-2.06</v>
      </c>
    </row>
    <row r="53" spans="1:13" x14ac:dyDescent="0.2">
      <c r="A53" s="1">
        <v>43964</v>
      </c>
      <c r="B53">
        <v>175.16999799999999</v>
      </c>
      <c r="C53">
        <v>175.21000699999999</v>
      </c>
      <c r="D53">
        <v>166.270004</v>
      </c>
      <c r="E53">
        <v>169.63999899999999</v>
      </c>
      <c r="F53">
        <v>169.63999899999999</v>
      </c>
      <c r="G53">
        <v>12534900</v>
      </c>
      <c r="I53">
        <f t="shared" si="0"/>
        <v>-4.4496982716452062E-2</v>
      </c>
      <c r="J53">
        <v>0</v>
      </c>
      <c r="K53">
        <f t="shared" si="1"/>
        <v>-4.4496982716452062E-2</v>
      </c>
      <c r="L53">
        <f t="shared" si="2"/>
        <v>-4.4496982716452065</v>
      </c>
      <c r="M53">
        <v>-1.89</v>
      </c>
    </row>
    <row r="54" spans="1:13" x14ac:dyDescent="0.2">
      <c r="A54" s="1">
        <v>43965</v>
      </c>
      <c r="B54">
        <v>168.44000199999999</v>
      </c>
      <c r="C54">
        <v>168.570007</v>
      </c>
      <c r="D54">
        <v>164.570007</v>
      </c>
      <c r="E54">
        <v>167</v>
      </c>
      <c r="F54">
        <v>167</v>
      </c>
      <c r="G54">
        <v>7442300</v>
      </c>
      <c r="I54">
        <f t="shared" si="0"/>
        <v>-1.5562361563088604E-2</v>
      </c>
      <c r="J54">
        <v>0</v>
      </c>
      <c r="K54">
        <f t="shared" si="1"/>
        <v>-1.5562361563088604E-2</v>
      </c>
      <c r="L54">
        <f t="shared" si="2"/>
        <v>-1.5562361563088605</v>
      </c>
      <c r="M54">
        <v>1.1399999999999999</v>
      </c>
    </row>
    <row r="55" spans="1:13" x14ac:dyDescent="0.2">
      <c r="A55" s="1">
        <v>43966</v>
      </c>
      <c r="B55">
        <v>167.270004</v>
      </c>
      <c r="C55">
        <v>171.720001</v>
      </c>
      <c r="D55">
        <v>166.179993</v>
      </c>
      <c r="E55">
        <v>171.33000200000001</v>
      </c>
      <c r="F55">
        <v>171.33000200000001</v>
      </c>
      <c r="G55">
        <v>5673800</v>
      </c>
      <c r="I55">
        <f t="shared" si="0"/>
        <v>2.5928155688622799E-2</v>
      </c>
      <c r="J55">
        <v>0</v>
      </c>
      <c r="K55">
        <f t="shared" si="1"/>
        <v>2.5928155688622799E-2</v>
      </c>
      <c r="L55">
        <f t="shared" si="2"/>
        <v>2.5928155688622798</v>
      </c>
      <c r="M55">
        <v>0.56999999999999995</v>
      </c>
    </row>
    <row r="56" spans="1:13" x14ac:dyDescent="0.2">
      <c r="A56" s="1">
        <v>43969</v>
      </c>
      <c r="B56">
        <v>174</v>
      </c>
      <c r="C56">
        <v>177</v>
      </c>
      <c r="D56">
        <v>172.13000500000001</v>
      </c>
      <c r="E56">
        <v>172.5</v>
      </c>
      <c r="F56">
        <v>172.5</v>
      </c>
      <c r="G56">
        <v>6399500</v>
      </c>
      <c r="I56">
        <f t="shared" si="0"/>
        <v>6.8289148797184536E-3</v>
      </c>
      <c r="J56">
        <v>0</v>
      </c>
      <c r="K56">
        <f t="shared" si="1"/>
        <v>6.8289148797184536E-3</v>
      </c>
      <c r="L56">
        <f t="shared" si="2"/>
        <v>0.6828914879718454</v>
      </c>
      <c r="M56">
        <v>3.24</v>
      </c>
    </row>
    <row r="57" spans="1:13" x14ac:dyDescent="0.2">
      <c r="A57" s="1">
        <v>43970</v>
      </c>
      <c r="B57">
        <v>172.75</v>
      </c>
      <c r="C57">
        <v>178.199997</v>
      </c>
      <c r="D57">
        <v>172.75</v>
      </c>
      <c r="E57">
        <v>176.03999300000001</v>
      </c>
      <c r="F57">
        <v>176.03999300000001</v>
      </c>
      <c r="G57">
        <v>5264000</v>
      </c>
      <c r="I57">
        <f t="shared" si="0"/>
        <v>2.0521698550724693E-2</v>
      </c>
      <c r="J57">
        <v>0</v>
      </c>
      <c r="K57">
        <f t="shared" si="1"/>
        <v>2.0521698550724693E-2</v>
      </c>
      <c r="L57">
        <f t="shared" si="2"/>
        <v>2.0521698550724694</v>
      </c>
      <c r="M57">
        <v>-1.01</v>
      </c>
    </row>
    <row r="58" spans="1:13" x14ac:dyDescent="0.2">
      <c r="A58" s="1">
        <v>43971</v>
      </c>
      <c r="B58">
        <v>178.570007</v>
      </c>
      <c r="C58">
        <v>179.13999899999999</v>
      </c>
      <c r="D58">
        <v>174.89999399999999</v>
      </c>
      <c r="E58">
        <v>176.929993</v>
      </c>
      <c r="F58">
        <v>176.929993</v>
      </c>
      <c r="G58">
        <v>4951200</v>
      </c>
      <c r="I58">
        <f t="shared" si="0"/>
        <v>5.0556693671306059E-3</v>
      </c>
      <c r="J58">
        <v>0</v>
      </c>
      <c r="K58">
        <f t="shared" si="1"/>
        <v>5.0556693671306059E-3</v>
      </c>
      <c r="L58">
        <f t="shared" si="2"/>
        <v>0.50556693671306063</v>
      </c>
      <c r="M58">
        <v>1.8</v>
      </c>
    </row>
    <row r="59" spans="1:13" x14ac:dyDescent="0.2">
      <c r="A59" s="1">
        <v>43972</v>
      </c>
      <c r="B59">
        <v>176.929993</v>
      </c>
      <c r="C59">
        <v>178.28999300000001</v>
      </c>
      <c r="D59">
        <v>174.929993</v>
      </c>
      <c r="E59">
        <v>175.259995</v>
      </c>
      <c r="F59">
        <v>175.259995</v>
      </c>
      <c r="G59">
        <v>4429700</v>
      </c>
      <c r="I59">
        <f t="shared" si="0"/>
        <v>-9.438750161483319E-3</v>
      </c>
      <c r="J59">
        <v>0</v>
      </c>
      <c r="K59">
        <f t="shared" si="1"/>
        <v>-9.438750161483319E-3</v>
      </c>
      <c r="L59">
        <f t="shared" si="2"/>
        <v>-0.94387501614833191</v>
      </c>
      <c r="M59">
        <v>-0.7</v>
      </c>
    </row>
    <row r="60" spans="1:13" x14ac:dyDescent="0.2">
      <c r="A60" s="1">
        <v>43973</v>
      </c>
      <c r="B60">
        <v>176.60000600000001</v>
      </c>
      <c r="C60">
        <v>178.63999899999999</v>
      </c>
      <c r="D60">
        <v>175.449997</v>
      </c>
      <c r="E60">
        <v>177.85000600000001</v>
      </c>
      <c r="F60">
        <v>177.85000600000001</v>
      </c>
      <c r="G60">
        <v>4965100</v>
      </c>
      <c r="I60">
        <f t="shared" si="0"/>
        <v>1.4778107234340638E-2</v>
      </c>
      <c r="J60">
        <v>0</v>
      </c>
      <c r="K60">
        <f t="shared" si="1"/>
        <v>1.4778107234340638E-2</v>
      </c>
      <c r="L60">
        <f t="shared" si="2"/>
        <v>1.4778107234340638</v>
      </c>
      <c r="M60">
        <v>0.27</v>
      </c>
    </row>
    <row r="61" spans="1:13" x14ac:dyDescent="0.2">
      <c r="A61" s="1">
        <v>43977</v>
      </c>
      <c r="B61">
        <v>182</v>
      </c>
      <c r="C61">
        <v>182</v>
      </c>
      <c r="D61">
        <v>176.220001</v>
      </c>
      <c r="E61">
        <v>176.520004</v>
      </c>
      <c r="F61">
        <v>176.520004</v>
      </c>
      <c r="G61">
        <v>8353600</v>
      </c>
      <c r="I61">
        <f t="shared" si="0"/>
        <v>-7.4782229695286454E-3</v>
      </c>
      <c r="J61">
        <v>0</v>
      </c>
      <c r="K61">
        <f t="shared" si="1"/>
        <v>-7.4782229695286454E-3</v>
      </c>
      <c r="L61">
        <f t="shared" si="2"/>
        <v>-0.74782229695286451</v>
      </c>
      <c r="M61">
        <v>1.23</v>
      </c>
    </row>
    <row r="62" spans="1:13" x14ac:dyDescent="0.2">
      <c r="A62" s="1">
        <v>43978</v>
      </c>
      <c r="B62">
        <v>176.28999300000001</v>
      </c>
      <c r="C62">
        <v>176.61000100000001</v>
      </c>
      <c r="D62">
        <v>171.36999499999999</v>
      </c>
      <c r="E62">
        <v>176.60000600000001</v>
      </c>
      <c r="F62">
        <v>176.60000600000001</v>
      </c>
      <c r="G62">
        <v>6340200</v>
      </c>
      <c r="I62">
        <f t="shared" si="0"/>
        <v>4.5321775542225492E-4</v>
      </c>
      <c r="J62">
        <v>0</v>
      </c>
      <c r="K62">
        <f t="shared" si="1"/>
        <v>4.5321775542225492E-4</v>
      </c>
      <c r="L62">
        <f t="shared" si="2"/>
        <v>4.5321775542225495E-2</v>
      </c>
      <c r="M62">
        <v>1.54</v>
      </c>
    </row>
    <row r="63" spans="1:13" x14ac:dyDescent="0.2">
      <c r="A63" s="1">
        <v>43979</v>
      </c>
      <c r="B63">
        <v>180</v>
      </c>
      <c r="C63">
        <v>184.800003</v>
      </c>
      <c r="D63">
        <v>177.10000600000001</v>
      </c>
      <c r="E63">
        <v>181.10000600000001</v>
      </c>
      <c r="F63">
        <v>181.10000600000001</v>
      </c>
      <c r="G63">
        <v>10275200</v>
      </c>
      <c r="I63">
        <f t="shared" si="0"/>
        <v>2.548131283755449E-2</v>
      </c>
      <c r="J63">
        <v>0</v>
      </c>
      <c r="K63">
        <f t="shared" si="1"/>
        <v>2.548131283755449E-2</v>
      </c>
      <c r="L63">
        <f t="shared" si="2"/>
        <v>2.5481312837554491</v>
      </c>
      <c r="M63">
        <v>-0.41</v>
      </c>
    </row>
    <row r="64" spans="1:13" x14ac:dyDescent="0.2">
      <c r="A64" s="1">
        <v>43980</v>
      </c>
      <c r="B64">
        <v>174.300003</v>
      </c>
      <c r="C64">
        <v>175</v>
      </c>
      <c r="D64">
        <v>170.69000199999999</v>
      </c>
      <c r="E64">
        <v>174.78999300000001</v>
      </c>
      <c r="F64">
        <v>174.78999300000001</v>
      </c>
      <c r="G64">
        <v>19645400</v>
      </c>
      <c r="I64">
        <f t="shared" si="0"/>
        <v>-3.4842699011285498E-2</v>
      </c>
      <c r="J64">
        <v>0</v>
      </c>
      <c r="K64">
        <f t="shared" si="1"/>
        <v>-3.4842699011285498E-2</v>
      </c>
      <c r="L64">
        <f t="shared" si="2"/>
        <v>-3.4842699011285498</v>
      </c>
      <c r="M64">
        <v>0.6</v>
      </c>
    </row>
    <row r="65" spans="1:13" x14ac:dyDescent="0.2">
      <c r="A65" s="1">
        <v>43983</v>
      </c>
      <c r="B65">
        <v>173.10000600000001</v>
      </c>
      <c r="C65">
        <v>177.520004</v>
      </c>
      <c r="D65">
        <v>172.679993</v>
      </c>
      <c r="E65">
        <v>176.36000100000001</v>
      </c>
      <c r="F65">
        <v>176.36000100000001</v>
      </c>
      <c r="G65">
        <v>5711600</v>
      </c>
      <c r="I65">
        <f t="shared" si="0"/>
        <v>8.9822533490232555E-3</v>
      </c>
      <c r="J65">
        <v>0</v>
      </c>
      <c r="K65">
        <f t="shared" si="1"/>
        <v>8.9822533490232555E-3</v>
      </c>
      <c r="L65">
        <f t="shared" si="2"/>
        <v>0.89822533490232559</v>
      </c>
      <c r="M65">
        <v>0.52</v>
      </c>
    </row>
    <row r="66" spans="1:13" x14ac:dyDescent="0.2">
      <c r="A66" s="1">
        <v>43984</v>
      </c>
      <c r="B66">
        <v>174.85000600000001</v>
      </c>
      <c r="C66">
        <v>174.89999399999999</v>
      </c>
      <c r="D66">
        <v>171.220001</v>
      </c>
      <c r="E66">
        <v>174.229996</v>
      </c>
      <c r="F66">
        <v>174.229996</v>
      </c>
      <c r="G66">
        <v>8571800</v>
      </c>
      <c r="I66">
        <f t="shared" si="0"/>
        <v>-1.2077596892279508E-2</v>
      </c>
      <c r="J66">
        <v>0</v>
      </c>
      <c r="K66">
        <f t="shared" si="1"/>
        <v>-1.2077596892279508E-2</v>
      </c>
      <c r="L66">
        <f t="shared" si="2"/>
        <v>-1.2077596892279507</v>
      </c>
      <c r="M66">
        <v>0.81</v>
      </c>
    </row>
    <row r="67" spans="1:13" x14ac:dyDescent="0.2">
      <c r="A67" s="1">
        <v>43985</v>
      </c>
      <c r="B67">
        <v>174.83000200000001</v>
      </c>
      <c r="C67">
        <v>175.929993</v>
      </c>
      <c r="D67">
        <v>172.83999600000001</v>
      </c>
      <c r="E67">
        <v>174.990005</v>
      </c>
      <c r="F67">
        <v>174.990005</v>
      </c>
      <c r="G67">
        <v>6004000</v>
      </c>
      <c r="I67">
        <f t="shared" si="0"/>
        <v>4.3621019195798907E-3</v>
      </c>
      <c r="J67">
        <v>0</v>
      </c>
      <c r="K67">
        <f t="shared" si="1"/>
        <v>4.3621019195798907E-3</v>
      </c>
      <c r="L67">
        <f t="shared" si="2"/>
        <v>0.43621019195798905</v>
      </c>
      <c r="M67">
        <v>1.42</v>
      </c>
    </row>
    <row r="68" spans="1:13" x14ac:dyDescent="0.2">
      <c r="A68" s="1">
        <v>43986</v>
      </c>
      <c r="B68">
        <v>175</v>
      </c>
      <c r="C68">
        <v>175.429993</v>
      </c>
      <c r="D68">
        <v>170</v>
      </c>
      <c r="E68">
        <v>171.44000199999999</v>
      </c>
      <c r="F68">
        <v>171.44000199999999</v>
      </c>
      <c r="G68">
        <v>7301600</v>
      </c>
      <c r="I68">
        <f t="shared" ref="I68:I131" si="3">(F68-F67)/F67</f>
        <v>-2.0286890099808864E-2</v>
      </c>
      <c r="J68">
        <v>0</v>
      </c>
      <c r="K68">
        <f t="shared" ref="K68:K131" si="4">I68-J68</f>
        <v>-2.0286890099808864E-2</v>
      </c>
      <c r="L68">
        <f t="shared" ref="L68:L131" si="5">100*K68</f>
        <v>-2.0286890099808863</v>
      </c>
      <c r="M68">
        <v>-0.34</v>
      </c>
    </row>
    <row r="69" spans="1:13" x14ac:dyDescent="0.2">
      <c r="A69" s="1">
        <v>43987</v>
      </c>
      <c r="B69">
        <v>170.11000100000001</v>
      </c>
      <c r="C69">
        <v>174.19000199999999</v>
      </c>
      <c r="D69">
        <v>167</v>
      </c>
      <c r="E69">
        <v>173.88000500000001</v>
      </c>
      <c r="F69">
        <v>173.88000500000001</v>
      </c>
      <c r="G69">
        <v>8232200</v>
      </c>
      <c r="I69">
        <f t="shared" si="3"/>
        <v>1.4232401840499388E-2</v>
      </c>
      <c r="J69">
        <v>0</v>
      </c>
      <c r="K69">
        <f t="shared" si="4"/>
        <v>1.4232401840499388E-2</v>
      </c>
      <c r="L69">
        <f t="shared" si="5"/>
        <v>1.4232401840499387</v>
      </c>
      <c r="M69">
        <v>2.5</v>
      </c>
    </row>
    <row r="70" spans="1:13" x14ac:dyDescent="0.2">
      <c r="A70" s="1">
        <v>43990</v>
      </c>
      <c r="B70">
        <v>173.63000500000001</v>
      </c>
      <c r="C70">
        <v>176.570007</v>
      </c>
      <c r="D70">
        <v>172.66000399999999</v>
      </c>
      <c r="E70">
        <v>176.550003</v>
      </c>
      <c r="F70">
        <v>176.550003</v>
      </c>
      <c r="G70">
        <v>4592600</v>
      </c>
      <c r="I70">
        <f t="shared" si="3"/>
        <v>1.5355405585593309E-2</v>
      </c>
      <c r="J70">
        <v>0</v>
      </c>
      <c r="K70">
        <f t="shared" si="4"/>
        <v>1.5355405585593309E-2</v>
      </c>
      <c r="L70">
        <f t="shared" si="5"/>
        <v>1.5355405585593309</v>
      </c>
      <c r="M70">
        <v>1.39</v>
      </c>
    </row>
    <row r="71" spans="1:13" x14ac:dyDescent="0.2">
      <c r="A71" s="1">
        <v>43991</v>
      </c>
      <c r="B71">
        <v>176</v>
      </c>
      <c r="C71">
        <v>176</v>
      </c>
      <c r="D71">
        <v>173.529999</v>
      </c>
      <c r="E71">
        <v>174.55999800000001</v>
      </c>
      <c r="F71">
        <v>174.55999800000001</v>
      </c>
      <c r="G71">
        <v>4025600</v>
      </c>
      <c r="I71">
        <f t="shared" si="3"/>
        <v>-1.1271622578222196E-2</v>
      </c>
      <c r="J71">
        <v>0</v>
      </c>
      <c r="K71">
        <f t="shared" si="4"/>
        <v>-1.1271622578222196E-2</v>
      </c>
      <c r="L71">
        <f t="shared" si="5"/>
        <v>-1.1271622578222196</v>
      </c>
      <c r="M71">
        <v>-0.85</v>
      </c>
    </row>
    <row r="72" spans="1:13" x14ac:dyDescent="0.2">
      <c r="A72" s="1">
        <v>43992</v>
      </c>
      <c r="B72">
        <v>176.25</v>
      </c>
      <c r="C72">
        <v>182.5</v>
      </c>
      <c r="D72">
        <v>176.050003</v>
      </c>
      <c r="E72">
        <v>182.10000600000001</v>
      </c>
      <c r="F72">
        <v>182.10000600000001</v>
      </c>
      <c r="G72">
        <v>8127200</v>
      </c>
      <c r="I72">
        <f t="shared" si="3"/>
        <v>4.3194363464646696E-2</v>
      </c>
      <c r="J72">
        <v>0</v>
      </c>
      <c r="K72">
        <f t="shared" si="4"/>
        <v>4.3194363464646696E-2</v>
      </c>
      <c r="L72">
        <f t="shared" si="5"/>
        <v>4.3194363464646699</v>
      </c>
      <c r="M72">
        <v>-0.56000000000000005</v>
      </c>
    </row>
    <row r="73" spans="1:13" x14ac:dyDescent="0.2">
      <c r="A73" s="1">
        <v>43993</v>
      </c>
      <c r="B73">
        <v>176.63999899999999</v>
      </c>
      <c r="C73">
        <v>178.429993</v>
      </c>
      <c r="D73">
        <v>172</v>
      </c>
      <c r="E73">
        <v>172.050003</v>
      </c>
      <c r="F73">
        <v>172.050003</v>
      </c>
      <c r="G73">
        <v>6521200</v>
      </c>
      <c r="I73">
        <f t="shared" si="3"/>
        <v>-5.5189470998699489E-2</v>
      </c>
      <c r="J73">
        <v>0</v>
      </c>
      <c r="K73">
        <f t="shared" si="4"/>
        <v>-5.5189470998699489E-2</v>
      </c>
      <c r="L73">
        <f t="shared" si="5"/>
        <v>-5.5189470998699486</v>
      </c>
      <c r="M73">
        <v>-5.91</v>
      </c>
    </row>
    <row r="74" spans="1:13" x14ac:dyDescent="0.2">
      <c r="A74" s="1">
        <v>43994</v>
      </c>
      <c r="B74">
        <v>175.89999399999999</v>
      </c>
      <c r="C74">
        <v>177.69000199999999</v>
      </c>
      <c r="D74">
        <v>171.86000100000001</v>
      </c>
      <c r="E74">
        <v>175.11000100000001</v>
      </c>
      <c r="F74">
        <v>175.11000100000001</v>
      </c>
      <c r="G74">
        <v>5443800</v>
      </c>
      <c r="I74">
        <f t="shared" si="3"/>
        <v>1.778551552829678E-2</v>
      </c>
      <c r="J74">
        <v>0</v>
      </c>
      <c r="K74">
        <f t="shared" si="4"/>
        <v>1.778551552829678E-2</v>
      </c>
      <c r="L74">
        <f t="shared" si="5"/>
        <v>1.778551552829678</v>
      </c>
      <c r="M74">
        <v>1.29</v>
      </c>
    </row>
    <row r="75" spans="1:13" x14ac:dyDescent="0.2">
      <c r="A75" s="1">
        <v>43997</v>
      </c>
      <c r="B75">
        <v>172</v>
      </c>
      <c r="C75">
        <v>178.89999399999999</v>
      </c>
      <c r="D75">
        <v>171.270004</v>
      </c>
      <c r="E75">
        <v>178.61000100000001</v>
      </c>
      <c r="F75">
        <v>178.61000100000001</v>
      </c>
      <c r="G75">
        <v>6000000</v>
      </c>
      <c r="I75">
        <f t="shared" si="3"/>
        <v>1.9987436354363335E-2</v>
      </c>
      <c r="J75">
        <v>0</v>
      </c>
      <c r="K75">
        <f t="shared" si="4"/>
        <v>1.9987436354363335E-2</v>
      </c>
      <c r="L75">
        <f t="shared" si="5"/>
        <v>1.9987436354363335</v>
      </c>
      <c r="M75">
        <v>1.0900000000000001</v>
      </c>
    </row>
    <row r="76" spans="1:13" x14ac:dyDescent="0.2">
      <c r="A76" s="1">
        <v>43998</v>
      </c>
      <c r="B76">
        <v>180.009995</v>
      </c>
      <c r="C76">
        <v>182.5</v>
      </c>
      <c r="D76">
        <v>178.009995</v>
      </c>
      <c r="E76">
        <v>180.479996</v>
      </c>
      <c r="F76">
        <v>180.479996</v>
      </c>
      <c r="G76">
        <v>5824100</v>
      </c>
      <c r="I76">
        <f t="shared" si="3"/>
        <v>1.0469710483905034E-2</v>
      </c>
      <c r="J76">
        <v>0</v>
      </c>
      <c r="K76">
        <f t="shared" si="4"/>
        <v>1.0469710483905034E-2</v>
      </c>
      <c r="L76">
        <f t="shared" si="5"/>
        <v>1.0469710483905035</v>
      </c>
      <c r="M76">
        <v>1.86</v>
      </c>
    </row>
    <row r="77" spans="1:13" x14ac:dyDescent="0.2">
      <c r="A77" s="1">
        <v>43999</v>
      </c>
      <c r="B77">
        <v>180.970001</v>
      </c>
      <c r="C77">
        <v>182.75</v>
      </c>
      <c r="D77">
        <v>180.679993</v>
      </c>
      <c r="E77">
        <v>181.39999399999999</v>
      </c>
      <c r="F77">
        <v>181.39999399999999</v>
      </c>
      <c r="G77">
        <v>5038600</v>
      </c>
      <c r="I77">
        <f t="shared" si="3"/>
        <v>5.0975067619127862E-3</v>
      </c>
      <c r="J77">
        <v>0</v>
      </c>
      <c r="K77">
        <f t="shared" si="4"/>
        <v>5.0975067619127862E-3</v>
      </c>
      <c r="L77">
        <f t="shared" si="5"/>
        <v>0.50975067619127867</v>
      </c>
      <c r="M77">
        <v>-0.4</v>
      </c>
    </row>
    <row r="78" spans="1:13" x14ac:dyDescent="0.2">
      <c r="A78" s="1">
        <v>44000</v>
      </c>
      <c r="B78">
        <v>181.91000399999999</v>
      </c>
      <c r="C78">
        <v>189</v>
      </c>
      <c r="D78">
        <v>181.61999499999999</v>
      </c>
      <c r="E78">
        <v>187.66000399999999</v>
      </c>
      <c r="F78">
        <v>187.66000399999999</v>
      </c>
      <c r="G78">
        <v>8677800</v>
      </c>
      <c r="I78">
        <f t="shared" si="3"/>
        <v>3.4509427822803536E-2</v>
      </c>
      <c r="J78">
        <v>0</v>
      </c>
      <c r="K78">
        <f t="shared" si="4"/>
        <v>3.4509427822803536E-2</v>
      </c>
      <c r="L78">
        <f t="shared" si="5"/>
        <v>3.4509427822803538</v>
      </c>
      <c r="M78">
        <v>0.19</v>
      </c>
    </row>
    <row r="79" spans="1:13" x14ac:dyDescent="0.2">
      <c r="A79" s="1">
        <v>44001</v>
      </c>
      <c r="B79">
        <v>189.5</v>
      </c>
      <c r="C79">
        <v>191.25</v>
      </c>
      <c r="D79">
        <v>185.490005</v>
      </c>
      <c r="E79">
        <v>186.949997</v>
      </c>
      <c r="F79">
        <v>186.949997</v>
      </c>
      <c r="G79">
        <v>11841000</v>
      </c>
      <c r="I79">
        <f t="shared" si="3"/>
        <v>-3.7834753536506922E-3</v>
      </c>
      <c r="J79">
        <v>0</v>
      </c>
      <c r="K79">
        <f t="shared" si="4"/>
        <v>-3.7834753536506922E-3</v>
      </c>
      <c r="L79">
        <f t="shared" si="5"/>
        <v>-0.37834753536506921</v>
      </c>
      <c r="M79">
        <v>-0.45</v>
      </c>
    </row>
    <row r="80" spans="1:13" x14ac:dyDescent="0.2">
      <c r="A80" s="1">
        <v>44004</v>
      </c>
      <c r="B80">
        <v>187.029999</v>
      </c>
      <c r="C80">
        <v>192.5</v>
      </c>
      <c r="D80">
        <v>187</v>
      </c>
      <c r="E80">
        <v>191.64999399999999</v>
      </c>
      <c r="F80">
        <v>191.64999399999999</v>
      </c>
      <c r="G80">
        <v>6252200</v>
      </c>
      <c r="I80">
        <f t="shared" si="3"/>
        <v>2.5140396231191148E-2</v>
      </c>
      <c r="J80">
        <v>0</v>
      </c>
      <c r="K80">
        <f t="shared" si="4"/>
        <v>2.5140396231191148E-2</v>
      </c>
      <c r="L80">
        <f t="shared" si="5"/>
        <v>2.5140396231191149</v>
      </c>
      <c r="M80">
        <v>0.71</v>
      </c>
    </row>
    <row r="81" spans="1:13" x14ac:dyDescent="0.2">
      <c r="A81" s="1">
        <v>44005</v>
      </c>
      <c r="B81">
        <v>192</v>
      </c>
      <c r="C81">
        <v>194.08999600000001</v>
      </c>
      <c r="D81">
        <v>188.58999600000001</v>
      </c>
      <c r="E81">
        <v>189.05999800000001</v>
      </c>
      <c r="F81">
        <v>189.05999800000001</v>
      </c>
      <c r="G81">
        <v>6950800</v>
      </c>
      <c r="I81">
        <f t="shared" si="3"/>
        <v>-1.3514198179416511E-2</v>
      </c>
      <c r="J81">
        <v>0</v>
      </c>
      <c r="K81">
        <f t="shared" si="4"/>
        <v>-1.3514198179416511E-2</v>
      </c>
      <c r="L81">
        <f t="shared" si="5"/>
        <v>-1.351419817941651</v>
      </c>
      <c r="M81">
        <v>0.42</v>
      </c>
    </row>
    <row r="82" spans="1:13" x14ac:dyDescent="0.2">
      <c r="A82" s="1">
        <v>44006</v>
      </c>
      <c r="B82">
        <v>187.509995</v>
      </c>
      <c r="C82">
        <v>189.300003</v>
      </c>
      <c r="D82">
        <v>184.03999300000001</v>
      </c>
      <c r="E82">
        <v>185.550003</v>
      </c>
      <c r="F82">
        <v>185.550003</v>
      </c>
      <c r="G82">
        <v>4903100</v>
      </c>
      <c r="I82">
        <f t="shared" si="3"/>
        <v>-1.8565508500640118E-2</v>
      </c>
      <c r="J82">
        <v>0</v>
      </c>
      <c r="K82">
        <f t="shared" si="4"/>
        <v>-1.8565508500640118E-2</v>
      </c>
      <c r="L82">
        <f t="shared" si="5"/>
        <v>-1.8565508500640118</v>
      </c>
      <c r="M82">
        <v>-2.61</v>
      </c>
    </row>
    <row r="83" spans="1:13" x14ac:dyDescent="0.2">
      <c r="A83" s="1">
        <v>44007</v>
      </c>
      <c r="B83">
        <v>186.13999899999999</v>
      </c>
      <c r="C83">
        <v>188.770004</v>
      </c>
      <c r="D83">
        <v>184.44000199999999</v>
      </c>
      <c r="E83">
        <v>188.33999600000001</v>
      </c>
      <c r="F83">
        <v>188.33999600000001</v>
      </c>
      <c r="G83">
        <v>4022400</v>
      </c>
      <c r="I83">
        <f t="shared" si="3"/>
        <v>1.5036340365890534E-2</v>
      </c>
      <c r="J83">
        <v>0</v>
      </c>
      <c r="K83">
        <f t="shared" si="4"/>
        <v>1.5036340365890534E-2</v>
      </c>
      <c r="L83">
        <f t="shared" si="5"/>
        <v>1.5036340365890533</v>
      </c>
      <c r="M83">
        <v>1.1200000000000001</v>
      </c>
    </row>
    <row r="84" spans="1:13" x14ac:dyDescent="0.2">
      <c r="A84" s="1">
        <v>44008</v>
      </c>
      <c r="B84">
        <v>188</v>
      </c>
      <c r="C84">
        <v>188.220001</v>
      </c>
      <c r="D84">
        <v>183.020004</v>
      </c>
      <c r="E84">
        <v>183.16999799999999</v>
      </c>
      <c r="F84">
        <v>183.16999799999999</v>
      </c>
      <c r="G84">
        <v>7595700</v>
      </c>
      <c r="I84">
        <f t="shared" si="3"/>
        <v>-2.745034570352237E-2</v>
      </c>
      <c r="J84">
        <v>0</v>
      </c>
      <c r="K84">
        <f t="shared" si="4"/>
        <v>-2.745034570352237E-2</v>
      </c>
      <c r="L84">
        <f t="shared" si="5"/>
        <v>-2.745034570352237</v>
      </c>
      <c r="M84">
        <v>-2.44</v>
      </c>
    </row>
    <row r="85" spans="1:13" x14ac:dyDescent="0.2">
      <c r="A85" s="1">
        <v>44011</v>
      </c>
      <c r="B85">
        <v>183.320007</v>
      </c>
      <c r="C85">
        <v>183.71000699999999</v>
      </c>
      <c r="D85">
        <v>180</v>
      </c>
      <c r="E85">
        <v>183.33000200000001</v>
      </c>
      <c r="F85">
        <v>183.33000200000001</v>
      </c>
      <c r="G85">
        <v>3972100</v>
      </c>
      <c r="I85">
        <f t="shared" si="3"/>
        <v>8.7352733388147393E-4</v>
      </c>
      <c r="J85">
        <v>0</v>
      </c>
      <c r="K85">
        <f t="shared" si="4"/>
        <v>8.7352733388147393E-4</v>
      </c>
      <c r="L85">
        <f t="shared" si="5"/>
        <v>8.7352733388147391E-2</v>
      </c>
      <c r="M85">
        <v>1.51</v>
      </c>
    </row>
    <row r="86" spans="1:13" x14ac:dyDescent="0.2">
      <c r="A86" s="1">
        <v>44012</v>
      </c>
      <c r="B86">
        <v>183.449997</v>
      </c>
      <c r="C86">
        <v>187.88999899999999</v>
      </c>
      <c r="D86">
        <v>183.13000500000001</v>
      </c>
      <c r="E86">
        <v>187.33000200000001</v>
      </c>
      <c r="F86">
        <v>187.33000200000001</v>
      </c>
      <c r="G86">
        <v>4478900</v>
      </c>
      <c r="I86">
        <f t="shared" si="3"/>
        <v>2.1818578281584265E-2</v>
      </c>
      <c r="J86">
        <v>0</v>
      </c>
      <c r="K86">
        <f t="shared" si="4"/>
        <v>2.1818578281584265E-2</v>
      </c>
      <c r="L86">
        <f t="shared" si="5"/>
        <v>2.1818578281584267</v>
      </c>
      <c r="M86">
        <v>1.58</v>
      </c>
    </row>
    <row r="87" spans="1:13" x14ac:dyDescent="0.2">
      <c r="A87" s="1">
        <v>44013</v>
      </c>
      <c r="B87">
        <v>188.10000600000001</v>
      </c>
      <c r="C87">
        <v>192.820007</v>
      </c>
      <c r="D87">
        <v>187.46000699999999</v>
      </c>
      <c r="E87">
        <v>191.88999899999999</v>
      </c>
      <c r="F87">
        <v>191.88999899999999</v>
      </c>
      <c r="G87">
        <v>4754600</v>
      </c>
      <c r="I87">
        <f t="shared" si="3"/>
        <v>2.4342053869192727E-2</v>
      </c>
      <c r="J87">
        <v>0</v>
      </c>
      <c r="K87">
        <f t="shared" si="4"/>
        <v>2.4342053869192727E-2</v>
      </c>
      <c r="L87">
        <f t="shared" si="5"/>
        <v>2.4342053869192726</v>
      </c>
      <c r="M87">
        <v>0.41</v>
      </c>
    </row>
    <row r="88" spans="1:13" x14ac:dyDescent="0.2">
      <c r="A88" s="1">
        <v>44014</v>
      </c>
      <c r="B88">
        <v>193.16000399999999</v>
      </c>
      <c r="C88">
        <v>195.38999899999999</v>
      </c>
      <c r="D88">
        <v>192.28999300000001</v>
      </c>
      <c r="E88">
        <v>192.529999</v>
      </c>
      <c r="F88">
        <v>192.529999</v>
      </c>
      <c r="G88">
        <v>4200300</v>
      </c>
      <c r="I88">
        <f t="shared" si="3"/>
        <v>3.3352441676755382E-3</v>
      </c>
      <c r="J88">
        <v>0</v>
      </c>
      <c r="K88">
        <f t="shared" si="4"/>
        <v>3.3352441676755382E-3</v>
      </c>
      <c r="L88">
        <f t="shared" si="5"/>
        <v>0.33352441676755384</v>
      </c>
      <c r="M88">
        <v>0.5</v>
      </c>
    </row>
    <row r="89" spans="1:13" x14ac:dyDescent="0.2">
      <c r="A89" s="1">
        <v>44018</v>
      </c>
      <c r="B89">
        <v>194.44000199999999</v>
      </c>
      <c r="C89">
        <v>199.449997</v>
      </c>
      <c r="D89">
        <v>193.83999600000001</v>
      </c>
      <c r="E89">
        <v>197.720001</v>
      </c>
      <c r="F89">
        <v>197.720001</v>
      </c>
      <c r="G89">
        <v>5794200</v>
      </c>
      <c r="I89">
        <f t="shared" si="3"/>
        <v>2.6956848423398124E-2</v>
      </c>
      <c r="J89">
        <v>0</v>
      </c>
      <c r="K89">
        <f t="shared" si="4"/>
        <v>2.6956848423398124E-2</v>
      </c>
      <c r="L89">
        <f t="shared" si="5"/>
        <v>2.6956848423398125</v>
      </c>
      <c r="M89">
        <v>1.65</v>
      </c>
    </row>
    <row r="90" spans="1:13" x14ac:dyDescent="0.2">
      <c r="A90" s="1">
        <v>44019</v>
      </c>
      <c r="B90">
        <v>197.66000399999999</v>
      </c>
      <c r="C90">
        <v>200.220001</v>
      </c>
      <c r="D90">
        <v>196.21000699999999</v>
      </c>
      <c r="E90">
        <v>196.38000500000001</v>
      </c>
      <c r="F90">
        <v>196.38000500000001</v>
      </c>
      <c r="G90">
        <v>5431500</v>
      </c>
      <c r="I90">
        <f t="shared" si="3"/>
        <v>-6.777240507903827E-3</v>
      </c>
      <c r="J90">
        <v>0</v>
      </c>
      <c r="K90">
        <f t="shared" si="4"/>
        <v>-6.777240507903827E-3</v>
      </c>
      <c r="L90">
        <f t="shared" si="5"/>
        <v>-0.67772405079038267</v>
      </c>
      <c r="M90">
        <v>-1.03</v>
      </c>
    </row>
    <row r="91" spans="1:13" x14ac:dyDescent="0.2">
      <c r="A91" s="1">
        <v>44020</v>
      </c>
      <c r="B91">
        <v>198</v>
      </c>
      <c r="C91">
        <v>201.199997</v>
      </c>
      <c r="D91">
        <v>197.35000600000001</v>
      </c>
      <c r="E91">
        <v>200.279999</v>
      </c>
      <c r="F91">
        <v>200.279999</v>
      </c>
      <c r="G91">
        <v>4233700</v>
      </c>
      <c r="I91">
        <f t="shared" si="3"/>
        <v>1.9859425097784229E-2</v>
      </c>
      <c r="J91">
        <v>0</v>
      </c>
      <c r="K91">
        <f t="shared" si="4"/>
        <v>1.9859425097784229E-2</v>
      </c>
      <c r="L91">
        <f t="shared" si="5"/>
        <v>1.9859425097784229</v>
      </c>
      <c r="M91">
        <v>0.91</v>
      </c>
    </row>
    <row r="92" spans="1:13" x14ac:dyDescent="0.2">
      <c r="A92" s="1">
        <v>44021</v>
      </c>
      <c r="B92">
        <v>202.020004</v>
      </c>
      <c r="C92">
        <v>202.820007</v>
      </c>
      <c r="D92">
        <v>195.63999899999999</v>
      </c>
      <c r="E92">
        <v>200.740005</v>
      </c>
      <c r="F92">
        <v>200.740005</v>
      </c>
      <c r="G92">
        <v>6062800</v>
      </c>
      <c r="I92">
        <f t="shared" si="3"/>
        <v>2.2968144712243225E-3</v>
      </c>
      <c r="J92">
        <v>0</v>
      </c>
      <c r="K92">
        <f t="shared" si="4"/>
        <v>2.2968144712243225E-3</v>
      </c>
      <c r="L92">
        <f t="shared" si="5"/>
        <v>0.22968144712243224</v>
      </c>
      <c r="M92">
        <v>-0.53</v>
      </c>
    </row>
    <row r="93" spans="1:13" x14ac:dyDescent="0.2">
      <c r="A93" s="1">
        <v>44022</v>
      </c>
      <c r="B93">
        <v>200.05999800000001</v>
      </c>
      <c r="C93">
        <v>200.729996</v>
      </c>
      <c r="D93">
        <v>197.08000200000001</v>
      </c>
      <c r="E93">
        <v>198.88000500000001</v>
      </c>
      <c r="F93">
        <v>198.88000500000001</v>
      </c>
      <c r="G93">
        <v>3783200</v>
      </c>
      <c r="I93">
        <f t="shared" si="3"/>
        <v>-9.2657166168745742E-3</v>
      </c>
      <c r="J93">
        <v>0</v>
      </c>
      <c r="K93">
        <f t="shared" si="4"/>
        <v>-9.2657166168745742E-3</v>
      </c>
      <c r="L93">
        <f t="shared" si="5"/>
        <v>-0.92657166168745742</v>
      </c>
      <c r="M93">
        <v>1.1100000000000001</v>
      </c>
    </row>
    <row r="94" spans="1:13" x14ac:dyDescent="0.2">
      <c r="A94" s="1">
        <v>44025</v>
      </c>
      <c r="B94">
        <v>200</v>
      </c>
      <c r="C94">
        <v>200.259995</v>
      </c>
      <c r="D94">
        <v>188.029999</v>
      </c>
      <c r="E94">
        <v>188.33999600000001</v>
      </c>
      <c r="F94">
        <v>188.33999600000001</v>
      </c>
      <c r="G94">
        <v>5555400</v>
      </c>
      <c r="I94">
        <f t="shared" si="3"/>
        <v>-5.2996825900120011E-2</v>
      </c>
      <c r="J94">
        <v>0</v>
      </c>
      <c r="K94">
        <f t="shared" si="4"/>
        <v>-5.2996825900120011E-2</v>
      </c>
      <c r="L94">
        <f t="shared" si="5"/>
        <v>-5.2996825900120008</v>
      </c>
      <c r="M94">
        <v>-1.2</v>
      </c>
    </row>
    <row r="95" spans="1:13" x14ac:dyDescent="0.2">
      <c r="A95" s="1">
        <v>44026</v>
      </c>
      <c r="B95">
        <v>185.990005</v>
      </c>
      <c r="C95">
        <v>189.96000699999999</v>
      </c>
      <c r="D95">
        <v>183.300003</v>
      </c>
      <c r="E95">
        <v>189.55999800000001</v>
      </c>
      <c r="F95">
        <v>189.55999800000001</v>
      </c>
      <c r="G95">
        <v>5854700</v>
      </c>
      <c r="I95">
        <f t="shared" si="3"/>
        <v>6.4776575656293085E-3</v>
      </c>
      <c r="J95">
        <v>0</v>
      </c>
      <c r="K95">
        <f t="shared" si="4"/>
        <v>6.4776575656293085E-3</v>
      </c>
      <c r="L95">
        <f t="shared" si="5"/>
        <v>0.64776575656293089</v>
      </c>
      <c r="M95">
        <v>1.35</v>
      </c>
    </row>
    <row r="96" spans="1:13" x14ac:dyDescent="0.2">
      <c r="A96" s="1">
        <v>44027</v>
      </c>
      <c r="B96">
        <v>191.029999</v>
      </c>
      <c r="C96">
        <v>192.10000600000001</v>
      </c>
      <c r="D96">
        <v>186.75</v>
      </c>
      <c r="E96">
        <v>188.08999600000001</v>
      </c>
      <c r="F96">
        <v>188.08999600000001</v>
      </c>
      <c r="G96">
        <v>7681800</v>
      </c>
      <c r="I96">
        <f t="shared" si="3"/>
        <v>-7.7548112234100876E-3</v>
      </c>
      <c r="J96">
        <v>0</v>
      </c>
      <c r="K96">
        <f t="shared" si="4"/>
        <v>-7.7548112234100876E-3</v>
      </c>
      <c r="L96">
        <f t="shared" si="5"/>
        <v>-0.77548112234100874</v>
      </c>
      <c r="M96">
        <v>1.1399999999999999</v>
      </c>
    </row>
    <row r="97" spans="1:13" x14ac:dyDescent="0.2">
      <c r="A97" s="1">
        <v>44028</v>
      </c>
      <c r="B97">
        <v>186.41999799999999</v>
      </c>
      <c r="C97">
        <v>186.86000100000001</v>
      </c>
      <c r="D97">
        <v>181.929993</v>
      </c>
      <c r="E97">
        <v>185.509995</v>
      </c>
      <c r="F97">
        <v>185.509995</v>
      </c>
      <c r="G97">
        <v>7350000</v>
      </c>
      <c r="I97">
        <f t="shared" si="3"/>
        <v>-1.3716843292399293E-2</v>
      </c>
      <c r="J97">
        <v>0</v>
      </c>
      <c r="K97">
        <f t="shared" si="4"/>
        <v>-1.3716843292399293E-2</v>
      </c>
      <c r="L97">
        <f t="shared" si="5"/>
        <v>-1.3716843292399294</v>
      </c>
      <c r="M97">
        <v>-0.37</v>
      </c>
    </row>
    <row r="98" spans="1:13" x14ac:dyDescent="0.2">
      <c r="A98" s="1">
        <v>44029</v>
      </c>
      <c r="B98">
        <v>187.13999899999999</v>
      </c>
      <c r="C98">
        <v>188.39999399999999</v>
      </c>
      <c r="D98">
        <v>183.36000100000001</v>
      </c>
      <c r="E98">
        <v>187.779999</v>
      </c>
      <c r="F98">
        <v>187.779999</v>
      </c>
      <c r="G98">
        <v>4324300</v>
      </c>
      <c r="I98">
        <f t="shared" si="3"/>
        <v>1.2236559005890761E-2</v>
      </c>
      <c r="J98">
        <v>0</v>
      </c>
      <c r="K98">
        <f t="shared" si="4"/>
        <v>1.2236559005890761E-2</v>
      </c>
      <c r="L98">
        <f t="shared" si="5"/>
        <v>1.2236559005890761</v>
      </c>
      <c r="M98">
        <v>0.3</v>
      </c>
    </row>
    <row r="99" spans="1:13" x14ac:dyDescent="0.2">
      <c r="A99" s="1">
        <v>44032</v>
      </c>
      <c r="B99">
        <v>187.89999399999999</v>
      </c>
      <c r="C99">
        <v>195.30999800000001</v>
      </c>
      <c r="D99">
        <v>187.270004</v>
      </c>
      <c r="E99">
        <v>195.08999600000001</v>
      </c>
      <c r="F99">
        <v>195.08999600000001</v>
      </c>
      <c r="G99">
        <v>5729000</v>
      </c>
      <c r="I99">
        <f t="shared" si="3"/>
        <v>3.892851762130433E-2</v>
      </c>
      <c r="J99">
        <v>0</v>
      </c>
      <c r="K99">
        <f t="shared" si="4"/>
        <v>3.892851762130433E-2</v>
      </c>
      <c r="L99">
        <f t="shared" si="5"/>
        <v>3.8928517621304328</v>
      </c>
      <c r="M99">
        <v>1.01</v>
      </c>
    </row>
    <row r="100" spans="1:13" x14ac:dyDescent="0.2">
      <c r="A100" s="1">
        <v>44033</v>
      </c>
      <c r="B100">
        <v>196</v>
      </c>
      <c r="C100">
        <v>196.5</v>
      </c>
      <c r="D100">
        <v>189.479996</v>
      </c>
      <c r="E100">
        <v>190.800003</v>
      </c>
      <c r="F100">
        <v>190.800003</v>
      </c>
      <c r="G100">
        <v>5377800</v>
      </c>
      <c r="I100">
        <f t="shared" si="3"/>
        <v>-2.1989815408064335E-2</v>
      </c>
      <c r="J100">
        <v>0</v>
      </c>
      <c r="K100">
        <f t="shared" si="4"/>
        <v>-2.1989815408064335E-2</v>
      </c>
      <c r="L100">
        <f t="shared" si="5"/>
        <v>-2.1989815408064337</v>
      </c>
      <c r="M100">
        <v>0.16</v>
      </c>
    </row>
    <row r="101" spans="1:13" x14ac:dyDescent="0.2">
      <c r="A101" s="1">
        <v>44034</v>
      </c>
      <c r="B101">
        <v>190.779999</v>
      </c>
      <c r="C101">
        <v>191.86999499999999</v>
      </c>
      <c r="D101">
        <v>188.86999499999999</v>
      </c>
      <c r="E101">
        <v>191.30999800000001</v>
      </c>
      <c r="F101">
        <v>191.30999800000001</v>
      </c>
      <c r="G101">
        <v>2833000</v>
      </c>
      <c r="I101">
        <f t="shared" si="3"/>
        <v>2.6729297273648551E-3</v>
      </c>
      <c r="J101">
        <v>0</v>
      </c>
      <c r="K101">
        <f t="shared" si="4"/>
        <v>2.6729297273648551E-3</v>
      </c>
      <c r="L101">
        <f t="shared" si="5"/>
        <v>0.2672929727364855</v>
      </c>
      <c r="M101">
        <v>0.49</v>
      </c>
    </row>
    <row r="102" spans="1:13" x14ac:dyDescent="0.2">
      <c r="A102" s="1">
        <v>44035</v>
      </c>
      <c r="B102">
        <v>191.479996</v>
      </c>
      <c r="C102">
        <v>194.570007</v>
      </c>
      <c r="D102">
        <v>187.509995</v>
      </c>
      <c r="E102">
        <v>188.53999300000001</v>
      </c>
      <c r="F102">
        <v>188.53999300000001</v>
      </c>
      <c r="G102">
        <v>3639500</v>
      </c>
      <c r="I102">
        <f t="shared" si="3"/>
        <v>-1.4479143949392533E-2</v>
      </c>
      <c r="J102">
        <v>0</v>
      </c>
      <c r="K102">
        <f t="shared" si="4"/>
        <v>-1.4479143949392533E-2</v>
      </c>
      <c r="L102">
        <f t="shared" si="5"/>
        <v>-1.4479143949392532</v>
      </c>
      <c r="M102">
        <v>-1.2</v>
      </c>
    </row>
    <row r="103" spans="1:13" x14ac:dyDescent="0.2">
      <c r="A103" s="1">
        <v>44036</v>
      </c>
      <c r="B103">
        <v>186.05999800000001</v>
      </c>
      <c r="C103">
        <v>188.94000199999999</v>
      </c>
      <c r="D103">
        <v>184.38000500000001</v>
      </c>
      <c r="E103">
        <v>188.490005</v>
      </c>
      <c r="F103">
        <v>188.490005</v>
      </c>
      <c r="G103">
        <v>3908400</v>
      </c>
      <c r="I103">
        <f t="shared" si="3"/>
        <v>-2.6513207730952468E-4</v>
      </c>
      <c r="J103">
        <v>0</v>
      </c>
      <c r="K103">
        <f t="shared" si="4"/>
        <v>-2.6513207730952468E-4</v>
      </c>
      <c r="L103">
        <f t="shared" si="5"/>
        <v>-2.6513207730952469E-2</v>
      </c>
      <c r="M103">
        <v>-0.75</v>
      </c>
    </row>
    <row r="104" spans="1:13" x14ac:dyDescent="0.2">
      <c r="A104" s="1">
        <v>44039</v>
      </c>
      <c r="B104">
        <v>189.89999399999999</v>
      </c>
      <c r="C104">
        <v>191.55999800000001</v>
      </c>
      <c r="D104">
        <v>188.64999399999999</v>
      </c>
      <c r="E104">
        <v>190.96000699999999</v>
      </c>
      <c r="F104">
        <v>190.96000699999999</v>
      </c>
      <c r="G104">
        <v>3015700</v>
      </c>
      <c r="I104">
        <f t="shared" si="3"/>
        <v>1.3104153718919971E-2</v>
      </c>
      <c r="J104">
        <v>0</v>
      </c>
      <c r="K104">
        <f t="shared" si="4"/>
        <v>1.3104153718919971E-2</v>
      </c>
      <c r="L104">
        <f t="shared" si="5"/>
        <v>1.3104153718919971</v>
      </c>
      <c r="M104">
        <v>0.88</v>
      </c>
    </row>
    <row r="105" spans="1:13" x14ac:dyDescent="0.2">
      <c r="A105" s="1">
        <v>44040</v>
      </c>
      <c r="B105">
        <v>191</v>
      </c>
      <c r="C105">
        <v>192.970001</v>
      </c>
      <c r="D105">
        <v>189.050003</v>
      </c>
      <c r="E105">
        <v>189.5</v>
      </c>
      <c r="F105">
        <v>189.5</v>
      </c>
      <c r="G105">
        <v>3114200</v>
      </c>
      <c r="I105">
        <f t="shared" si="3"/>
        <v>-7.6456166028522942E-3</v>
      </c>
      <c r="J105">
        <v>0</v>
      </c>
      <c r="K105">
        <f t="shared" si="4"/>
        <v>-7.6456166028522942E-3</v>
      </c>
      <c r="L105">
        <f t="shared" si="5"/>
        <v>-0.76456166028522943</v>
      </c>
      <c r="M105">
        <v>-0.81</v>
      </c>
    </row>
    <row r="106" spans="1:13" x14ac:dyDescent="0.2">
      <c r="A106" s="1">
        <v>44041</v>
      </c>
      <c r="B106">
        <v>190.14999399999999</v>
      </c>
      <c r="C106">
        <v>194.55999800000001</v>
      </c>
      <c r="D106">
        <v>189.75</v>
      </c>
      <c r="E106">
        <v>193.61000100000001</v>
      </c>
      <c r="F106">
        <v>193.61000100000001</v>
      </c>
      <c r="G106">
        <v>3747800</v>
      </c>
      <c r="I106">
        <f t="shared" si="3"/>
        <v>2.168865963060692E-2</v>
      </c>
      <c r="J106">
        <v>0</v>
      </c>
      <c r="K106">
        <f t="shared" si="4"/>
        <v>2.168865963060692E-2</v>
      </c>
      <c r="L106">
        <f t="shared" si="5"/>
        <v>2.1688659630606919</v>
      </c>
      <c r="M106">
        <v>1.35</v>
      </c>
    </row>
    <row r="107" spans="1:13" x14ac:dyDescent="0.2">
      <c r="A107" s="1">
        <v>44042</v>
      </c>
      <c r="B107">
        <v>190.08999600000001</v>
      </c>
      <c r="C107">
        <v>191.91999799999999</v>
      </c>
      <c r="D107">
        <v>187.36999499999999</v>
      </c>
      <c r="E107">
        <v>191.699997</v>
      </c>
      <c r="F107">
        <v>191.699997</v>
      </c>
      <c r="G107">
        <v>3587400</v>
      </c>
      <c r="I107">
        <f t="shared" si="3"/>
        <v>-9.8652135227250727E-3</v>
      </c>
      <c r="J107">
        <v>0</v>
      </c>
      <c r="K107">
        <f t="shared" si="4"/>
        <v>-9.8652135227250727E-3</v>
      </c>
      <c r="L107">
        <f t="shared" si="5"/>
        <v>-0.98652135227250726</v>
      </c>
      <c r="M107">
        <v>-0.28999999999999998</v>
      </c>
    </row>
    <row r="108" spans="1:13" x14ac:dyDescent="0.2">
      <c r="A108" s="1">
        <v>44043</v>
      </c>
      <c r="B108">
        <v>193</v>
      </c>
      <c r="C108">
        <v>194.990005</v>
      </c>
      <c r="D108">
        <v>190.66999799999999</v>
      </c>
      <c r="E108">
        <v>194.85000600000001</v>
      </c>
      <c r="F108">
        <v>194.85000600000001</v>
      </c>
      <c r="G108">
        <v>3734600</v>
      </c>
      <c r="I108">
        <f t="shared" si="3"/>
        <v>1.6431972088137337E-2</v>
      </c>
      <c r="J108">
        <v>0</v>
      </c>
      <c r="K108">
        <f t="shared" si="4"/>
        <v>1.6431972088137337E-2</v>
      </c>
      <c r="L108">
        <f t="shared" si="5"/>
        <v>1.6431972088137337</v>
      </c>
      <c r="M108">
        <v>0.61</v>
      </c>
    </row>
    <row r="109" spans="1:13" x14ac:dyDescent="0.2">
      <c r="A109" s="1">
        <v>44046</v>
      </c>
      <c r="B109">
        <v>197.800003</v>
      </c>
      <c r="C109">
        <v>204.78999300000001</v>
      </c>
      <c r="D109">
        <v>196.570007</v>
      </c>
      <c r="E109">
        <v>203.19000199999999</v>
      </c>
      <c r="F109">
        <v>203.19000199999999</v>
      </c>
      <c r="G109">
        <v>6557500</v>
      </c>
      <c r="I109">
        <f t="shared" si="3"/>
        <v>4.2802133657619618E-2</v>
      </c>
      <c r="J109">
        <v>0</v>
      </c>
      <c r="K109">
        <f t="shared" si="4"/>
        <v>4.2802133657619618E-2</v>
      </c>
      <c r="L109">
        <f t="shared" si="5"/>
        <v>4.2802133657619619</v>
      </c>
      <c r="M109">
        <v>0.98</v>
      </c>
    </row>
    <row r="110" spans="1:13" x14ac:dyDescent="0.2">
      <c r="A110" s="1">
        <v>44047</v>
      </c>
      <c r="B110">
        <v>203</v>
      </c>
      <c r="C110">
        <v>203.38999899999999</v>
      </c>
      <c r="D110">
        <v>198.89999399999999</v>
      </c>
      <c r="E110">
        <v>201.41000399999999</v>
      </c>
      <c r="F110">
        <v>201.41000399999999</v>
      </c>
      <c r="G110">
        <v>4480300</v>
      </c>
      <c r="I110">
        <f t="shared" si="3"/>
        <v>-8.7602637062821932E-3</v>
      </c>
      <c r="J110">
        <v>0</v>
      </c>
      <c r="K110">
        <f t="shared" si="4"/>
        <v>-8.7602637062821932E-3</v>
      </c>
      <c r="L110">
        <f t="shared" si="5"/>
        <v>-0.87602637062821931</v>
      </c>
      <c r="M110">
        <v>0.37</v>
      </c>
    </row>
    <row r="111" spans="1:13" x14ac:dyDescent="0.2">
      <c r="A111" s="1">
        <v>44048</v>
      </c>
      <c r="B111">
        <v>202.800003</v>
      </c>
      <c r="C111">
        <v>203.89999399999999</v>
      </c>
      <c r="D111">
        <v>201.58000200000001</v>
      </c>
      <c r="E111">
        <v>202.63999899999999</v>
      </c>
      <c r="F111">
        <v>202.63999899999999</v>
      </c>
      <c r="G111">
        <v>3615800</v>
      </c>
      <c r="I111">
        <f t="shared" si="3"/>
        <v>6.1069210842178544E-3</v>
      </c>
      <c r="J111">
        <v>0</v>
      </c>
      <c r="K111">
        <f t="shared" si="4"/>
        <v>6.1069210842178544E-3</v>
      </c>
      <c r="L111">
        <f t="shared" si="5"/>
        <v>0.61069210842178545</v>
      </c>
      <c r="M111">
        <v>0.78</v>
      </c>
    </row>
    <row r="112" spans="1:13" x14ac:dyDescent="0.2">
      <c r="A112" s="1">
        <v>44049</v>
      </c>
      <c r="B112">
        <v>202.970001</v>
      </c>
      <c r="C112">
        <v>209.949997</v>
      </c>
      <c r="D112">
        <v>202.39999399999999</v>
      </c>
      <c r="E112">
        <v>207.78999300000001</v>
      </c>
      <c r="F112">
        <v>207.78999300000001</v>
      </c>
      <c r="G112">
        <v>5113300</v>
      </c>
      <c r="I112">
        <f t="shared" si="3"/>
        <v>2.5414498743656335E-2</v>
      </c>
      <c r="J112">
        <v>0</v>
      </c>
      <c r="K112">
        <f t="shared" si="4"/>
        <v>2.5414498743656335E-2</v>
      </c>
      <c r="L112">
        <f t="shared" si="5"/>
        <v>2.5414498743656333</v>
      </c>
      <c r="M112">
        <v>0.53</v>
      </c>
    </row>
    <row r="113" spans="1:13" x14ac:dyDescent="0.2">
      <c r="A113" s="1">
        <v>44050</v>
      </c>
      <c r="B113">
        <v>206.61999499999999</v>
      </c>
      <c r="C113">
        <v>206.94000199999999</v>
      </c>
      <c r="D113">
        <v>198.58000200000001</v>
      </c>
      <c r="E113">
        <v>201.050003</v>
      </c>
      <c r="F113">
        <v>201.050003</v>
      </c>
      <c r="G113">
        <v>5423400</v>
      </c>
      <c r="I113">
        <f t="shared" si="3"/>
        <v>-3.2436547606024539E-2</v>
      </c>
      <c r="J113">
        <v>0</v>
      </c>
      <c r="K113">
        <f t="shared" si="4"/>
        <v>-3.2436547606024539E-2</v>
      </c>
      <c r="L113">
        <f t="shared" si="5"/>
        <v>-3.2436547606024537</v>
      </c>
      <c r="M113">
        <v>0.02</v>
      </c>
    </row>
    <row r="114" spans="1:13" x14ac:dyDescent="0.2">
      <c r="A114" s="1">
        <v>44053</v>
      </c>
      <c r="B114">
        <v>200.39999399999999</v>
      </c>
      <c r="C114">
        <v>201.479996</v>
      </c>
      <c r="D114">
        <v>195.720001</v>
      </c>
      <c r="E114">
        <v>197.16000399999999</v>
      </c>
      <c r="F114">
        <v>197.16000399999999</v>
      </c>
      <c r="G114">
        <v>5528200</v>
      </c>
      <c r="I114">
        <f t="shared" si="3"/>
        <v>-1.9348415528250538E-2</v>
      </c>
      <c r="J114">
        <v>0</v>
      </c>
      <c r="K114">
        <f t="shared" si="4"/>
        <v>-1.9348415528250538E-2</v>
      </c>
      <c r="L114">
        <f t="shared" si="5"/>
        <v>-1.9348415528250538</v>
      </c>
      <c r="M114">
        <v>0.24</v>
      </c>
    </row>
    <row r="115" spans="1:13" x14ac:dyDescent="0.2">
      <c r="A115" s="1">
        <v>44054</v>
      </c>
      <c r="B115">
        <v>193.61999499999999</v>
      </c>
      <c r="C115">
        <v>195.83999600000001</v>
      </c>
      <c r="D115">
        <v>191.720001</v>
      </c>
      <c r="E115">
        <v>191.990005</v>
      </c>
      <c r="F115">
        <v>191.990005</v>
      </c>
      <c r="G115">
        <v>5015400</v>
      </c>
      <c r="I115">
        <f t="shared" si="3"/>
        <v>-2.6222351872137263E-2</v>
      </c>
      <c r="J115">
        <v>0</v>
      </c>
      <c r="K115">
        <f t="shared" si="4"/>
        <v>-2.6222351872137263E-2</v>
      </c>
      <c r="L115">
        <f t="shared" si="5"/>
        <v>-2.6222351872137262</v>
      </c>
      <c r="M115">
        <v>-0.83</v>
      </c>
    </row>
    <row r="116" spans="1:13" x14ac:dyDescent="0.2">
      <c r="A116" s="1">
        <v>44055</v>
      </c>
      <c r="B116">
        <v>193</v>
      </c>
      <c r="C116">
        <v>195.41999799999999</v>
      </c>
      <c r="D116">
        <v>192.11999499999999</v>
      </c>
      <c r="E116">
        <v>192.61999499999999</v>
      </c>
      <c r="F116">
        <v>192.61999499999999</v>
      </c>
      <c r="G116">
        <v>3982200</v>
      </c>
      <c r="I116">
        <f t="shared" si="3"/>
        <v>3.281368735835974E-3</v>
      </c>
      <c r="J116">
        <v>0</v>
      </c>
      <c r="K116">
        <f t="shared" si="4"/>
        <v>3.281368735835974E-3</v>
      </c>
      <c r="L116">
        <f t="shared" si="5"/>
        <v>0.32813687358359739</v>
      </c>
      <c r="M116">
        <v>1.4</v>
      </c>
    </row>
    <row r="117" spans="1:13" x14ac:dyDescent="0.2">
      <c r="A117" s="1">
        <v>44056</v>
      </c>
      <c r="B117">
        <v>193.320007</v>
      </c>
      <c r="C117">
        <v>198.070007</v>
      </c>
      <c r="D117">
        <v>193.229996</v>
      </c>
      <c r="E117">
        <v>195.13999899999999</v>
      </c>
      <c r="F117">
        <v>195.13999899999999</v>
      </c>
      <c r="G117">
        <v>4711600</v>
      </c>
      <c r="I117">
        <f t="shared" si="3"/>
        <v>1.308277471401658E-2</v>
      </c>
      <c r="J117">
        <v>0</v>
      </c>
      <c r="K117">
        <f t="shared" si="4"/>
        <v>1.308277471401658E-2</v>
      </c>
      <c r="L117">
        <f t="shared" si="5"/>
        <v>1.3082774714016581</v>
      </c>
      <c r="M117">
        <v>-0.01</v>
      </c>
    </row>
    <row r="118" spans="1:13" x14ac:dyDescent="0.2">
      <c r="A118" s="1">
        <v>44057</v>
      </c>
      <c r="B118">
        <v>195.220001</v>
      </c>
      <c r="C118">
        <v>195.479996</v>
      </c>
      <c r="D118">
        <v>192.520004</v>
      </c>
      <c r="E118">
        <v>193.46000699999999</v>
      </c>
      <c r="F118">
        <v>193.46000699999999</v>
      </c>
      <c r="G118">
        <v>2833000</v>
      </c>
      <c r="I118">
        <f t="shared" si="3"/>
        <v>-8.6091626965725185E-3</v>
      </c>
      <c r="J118">
        <v>0</v>
      </c>
      <c r="K118">
        <f t="shared" si="4"/>
        <v>-8.6091626965725185E-3</v>
      </c>
      <c r="L118">
        <f t="shared" si="5"/>
        <v>-0.86091626965725188</v>
      </c>
      <c r="M118">
        <v>-0.04</v>
      </c>
    </row>
    <row r="119" spans="1:13" x14ac:dyDescent="0.2">
      <c r="A119" s="1">
        <v>44060</v>
      </c>
      <c r="B119">
        <v>195.33999600000001</v>
      </c>
      <c r="C119">
        <v>197.070007</v>
      </c>
      <c r="D119">
        <v>194.41999799999999</v>
      </c>
      <c r="E119">
        <v>196.740005</v>
      </c>
      <c r="F119">
        <v>196.740005</v>
      </c>
      <c r="G119">
        <v>3574500</v>
      </c>
      <c r="I119">
        <f t="shared" si="3"/>
        <v>1.6954398228673725E-2</v>
      </c>
      <c r="J119">
        <v>0</v>
      </c>
      <c r="K119">
        <f t="shared" si="4"/>
        <v>1.6954398228673725E-2</v>
      </c>
      <c r="L119">
        <f t="shared" si="5"/>
        <v>1.6954398228673724</v>
      </c>
      <c r="M119">
        <v>0.45</v>
      </c>
    </row>
    <row r="120" spans="1:13" x14ac:dyDescent="0.2">
      <c r="A120" s="1">
        <v>44061</v>
      </c>
      <c r="B120">
        <v>199.33000200000001</v>
      </c>
      <c r="C120">
        <v>204.800003</v>
      </c>
      <c r="D120">
        <v>199</v>
      </c>
      <c r="E120">
        <v>204.009995</v>
      </c>
      <c r="F120">
        <v>204.009995</v>
      </c>
      <c r="G120">
        <v>7284800</v>
      </c>
      <c r="I120">
        <f t="shared" si="3"/>
        <v>3.6952271095042448E-2</v>
      </c>
      <c r="J120">
        <v>0</v>
      </c>
      <c r="K120">
        <f t="shared" si="4"/>
        <v>3.6952271095042448E-2</v>
      </c>
      <c r="L120">
        <f t="shared" si="5"/>
        <v>3.6952271095042448</v>
      </c>
      <c r="M120">
        <v>0.22</v>
      </c>
    </row>
    <row r="121" spans="1:13" x14ac:dyDescent="0.2">
      <c r="A121" s="1">
        <v>44062</v>
      </c>
      <c r="B121">
        <v>204</v>
      </c>
      <c r="C121">
        <v>207.10000600000001</v>
      </c>
      <c r="D121">
        <v>200.029999</v>
      </c>
      <c r="E121">
        <v>205.11000100000001</v>
      </c>
      <c r="F121">
        <v>205.11000100000001</v>
      </c>
      <c r="G121">
        <v>7080700</v>
      </c>
      <c r="I121">
        <f t="shared" si="3"/>
        <v>5.3919220967580906E-3</v>
      </c>
      <c r="J121">
        <v>0</v>
      </c>
      <c r="K121">
        <f t="shared" si="4"/>
        <v>5.3919220967580906E-3</v>
      </c>
      <c r="L121">
        <f t="shared" si="5"/>
        <v>0.53919220967580905</v>
      </c>
      <c r="M121">
        <v>-0.38</v>
      </c>
    </row>
    <row r="122" spans="1:13" x14ac:dyDescent="0.2">
      <c r="A122" s="1">
        <v>44063</v>
      </c>
      <c r="B122">
        <v>203.85000600000001</v>
      </c>
      <c r="C122">
        <v>210.11000100000001</v>
      </c>
      <c r="D122">
        <v>203.509995</v>
      </c>
      <c r="E122">
        <v>209.509995</v>
      </c>
      <c r="F122">
        <v>209.509995</v>
      </c>
      <c r="G122">
        <v>5175100</v>
      </c>
      <c r="I122">
        <f t="shared" si="3"/>
        <v>2.1451874499283884E-2</v>
      </c>
      <c r="J122">
        <v>0</v>
      </c>
      <c r="K122">
        <f t="shared" si="4"/>
        <v>2.1451874499283884E-2</v>
      </c>
      <c r="L122">
        <f t="shared" si="5"/>
        <v>2.1451874499283883</v>
      </c>
      <c r="M122">
        <v>0.31</v>
      </c>
    </row>
    <row r="123" spans="1:13" x14ac:dyDescent="0.2">
      <c r="A123" s="1">
        <v>44064</v>
      </c>
      <c r="B123">
        <v>209.94000199999999</v>
      </c>
      <c r="C123">
        <v>210</v>
      </c>
      <c r="D123">
        <v>206.25</v>
      </c>
      <c r="E123">
        <v>207.529999</v>
      </c>
      <c r="F123">
        <v>207.529999</v>
      </c>
      <c r="G123">
        <v>5727800</v>
      </c>
      <c r="I123">
        <f t="shared" si="3"/>
        <v>-9.450604015335878E-3</v>
      </c>
      <c r="J123">
        <v>0</v>
      </c>
      <c r="K123">
        <f t="shared" si="4"/>
        <v>-9.450604015335878E-3</v>
      </c>
      <c r="L123">
        <f t="shared" si="5"/>
        <v>-0.94506040153358783</v>
      </c>
      <c r="M123">
        <v>0.25</v>
      </c>
    </row>
    <row r="124" spans="1:13" x14ac:dyDescent="0.2">
      <c r="A124" s="1">
        <v>44067</v>
      </c>
      <c r="B124">
        <v>208.88000500000001</v>
      </c>
      <c r="C124">
        <v>209.28999300000001</v>
      </c>
      <c r="D124">
        <v>205.14999399999999</v>
      </c>
      <c r="E124">
        <v>208.46000699999999</v>
      </c>
      <c r="F124">
        <v>208.46000699999999</v>
      </c>
      <c r="G124">
        <v>5699000</v>
      </c>
      <c r="I124">
        <f t="shared" si="3"/>
        <v>4.4813183852036092E-3</v>
      </c>
      <c r="J124">
        <v>0</v>
      </c>
      <c r="K124">
        <f t="shared" si="4"/>
        <v>4.4813183852036092E-3</v>
      </c>
      <c r="L124">
        <f t="shared" si="5"/>
        <v>0.44813183852036093</v>
      </c>
      <c r="M124">
        <v>0.92</v>
      </c>
    </row>
    <row r="125" spans="1:13" x14ac:dyDescent="0.2">
      <c r="A125" s="1">
        <v>44068</v>
      </c>
      <c r="B125">
        <v>213.220001</v>
      </c>
      <c r="C125">
        <v>218.35000600000001</v>
      </c>
      <c r="D125">
        <v>210.800003</v>
      </c>
      <c r="E125">
        <v>216.050003</v>
      </c>
      <c r="F125">
        <v>216.050003</v>
      </c>
      <c r="G125">
        <v>27096500</v>
      </c>
      <c r="I125">
        <f t="shared" si="3"/>
        <v>3.6409842392454747E-2</v>
      </c>
      <c r="J125">
        <v>0</v>
      </c>
      <c r="K125">
        <f t="shared" si="4"/>
        <v>3.6409842392454747E-2</v>
      </c>
      <c r="L125">
        <f t="shared" si="5"/>
        <v>3.6409842392454745</v>
      </c>
      <c r="M125">
        <v>0.36</v>
      </c>
    </row>
    <row r="126" spans="1:13" x14ac:dyDescent="0.2">
      <c r="A126" s="1">
        <v>44069</v>
      </c>
      <c r="B126">
        <v>251.96000699999999</v>
      </c>
      <c r="C126">
        <v>277.97000100000002</v>
      </c>
      <c r="D126">
        <v>249.470001</v>
      </c>
      <c r="E126">
        <v>272.32000699999998</v>
      </c>
      <c r="F126">
        <v>272.32000699999998</v>
      </c>
      <c r="G126">
        <v>63253400</v>
      </c>
      <c r="I126">
        <f t="shared" si="3"/>
        <v>0.26044898504352243</v>
      </c>
      <c r="J126">
        <v>0</v>
      </c>
      <c r="K126">
        <f t="shared" si="4"/>
        <v>0.26044898504352243</v>
      </c>
      <c r="L126">
        <f t="shared" si="5"/>
        <v>26.044898504352243</v>
      </c>
      <c r="M126">
        <v>1</v>
      </c>
    </row>
    <row r="127" spans="1:13" x14ac:dyDescent="0.2">
      <c r="A127" s="1">
        <v>44070</v>
      </c>
      <c r="B127">
        <v>267</v>
      </c>
      <c r="C127">
        <v>278.27999899999998</v>
      </c>
      <c r="D127">
        <v>260.83999599999999</v>
      </c>
      <c r="E127">
        <v>276.32000699999998</v>
      </c>
      <c r="F127">
        <v>276.32000699999998</v>
      </c>
      <c r="G127">
        <v>22817100</v>
      </c>
      <c r="I127">
        <f t="shared" si="3"/>
        <v>1.4688601267552113E-2</v>
      </c>
      <c r="J127">
        <v>0</v>
      </c>
      <c r="K127">
        <f t="shared" si="4"/>
        <v>1.4688601267552113E-2</v>
      </c>
      <c r="L127">
        <f t="shared" si="5"/>
        <v>1.4688601267552113</v>
      </c>
      <c r="M127">
        <v>0.18</v>
      </c>
    </row>
    <row r="128" spans="1:13" x14ac:dyDescent="0.2">
      <c r="A128" s="1">
        <v>44071</v>
      </c>
      <c r="B128">
        <v>271.27999899999998</v>
      </c>
      <c r="C128">
        <v>275.75</v>
      </c>
      <c r="D128">
        <v>267.39999399999999</v>
      </c>
      <c r="E128">
        <v>271.10000600000001</v>
      </c>
      <c r="F128">
        <v>271.10000600000001</v>
      </c>
      <c r="G128">
        <v>28068000</v>
      </c>
      <c r="I128">
        <f t="shared" si="3"/>
        <v>-1.8891143846851338E-2</v>
      </c>
      <c r="J128">
        <v>0</v>
      </c>
      <c r="K128">
        <f t="shared" si="4"/>
        <v>-1.8891143846851338E-2</v>
      </c>
      <c r="L128">
        <f t="shared" si="5"/>
        <v>-1.8891143846851337</v>
      </c>
      <c r="M128">
        <v>0.7</v>
      </c>
    </row>
    <row r="129" spans="1:13" x14ac:dyDescent="0.2">
      <c r="A129" s="1">
        <v>44074</v>
      </c>
      <c r="B129">
        <v>270</v>
      </c>
      <c r="C129">
        <v>274.709991</v>
      </c>
      <c r="D129">
        <v>265.91000400000001</v>
      </c>
      <c r="E129">
        <v>272.64999399999999</v>
      </c>
      <c r="F129">
        <v>272.64999399999999</v>
      </c>
      <c r="G129">
        <v>16010100</v>
      </c>
      <c r="I129">
        <f t="shared" si="3"/>
        <v>5.7174030457232258E-3</v>
      </c>
      <c r="J129">
        <v>0</v>
      </c>
      <c r="K129">
        <f t="shared" si="4"/>
        <v>5.7174030457232258E-3</v>
      </c>
      <c r="L129">
        <f t="shared" si="5"/>
        <v>0.57174030457232261</v>
      </c>
      <c r="M129">
        <v>-0.04</v>
      </c>
    </row>
    <row r="130" spans="1:13" x14ac:dyDescent="0.2">
      <c r="A130" s="1">
        <v>44075</v>
      </c>
      <c r="B130">
        <v>271</v>
      </c>
      <c r="C130">
        <v>281.92999300000002</v>
      </c>
      <c r="D130">
        <v>270.57998700000002</v>
      </c>
      <c r="E130">
        <v>281.25</v>
      </c>
      <c r="F130">
        <v>281.25</v>
      </c>
      <c r="G130">
        <v>13303200</v>
      </c>
      <c r="I130">
        <f t="shared" si="3"/>
        <v>3.1542293010283391E-2</v>
      </c>
      <c r="J130">
        <v>0</v>
      </c>
      <c r="K130">
        <f t="shared" si="4"/>
        <v>3.1542293010283391E-2</v>
      </c>
      <c r="L130">
        <f t="shared" si="5"/>
        <v>3.1542293010283391</v>
      </c>
      <c r="M130">
        <v>0.92</v>
      </c>
    </row>
    <row r="131" spans="1:13" x14ac:dyDescent="0.2">
      <c r="A131" s="1">
        <v>44076</v>
      </c>
      <c r="B131">
        <v>283.47000100000002</v>
      </c>
      <c r="C131">
        <v>284.5</v>
      </c>
      <c r="D131">
        <v>268.57000699999998</v>
      </c>
      <c r="E131">
        <v>276.69000199999999</v>
      </c>
      <c r="F131">
        <v>276.69000199999999</v>
      </c>
      <c r="G131">
        <v>12963800</v>
      </c>
      <c r="I131">
        <f t="shared" si="3"/>
        <v>-1.6213326222222248E-2</v>
      </c>
      <c r="J131">
        <v>0</v>
      </c>
      <c r="K131">
        <f t="shared" si="4"/>
        <v>-1.6213326222222248E-2</v>
      </c>
      <c r="L131">
        <f t="shared" si="5"/>
        <v>-1.6213326222222249</v>
      </c>
      <c r="M131">
        <v>1.27</v>
      </c>
    </row>
    <row r="132" spans="1:13" x14ac:dyDescent="0.2">
      <c r="A132" s="1">
        <v>44077</v>
      </c>
      <c r="B132">
        <v>270.57998700000002</v>
      </c>
      <c r="C132">
        <v>271.75</v>
      </c>
      <c r="D132">
        <v>257.41000400000001</v>
      </c>
      <c r="E132">
        <v>265.01001000000002</v>
      </c>
      <c r="F132">
        <v>265.01001000000002</v>
      </c>
      <c r="G132">
        <v>14000600</v>
      </c>
      <c r="I132">
        <f t="shared" ref="I132:I195" si="6">(F132-F131)/F131</f>
        <v>-4.2213278093076782E-2</v>
      </c>
      <c r="J132">
        <v>0</v>
      </c>
      <c r="K132">
        <f t="shared" ref="K132:K195" si="7">I132-J132</f>
        <v>-4.2213278093076782E-2</v>
      </c>
      <c r="L132">
        <f t="shared" ref="L132:L195" si="8">100*K132</f>
        <v>-4.2213278093076783</v>
      </c>
      <c r="M132">
        <v>-3.7</v>
      </c>
    </row>
    <row r="133" spans="1:13" x14ac:dyDescent="0.2">
      <c r="A133" s="1">
        <v>44078</v>
      </c>
      <c r="B133">
        <v>262.98001099999999</v>
      </c>
      <c r="C133">
        <v>265.67001299999998</v>
      </c>
      <c r="D133">
        <v>243.199997</v>
      </c>
      <c r="E133">
        <v>254.699997</v>
      </c>
      <c r="F133">
        <v>254.699997</v>
      </c>
      <c r="G133">
        <v>14374300</v>
      </c>
      <c r="I133">
        <f t="shared" si="6"/>
        <v>-3.8904239881354011E-2</v>
      </c>
      <c r="J133">
        <v>0</v>
      </c>
      <c r="K133">
        <f t="shared" si="7"/>
        <v>-3.8904239881354011E-2</v>
      </c>
      <c r="L133">
        <f t="shared" si="8"/>
        <v>-3.8904239881354012</v>
      </c>
      <c r="M133">
        <v>-0.87</v>
      </c>
    </row>
    <row r="134" spans="1:13" x14ac:dyDescent="0.2">
      <c r="A134" s="1">
        <v>44082</v>
      </c>
      <c r="B134">
        <v>240.570007</v>
      </c>
      <c r="C134">
        <v>253.679993</v>
      </c>
      <c r="D134">
        <v>240.13999899999999</v>
      </c>
      <c r="E134">
        <v>241.270004</v>
      </c>
      <c r="F134">
        <v>241.270004</v>
      </c>
      <c r="G134">
        <v>15229600</v>
      </c>
      <c r="I134">
        <f t="shared" si="6"/>
        <v>-5.2728673569634933E-2</v>
      </c>
      <c r="J134">
        <v>0</v>
      </c>
      <c r="K134">
        <f t="shared" si="7"/>
        <v>-5.2728673569634933E-2</v>
      </c>
      <c r="L134">
        <f t="shared" si="8"/>
        <v>-5.2728673569634932</v>
      </c>
      <c r="M134">
        <v>-2.91</v>
      </c>
    </row>
    <row r="135" spans="1:13" x14ac:dyDescent="0.2">
      <c r="A135" s="1">
        <v>44083</v>
      </c>
      <c r="B135">
        <v>246.39999399999999</v>
      </c>
      <c r="C135">
        <v>253.449997</v>
      </c>
      <c r="D135">
        <v>242.96000699999999</v>
      </c>
      <c r="E135">
        <v>250.429993</v>
      </c>
      <c r="F135">
        <v>250.429993</v>
      </c>
      <c r="G135">
        <v>9988600</v>
      </c>
      <c r="I135">
        <f t="shared" si="6"/>
        <v>3.7965718274701049E-2</v>
      </c>
      <c r="J135">
        <v>0</v>
      </c>
      <c r="K135">
        <f t="shared" si="7"/>
        <v>3.7965718274701049E-2</v>
      </c>
      <c r="L135">
        <f t="shared" si="8"/>
        <v>3.796571827470105</v>
      </c>
      <c r="M135">
        <v>2.0699999999999998</v>
      </c>
    </row>
    <row r="136" spans="1:13" x14ac:dyDescent="0.2">
      <c r="A136" s="1">
        <v>44084</v>
      </c>
      <c r="B136">
        <v>254.80999800000001</v>
      </c>
      <c r="C136">
        <v>256.51001000000002</v>
      </c>
      <c r="D136">
        <v>246.970001</v>
      </c>
      <c r="E136">
        <v>247.800003</v>
      </c>
      <c r="F136">
        <v>247.800003</v>
      </c>
      <c r="G136">
        <v>5945000</v>
      </c>
      <c r="I136">
        <f t="shared" si="6"/>
        <v>-1.0501897031159491E-2</v>
      </c>
      <c r="J136">
        <v>0</v>
      </c>
      <c r="K136">
        <f t="shared" si="7"/>
        <v>-1.0501897031159491E-2</v>
      </c>
      <c r="L136">
        <f t="shared" si="8"/>
        <v>-1.0501897031159491</v>
      </c>
      <c r="M136">
        <v>-1.64</v>
      </c>
    </row>
    <row r="137" spans="1:13" x14ac:dyDescent="0.2">
      <c r="A137" s="1">
        <v>44085</v>
      </c>
      <c r="B137">
        <v>250.720001</v>
      </c>
      <c r="C137">
        <v>251.300003</v>
      </c>
      <c r="D137">
        <v>239.449997</v>
      </c>
      <c r="E137">
        <v>243.10000600000001</v>
      </c>
      <c r="F137">
        <v>243.10000600000001</v>
      </c>
      <c r="G137">
        <v>5455200</v>
      </c>
      <c r="I137">
        <f t="shared" si="6"/>
        <v>-1.8966896461256284E-2</v>
      </c>
      <c r="J137">
        <v>0</v>
      </c>
      <c r="K137">
        <f t="shared" si="7"/>
        <v>-1.8966896461256284E-2</v>
      </c>
      <c r="L137">
        <f t="shared" si="8"/>
        <v>-1.8966896461256284</v>
      </c>
      <c r="M137">
        <v>-0.06</v>
      </c>
    </row>
    <row r="138" spans="1:13" x14ac:dyDescent="0.2">
      <c r="A138" s="1">
        <v>44088</v>
      </c>
      <c r="B138">
        <v>246.30999800000001</v>
      </c>
      <c r="C138">
        <v>248.86999499999999</v>
      </c>
      <c r="D138">
        <v>244.03999300000001</v>
      </c>
      <c r="E138">
        <v>246.63999899999999</v>
      </c>
      <c r="F138">
        <v>246.63999899999999</v>
      </c>
      <c r="G138">
        <v>4255200</v>
      </c>
      <c r="I138">
        <f t="shared" si="6"/>
        <v>1.4561879525416306E-2</v>
      </c>
      <c r="J138">
        <v>0</v>
      </c>
      <c r="K138">
        <f t="shared" si="7"/>
        <v>1.4561879525416306E-2</v>
      </c>
      <c r="L138">
        <f t="shared" si="8"/>
        <v>1.4561879525416306</v>
      </c>
      <c r="M138">
        <v>1.59</v>
      </c>
    </row>
    <row r="139" spans="1:13" x14ac:dyDescent="0.2">
      <c r="A139" s="1">
        <v>44089</v>
      </c>
      <c r="B139">
        <v>251.36999499999999</v>
      </c>
      <c r="C139">
        <v>251.94000199999999</v>
      </c>
      <c r="D139">
        <v>248.509995</v>
      </c>
      <c r="E139">
        <v>251.679993</v>
      </c>
      <c r="F139">
        <v>251.679993</v>
      </c>
      <c r="G139">
        <v>4133600</v>
      </c>
      <c r="I139">
        <f t="shared" si="6"/>
        <v>2.0434617338771589E-2</v>
      </c>
      <c r="J139">
        <v>0</v>
      </c>
      <c r="K139">
        <f t="shared" si="7"/>
        <v>2.0434617338771589E-2</v>
      </c>
      <c r="L139">
        <f t="shared" si="8"/>
        <v>2.0434617338771588</v>
      </c>
      <c r="M139">
        <v>0.56999999999999995</v>
      </c>
    </row>
    <row r="140" spans="1:13" x14ac:dyDescent="0.2">
      <c r="A140" s="1">
        <v>44090</v>
      </c>
      <c r="B140">
        <v>254.66999799999999</v>
      </c>
      <c r="C140">
        <v>255.429993</v>
      </c>
      <c r="D140">
        <v>250.229996</v>
      </c>
      <c r="E140">
        <v>250.60000600000001</v>
      </c>
      <c r="F140">
        <v>250.60000600000001</v>
      </c>
      <c r="G140">
        <v>5441200</v>
      </c>
      <c r="I140">
        <f t="shared" si="6"/>
        <v>-4.2911118485289713E-3</v>
      </c>
      <c r="J140">
        <v>0</v>
      </c>
      <c r="K140">
        <f t="shared" si="7"/>
        <v>-4.2911118485289713E-3</v>
      </c>
      <c r="L140">
        <f t="shared" si="8"/>
        <v>-0.42911118485289712</v>
      </c>
      <c r="M140">
        <v>-0.39</v>
      </c>
    </row>
    <row r="141" spans="1:13" x14ac:dyDescent="0.2">
      <c r="A141" s="1">
        <v>44091</v>
      </c>
      <c r="B141">
        <v>246.11999499999999</v>
      </c>
      <c r="C141">
        <v>248.820007</v>
      </c>
      <c r="D141">
        <v>241.30999800000001</v>
      </c>
      <c r="E141">
        <v>244.529999</v>
      </c>
      <c r="F141">
        <v>244.529999</v>
      </c>
      <c r="G141">
        <v>5279500</v>
      </c>
      <c r="I141">
        <f t="shared" si="6"/>
        <v>-2.4221894870984174E-2</v>
      </c>
      <c r="J141">
        <v>0</v>
      </c>
      <c r="K141">
        <f t="shared" si="7"/>
        <v>-2.4221894870984174E-2</v>
      </c>
      <c r="L141">
        <f t="shared" si="8"/>
        <v>-2.4221894870984175</v>
      </c>
      <c r="M141">
        <v>-0.85</v>
      </c>
    </row>
    <row r="142" spans="1:13" x14ac:dyDescent="0.2">
      <c r="A142" s="1">
        <v>44092</v>
      </c>
      <c r="B142">
        <v>245.13000500000001</v>
      </c>
      <c r="C142">
        <v>248.11000100000001</v>
      </c>
      <c r="D142">
        <v>238.71000699999999</v>
      </c>
      <c r="E142">
        <v>242.779999</v>
      </c>
      <c r="F142">
        <v>242.779999</v>
      </c>
      <c r="G142">
        <v>6595600</v>
      </c>
      <c r="I142">
        <f t="shared" si="6"/>
        <v>-7.1565861332212252E-3</v>
      </c>
      <c r="J142">
        <v>0</v>
      </c>
      <c r="K142">
        <f t="shared" si="7"/>
        <v>-7.1565861332212252E-3</v>
      </c>
      <c r="L142">
        <f t="shared" si="8"/>
        <v>-0.71565861332212255</v>
      </c>
      <c r="M142">
        <v>-0.88</v>
      </c>
    </row>
    <row r="143" spans="1:13" x14ac:dyDescent="0.2">
      <c r="A143" s="1">
        <v>44095</v>
      </c>
      <c r="B143">
        <v>238.970001</v>
      </c>
      <c r="C143">
        <v>245.13000500000001</v>
      </c>
      <c r="D143">
        <v>236.800003</v>
      </c>
      <c r="E143">
        <v>245.050003</v>
      </c>
      <c r="F143">
        <v>245.050003</v>
      </c>
      <c r="G143">
        <v>5561600</v>
      </c>
      <c r="I143">
        <f t="shared" si="6"/>
        <v>9.3500453470221831E-3</v>
      </c>
      <c r="J143">
        <v>0</v>
      </c>
      <c r="K143">
        <f t="shared" si="7"/>
        <v>9.3500453470221831E-3</v>
      </c>
      <c r="L143">
        <f t="shared" si="8"/>
        <v>0.93500453470221834</v>
      </c>
      <c r="M143">
        <v>-1.08</v>
      </c>
    </row>
    <row r="144" spans="1:13" x14ac:dyDescent="0.2">
      <c r="A144" s="1">
        <v>44096</v>
      </c>
      <c r="B144">
        <v>246.740005</v>
      </c>
      <c r="C144">
        <v>248.570007</v>
      </c>
      <c r="D144">
        <v>241.259995</v>
      </c>
      <c r="E144">
        <v>247.779999</v>
      </c>
      <c r="F144">
        <v>247.779999</v>
      </c>
      <c r="G144">
        <v>3600800</v>
      </c>
      <c r="I144">
        <f t="shared" si="6"/>
        <v>1.1140567094790037E-2</v>
      </c>
      <c r="J144">
        <v>0</v>
      </c>
      <c r="K144">
        <f t="shared" si="7"/>
        <v>1.1140567094790037E-2</v>
      </c>
      <c r="L144">
        <f t="shared" si="8"/>
        <v>1.1140567094790037</v>
      </c>
      <c r="M144">
        <v>1.02</v>
      </c>
    </row>
    <row r="145" spans="1:13" x14ac:dyDescent="0.2">
      <c r="A145" s="1">
        <v>44097</v>
      </c>
      <c r="B145">
        <v>248.490005</v>
      </c>
      <c r="C145">
        <v>248.770004</v>
      </c>
      <c r="D145">
        <v>235.35000600000001</v>
      </c>
      <c r="E145">
        <v>235.990005</v>
      </c>
      <c r="F145">
        <v>235.990005</v>
      </c>
      <c r="G145">
        <v>7507900</v>
      </c>
      <c r="I145">
        <f t="shared" si="6"/>
        <v>-4.7582508869087561E-2</v>
      </c>
      <c r="J145">
        <v>0</v>
      </c>
      <c r="K145">
        <f t="shared" si="7"/>
        <v>-4.7582508869087561E-2</v>
      </c>
      <c r="L145">
        <f t="shared" si="8"/>
        <v>-4.7582508869087565</v>
      </c>
      <c r="M145">
        <v>-2.48</v>
      </c>
    </row>
    <row r="146" spans="1:13" x14ac:dyDescent="0.2">
      <c r="A146" s="1">
        <v>44098</v>
      </c>
      <c r="B146">
        <v>235.83999600000001</v>
      </c>
      <c r="C146">
        <v>239.96000699999999</v>
      </c>
      <c r="D146">
        <v>233.63000500000001</v>
      </c>
      <c r="E146">
        <v>237.550003</v>
      </c>
      <c r="F146">
        <v>237.550003</v>
      </c>
      <c r="G146">
        <v>4166800</v>
      </c>
      <c r="I146">
        <f t="shared" si="6"/>
        <v>6.6104409803288376E-3</v>
      </c>
      <c r="J146">
        <v>0</v>
      </c>
      <c r="K146">
        <f t="shared" si="7"/>
        <v>6.6104409803288376E-3</v>
      </c>
      <c r="L146">
        <f t="shared" si="8"/>
        <v>0.66104409803288378</v>
      </c>
      <c r="M146">
        <v>0.25</v>
      </c>
    </row>
    <row r="147" spans="1:13" x14ac:dyDescent="0.2">
      <c r="A147" s="1">
        <v>44099</v>
      </c>
      <c r="B147">
        <v>237.38999899999999</v>
      </c>
      <c r="C147">
        <v>243.949997</v>
      </c>
      <c r="D147">
        <v>235.050003</v>
      </c>
      <c r="E147">
        <v>242.740005</v>
      </c>
      <c r="F147">
        <v>242.740005</v>
      </c>
      <c r="G147">
        <v>5117800</v>
      </c>
      <c r="I147">
        <f t="shared" si="6"/>
        <v>2.1848040136627542E-2</v>
      </c>
      <c r="J147">
        <v>0</v>
      </c>
      <c r="K147">
        <f t="shared" si="7"/>
        <v>2.1848040136627542E-2</v>
      </c>
      <c r="L147">
        <f t="shared" si="8"/>
        <v>2.1848040136627542</v>
      </c>
      <c r="M147">
        <v>1.72</v>
      </c>
    </row>
    <row r="148" spans="1:13" x14ac:dyDescent="0.2">
      <c r="A148" s="1">
        <v>44102</v>
      </c>
      <c r="B148">
        <v>247.55999800000001</v>
      </c>
      <c r="C148">
        <v>248.58000200000001</v>
      </c>
      <c r="D148">
        <v>242.21000699999999</v>
      </c>
      <c r="E148">
        <v>246.66999799999999</v>
      </c>
      <c r="F148">
        <v>246.66999799999999</v>
      </c>
      <c r="G148">
        <v>4088300</v>
      </c>
      <c r="I148">
        <f t="shared" si="6"/>
        <v>1.6190133142660174E-2</v>
      </c>
      <c r="J148">
        <v>0</v>
      </c>
      <c r="K148">
        <f t="shared" si="7"/>
        <v>1.6190133142660174E-2</v>
      </c>
      <c r="L148">
        <f t="shared" si="8"/>
        <v>1.6190133142660175</v>
      </c>
      <c r="M148">
        <v>1.66</v>
      </c>
    </row>
    <row r="149" spans="1:13" x14ac:dyDescent="0.2">
      <c r="A149" s="1">
        <v>44103</v>
      </c>
      <c r="B149">
        <v>245.259995</v>
      </c>
      <c r="C149">
        <v>247.89999399999999</v>
      </c>
      <c r="D149">
        <v>244.5</v>
      </c>
      <c r="E149">
        <v>247.449997</v>
      </c>
      <c r="F149">
        <v>247.449997</v>
      </c>
      <c r="G149">
        <v>3983700</v>
      </c>
      <c r="I149">
        <f t="shared" si="6"/>
        <v>3.162115402457674E-3</v>
      </c>
      <c r="J149">
        <v>0</v>
      </c>
      <c r="K149">
        <f t="shared" si="7"/>
        <v>3.162115402457674E-3</v>
      </c>
      <c r="L149">
        <f t="shared" si="8"/>
        <v>0.31621154024576742</v>
      </c>
      <c r="M149">
        <v>-0.42</v>
      </c>
    </row>
    <row r="150" spans="1:13" x14ac:dyDescent="0.2">
      <c r="A150" s="1">
        <v>44104</v>
      </c>
      <c r="B150">
        <v>246.64999399999999</v>
      </c>
      <c r="C150">
        <v>255.41000399999999</v>
      </c>
      <c r="D150">
        <v>246.220001</v>
      </c>
      <c r="E150">
        <v>251.320007</v>
      </c>
      <c r="F150">
        <v>251.320007</v>
      </c>
      <c r="G150">
        <v>8188500</v>
      </c>
      <c r="I150">
        <f t="shared" si="6"/>
        <v>1.5639563737800361E-2</v>
      </c>
      <c r="J150">
        <v>0</v>
      </c>
      <c r="K150">
        <f t="shared" si="7"/>
        <v>1.5639563737800361E-2</v>
      </c>
      <c r="L150">
        <f t="shared" si="8"/>
        <v>1.5639563737800362</v>
      </c>
      <c r="M150">
        <v>0.79</v>
      </c>
    </row>
    <row r="151" spans="1:13" x14ac:dyDescent="0.2">
      <c r="A151" s="1">
        <v>44105</v>
      </c>
      <c r="B151">
        <v>253.179993</v>
      </c>
      <c r="C151">
        <v>254.66999799999999</v>
      </c>
      <c r="D151">
        <v>250.80999800000001</v>
      </c>
      <c r="E151">
        <v>253.449997</v>
      </c>
      <c r="F151">
        <v>253.449997</v>
      </c>
      <c r="G151">
        <v>4318000</v>
      </c>
      <c r="I151">
        <f t="shared" si="6"/>
        <v>8.4752106504596431E-3</v>
      </c>
      <c r="J151">
        <v>0</v>
      </c>
      <c r="K151">
        <f t="shared" si="7"/>
        <v>8.4752106504596431E-3</v>
      </c>
      <c r="L151">
        <f t="shared" si="8"/>
        <v>0.84752106504596436</v>
      </c>
      <c r="M151">
        <v>0.79</v>
      </c>
    </row>
    <row r="152" spans="1:13" x14ac:dyDescent="0.2">
      <c r="A152" s="1">
        <v>44106</v>
      </c>
      <c r="B152">
        <v>249.75</v>
      </c>
      <c r="C152">
        <v>254.949997</v>
      </c>
      <c r="D152">
        <v>247.21000699999999</v>
      </c>
      <c r="E152">
        <v>247.85000600000001</v>
      </c>
      <c r="F152">
        <v>247.85000600000001</v>
      </c>
      <c r="G152">
        <v>4494500</v>
      </c>
      <c r="I152">
        <f t="shared" si="6"/>
        <v>-2.2095052540087378E-2</v>
      </c>
      <c r="J152">
        <v>0</v>
      </c>
      <c r="K152">
        <f t="shared" si="7"/>
        <v>-2.2095052540087378E-2</v>
      </c>
      <c r="L152">
        <f t="shared" si="8"/>
        <v>-2.2095052540087377</v>
      </c>
      <c r="M152">
        <v>-0.96</v>
      </c>
    </row>
    <row r="153" spans="1:13" x14ac:dyDescent="0.2">
      <c r="A153" s="1">
        <v>44109</v>
      </c>
      <c r="B153">
        <v>250</v>
      </c>
      <c r="C153">
        <v>253.279999</v>
      </c>
      <c r="D153">
        <v>249</v>
      </c>
      <c r="E153">
        <v>251.529999</v>
      </c>
      <c r="F153">
        <v>251.529999</v>
      </c>
      <c r="G153">
        <v>3403500</v>
      </c>
      <c r="I153">
        <f t="shared" si="6"/>
        <v>1.4847661532838518E-2</v>
      </c>
      <c r="J153">
        <v>0</v>
      </c>
      <c r="K153">
        <f t="shared" si="7"/>
        <v>1.4847661532838518E-2</v>
      </c>
      <c r="L153">
        <f t="shared" si="8"/>
        <v>1.4847661532838519</v>
      </c>
      <c r="M153">
        <v>1.93</v>
      </c>
    </row>
    <row r="154" spans="1:13" x14ac:dyDescent="0.2">
      <c r="A154" s="1">
        <v>44110</v>
      </c>
      <c r="B154">
        <v>252.729996</v>
      </c>
      <c r="C154">
        <v>257.290009</v>
      </c>
      <c r="D154">
        <v>249</v>
      </c>
      <c r="E154">
        <v>250.13999899999999</v>
      </c>
      <c r="F154">
        <v>250.13999899999999</v>
      </c>
      <c r="G154">
        <v>4448100</v>
      </c>
      <c r="I154">
        <f t="shared" si="6"/>
        <v>-5.5261798017182621E-3</v>
      </c>
      <c r="J154">
        <v>0</v>
      </c>
      <c r="K154">
        <f t="shared" si="7"/>
        <v>-5.5261798017182621E-3</v>
      </c>
      <c r="L154">
        <f t="shared" si="8"/>
        <v>-0.55261798017182617</v>
      </c>
      <c r="M154">
        <v>-1.28</v>
      </c>
    </row>
    <row r="155" spans="1:13" x14ac:dyDescent="0.2">
      <c r="A155" s="1">
        <v>44111</v>
      </c>
      <c r="B155">
        <v>252.199997</v>
      </c>
      <c r="C155">
        <v>260.73998999999998</v>
      </c>
      <c r="D155">
        <v>252.199997</v>
      </c>
      <c r="E155">
        <v>259.98001099999999</v>
      </c>
      <c r="F155">
        <v>259.98001099999999</v>
      </c>
      <c r="G155">
        <v>4963200</v>
      </c>
      <c r="I155">
        <f t="shared" si="6"/>
        <v>3.933801886678668E-2</v>
      </c>
      <c r="J155">
        <v>0</v>
      </c>
      <c r="K155">
        <f t="shared" si="7"/>
        <v>3.933801886678668E-2</v>
      </c>
      <c r="L155">
        <f t="shared" si="8"/>
        <v>3.9338018866786681</v>
      </c>
      <c r="M155">
        <v>1.84</v>
      </c>
    </row>
    <row r="156" spans="1:13" x14ac:dyDescent="0.2">
      <c r="A156" s="1">
        <v>44112</v>
      </c>
      <c r="B156">
        <v>264.20001200000002</v>
      </c>
      <c r="C156">
        <v>264.61999500000002</v>
      </c>
      <c r="D156">
        <v>257.07998700000002</v>
      </c>
      <c r="E156">
        <v>260.22000100000002</v>
      </c>
      <c r="F156">
        <v>260.22000100000002</v>
      </c>
      <c r="G156">
        <v>4150400</v>
      </c>
      <c r="I156">
        <f t="shared" si="6"/>
        <v>9.2310943090172552E-4</v>
      </c>
      <c r="J156">
        <v>0</v>
      </c>
      <c r="K156">
        <f t="shared" si="7"/>
        <v>9.2310943090172552E-4</v>
      </c>
      <c r="L156">
        <f t="shared" si="8"/>
        <v>9.2310943090172556E-2</v>
      </c>
      <c r="M156">
        <v>0.8</v>
      </c>
    </row>
    <row r="157" spans="1:13" x14ac:dyDescent="0.2">
      <c r="A157" s="1">
        <v>44113</v>
      </c>
      <c r="B157">
        <v>262.89999399999999</v>
      </c>
      <c r="C157">
        <v>266.04998799999998</v>
      </c>
      <c r="D157">
        <v>261.5</v>
      </c>
      <c r="E157">
        <v>265.98001099999999</v>
      </c>
      <c r="F157">
        <v>265.98001099999999</v>
      </c>
      <c r="G157">
        <v>4225000</v>
      </c>
      <c r="I157">
        <f t="shared" si="6"/>
        <v>2.2135154783893669E-2</v>
      </c>
      <c r="J157">
        <v>0</v>
      </c>
      <c r="K157">
        <f t="shared" si="7"/>
        <v>2.2135154783893669E-2</v>
      </c>
      <c r="L157">
        <f t="shared" si="8"/>
        <v>2.2135154783893669</v>
      </c>
      <c r="M157">
        <v>0.93</v>
      </c>
    </row>
    <row r="158" spans="1:13" x14ac:dyDescent="0.2">
      <c r="A158" s="1">
        <v>44116</v>
      </c>
      <c r="B158">
        <v>270</v>
      </c>
      <c r="C158">
        <v>270</v>
      </c>
      <c r="D158">
        <v>265.290009</v>
      </c>
      <c r="E158">
        <v>267.07000699999998</v>
      </c>
      <c r="F158">
        <v>267.07000699999998</v>
      </c>
      <c r="G158">
        <v>4317000</v>
      </c>
      <c r="I158">
        <f t="shared" si="6"/>
        <v>4.0980372769440377E-3</v>
      </c>
      <c r="J158">
        <v>0</v>
      </c>
      <c r="K158">
        <f t="shared" si="7"/>
        <v>4.0980372769440377E-3</v>
      </c>
      <c r="L158">
        <f t="shared" si="8"/>
        <v>0.40980372769440376</v>
      </c>
      <c r="M158">
        <v>1.53</v>
      </c>
    </row>
    <row r="159" spans="1:13" x14ac:dyDescent="0.2">
      <c r="A159" s="1">
        <v>44117</v>
      </c>
      <c r="B159">
        <v>266.42001299999998</v>
      </c>
      <c r="C159">
        <v>268.790009</v>
      </c>
      <c r="D159">
        <v>264.23001099999999</v>
      </c>
      <c r="E159">
        <v>266.82998700000002</v>
      </c>
      <c r="F159">
        <v>266.82998700000002</v>
      </c>
      <c r="G159">
        <v>3713200</v>
      </c>
      <c r="I159">
        <f t="shared" si="6"/>
        <v>-8.9871566895925769E-4</v>
      </c>
      <c r="J159">
        <v>0</v>
      </c>
      <c r="K159">
        <f t="shared" si="7"/>
        <v>-8.9871566895925769E-4</v>
      </c>
      <c r="L159">
        <f t="shared" si="8"/>
        <v>-8.9871566895925764E-2</v>
      </c>
      <c r="M159">
        <v>-0.41</v>
      </c>
    </row>
    <row r="160" spans="1:13" x14ac:dyDescent="0.2">
      <c r="A160" s="1">
        <v>44118</v>
      </c>
      <c r="B160">
        <v>270</v>
      </c>
      <c r="C160">
        <v>270.16000400000001</v>
      </c>
      <c r="D160">
        <v>258.75</v>
      </c>
      <c r="E160">
        <v>261.82998700000002</v>
      </c>
      <c r="F160">
        <v>261.82998700000002</v>
      </c>
      <c r="G160">
        <v>5133100</v>
      </c>
      <c r="I160">
        <f t="shared" si="6"/>
        <v>-1.8738523567817734E-2</v>
      </c>
      <c r="J160">
        <v>0</v>
      </c>
      <c r="K160">
        <f t="shared" si="7"/>
        <v>-1.8738523567817734E-2</v>
      </c>
      <c r="L160">
        <f t="shared" si="8"/>
        <v>-1.8738523567817733</v>
      </c>
      <c r="M160">
        <v>-0.65</v>
      </c>
    </row>
    <row r="161" spans="1:13" x14ac:dyDescent="0.2">
      <c r="A161" s="1">
        <v>44119</v>
      </c>
      <c r="B161">
        <v>258.10998499999999</v>
      </c>
      <c r="C161">
        <v>260.51998900000001</v>
      </c>
      <c r="D161">
        <v>254.020004</v>
      </c>
      <c r="E161">
        <v>257.72000100000002</v>
      </c>
      <c r="F161">
        <v>257.72000100000002</v>
      </c>
      <c r="G161">
        <v>5256800</v>
      </c>
      <c r="I161">
        <f t="shared" si="6"/>
        <v>-1.5697155421697331E-2</v>
      </c>
      <c r="J161">
        <v>0</v>
      </c>
      <c r="K161">
        <f t="shared" si="7"/>
        <v>-1.5697155421697331E-2</v>
      </c>
      <c r="L161">
        <f t="shared" si="8"/>
        <v>-1.5697155421697331</v>
      </c>
      <c r="M161">
        <v>-0.08</v>
      </c>
    </row>
    <row r="162" spans="1:13" x14ac:dyDescent="0.2">
      <c r="A162" s="1">
        <v>44120</v>
      </c>
      <c r="B162">
        <v>259.23998999999998</v>
      </c>
      <c r="C162">
        <v>262.51998900000001</v>
      </c>
      <c r="D162">
        <v>258.48998999999998</v>
      </c>
      <c r="E162">
        <v>258.54998799999998</v>
      </c>
      <c r="F162">
        <v>258.54998799999998</v>
      </c>
      <c r="G162">
        <v>3092300</v>
      </c>
      <c r="I162">
        <f t="shared" si="6"/>
        <v>3.2204989786569185E-3</v>
      </c>
      <c r="J162">
        <v>0</v>
      </c>
      <c r="K162">
        <f t="shared" si="7"/>
        <v>3.2204989786569185E-3</v>
      </c>
      <c r="L162">
        <f t="shared" si="8"/>
        <v>0.32204989786569188</v>
      </c>
      <c r="M162">
        <v>-0.06</v>
      </c>
    </row>
    <row r="163" spans="1:13" x14ac:dyDescent="0.2">
      <c r="A163" s="1">
        <v>44123</v>
      </c>
      <c r="B163">
        <v>259.76001000000002</v>
      </c>
      <c r="C163">
        <v>261.48001099999999</v>
      </c>
      <c r="D163">
        <v>254.5</v>
      </c>
      <c r="E163">
        <v>255.009995</v>
      </c>
      <c r="F163">
        <v>255.009995</v>
      </c>
      <c r="G163">
        <v>3242300</v>
      </c>
      <c r="I163">
        <f t="shared" si="6"/>
        <v>-1.3691715970994289E-2</v>
      </c>
      <c r="J163">
        <v>0</v>
      </c>
      <c r="K163">
        <f t="shared" si="7"/>
        <v>-1.3691715970994289E-2</v>
      </c>
      <c r="L163">
        <f t="shared" si="8"/>
        <v>-1.3691715970994289</v>
      </c>
      <c r="M163">
        <v>-1.53</v>
      </c>
    </row>
    <row r="164" spans="1:13" x14ac:dyDescent="0.2">
      <c r="A164" s="1">
        <v>44124</v>
      </c>
      <c r="B164">
        <v>256.11999500000002</v>
      </c>
      <c r="C164">
        <v>259.17999300000002</v>
      </c>
      <c r="D164">
        <v>254.050003</v>
      </c>
      <c r="E164">
        <v>255.970001</v>
      </c>
      <c r="F164">
        <v>255.970001</v>
      </c>
      <c r="G164">
        <v>2989300</v>
      </c>
      <c r="I164">
        <f t="shared" si="6"/>
        <v>3.7645818549190309E-3</v>
      </c>
      <c r="J164">
        <v>0</v>
      </c>
      <c r="K164">
        <f t="shared" si="7"/>
        <v>3.7645818549190309E-3</v>
      </c>
      <c r="L164">
        <f t="shared" si="8"/>
        <v>0.37645818549190307</v>
      </c>
      <c r="M164">
        <v>0.34</v>
      </c>
    </row>
    <row r="165" spans="1:13" x14ac:dyDescent="0.2">
      <c r="A165" s="1">
        <v>44125</v>
      </c>
      <c r="B165">
        <v>256.45001200000002</v>
      </c>
      <c r="C165">
        <v>258.30999800000001</v>
      </c>
      <c r="D165">
        <v>251.85000600000001</v>
      </c>
      <c r="E165">
        <v>254.229996</v>
      </c>
      <c r="F165">
        <v>254.229996</v>
      </c>
      <c r="G165">
        <v>2794000</v>
      </c>
      <c r="I165">
        <f t="shared" si="6"/>
        <v>-6.797691109123356E-3</v>
      </c>
      <c r="J165">
        <v>0</v>
      </c>
      <c r="K165">
        <f t="shared" si="7"/>
        <v>-6.797691109123356E-3</v>
      </c>
      <c r="L165">
        <f t="shared" si="8"/>
        <v>-0.67976911091233561</v>
      </c>
      <c r="M165">
        <v>-0.36</v>
      </c>
    </row>
    <row r="166" spans="1:13" x14ac:dyDescent="0.2">
      <c r="A166" s="1">
        <v>44126</v>
      </c>
      <c r="B166">
        <v>253.88999899999999</v>
      </c>
      <c r="C166">
        <v>255.220001</v>
      </c>
      <c r="D166">
        <v>246.13000500000001</v>
      </c>
      <c r="E166">
        <v>249.66999799999999</v>
      </c>
      <c r="F166">
        <v>249.66999799999999</v>
      </c>
      <c r="G166">
        <v>3685700</v>
      </c>
      <c r="I166">
        <f t="shared" si="6"/>
        <v>-1.7936506595390134E-2</v>
      </c>
      <c r="J166">
        <v>0</v>
      </c>
      <c r="K166">
        <f t="shared" si="7"/>
        <v>-1.7936506595390134E-2</v>
      </c>
      <c r="L166">
        <f t="shared" si="8"/>
        <v>-1.7936506595390134</v>
      </c>
      <c r="M166">
        <v>0.67</v>
      </c>
    </row>
    <row r="167" spans="1:13" x14ac:dyDescent="0.2">
      <c r="A167" s="1">
        <v>44127</v>
      </c>
      <c r="B167">
        <v>250.10000600000001</v>
      </c>
      <c r="C167">
        <v>250.570007</v>
      </c>
      <c r="D167">
        <v>246.80999800000001</v>
      </c>
      <c r="E167">
        <v>250.520004</v>
      </c>
      <c r="F167">
        <v>250.520004</v>
      </c>
      <c r="G167">
        <v>3159600</v>
      </c>
      <c r="I167">
        <f t="shared" si="6"/>
        <v>3.4045179909842735E-3</v>
      </c>
      <c r="J167">
        <v>0</v>
      </c>
      <c r="K167">
        <f t="shared" si="7"/>
        <v>3.4045179909842735E-3</v>
      </c>
      <c r="L167">
        <f t="shared" si="8"/>
        <v>0.34045179909842738</v>
      </c>
      <c r="M167">
        <v>0.38</v>
      </c>
    </row>
    <row r="168" spans="1:13" x14ac:dyDescent="0.2">
      <c r="A168" s="1">
        <v>44130</v>
      </c>
      <c r="B168">
        <v>245.300003</v>
      </c>
      <c r="C168">
        <v>248.11000100000001</v>
      </c>
      <c r="D168">
        <v>237.38000500000001</v>
      </c>
      <c r="E168">
        <v>241.979996</v>
      </c>
      <c r="F168">
        <v>241.979996</v>
      </c>
      <c r="G168">
        <v>5864100</v>
      </c>
      <c r="I168">
        <f t="shared" si="6"/>
        <v>-3.408912607234351E-2</v>
      </c>
      <c r="J168">
        <v>0</v>
      </c>
      <c r="K168">
        <f t="shared" si="7"/>
        <v>-3.408912607234351E-2</v>
      </c>
      <c r="L168">
        <f t="shared" si="8"/>
        <v>-3.4089126072343512</v>
      </c>
      <c r="M168">
        <v>-1.85</v>
      </c>
    </row>
    <row r="169" spans="1:13" x14ac:dyDescent="0.2">
      <c r="A169" s="1">
        <v>44131</v>
      </c>
      <c r="B169">
        <v>248</v>
      </c>
      <c r="C169">
        <v>251.75</v>
      </c>
      <c r="D169">
        <v>245.770004</v>
      </c>
      <c r="E169">
        <v>250.300003</v>
      </c>
      <c r="F169">
        <v>250.300003</v>
      </c>
      <c r="G169">
        <v>4285600</v>
      </c>
      <c r="I169">
        <f t="shared" si="6"/>
        <v>3.4383036356443297E-2</v>
      </c>
      <c r="J169">
        <v>0</v>
      </c>
      <c r="K169">
        <f t="shared" si="7"/>
        <v>3.4383036356443297E-2</v>
      </c>
      <c r="L169">
        <f t="shared" si="8"/>
        <v>3.4383036356443295</v>
      </c>
      <c r="M169">
        <v>-0.23</v>
      </c>
    </row>
    <row r="170" spans="1:13" x14ac:dyDescent="0.2">
      <c r="A170" s="1">
        <v>44132</v>
      </c>
      <c r="B170">
        <v>244.60000600000001</v>
      </c>
      <c r="C170">
        <v>245.449997</v>
      </c>
      <c r="D170">
        <v>238.009995</v>
      </c>
      <c r="E170">
        <v>238.429993</v>
      </c>
      <c r="F170">
        <v>238.429993</v>
      </c>
      <c r="G170">
        <v>4425400</v>
      </c>
      <c r="I170">
        <f t="shared" si="6"/>
        <v>-4.7423131672914953E-2</v>
      </c>
      <c r="J170">
        <v>0</v>
      </c>
      <c r="K170">
        <f t="shared" si="7"/>
        <v>-4.7423131672914953E-2</v>
      </c>
      <c r="L170">
        <f t="shared" si="8"/>
        <v>-4.7423131672914955</v>
      </c>
      <c r="M170">
        <v>-3.41</v>
      </c>
    </row>
    <row r="171" spans="1:13" x14ac:dyDescent="0.2">
      <c r="A171" s="1">
        <v>44133</v>
      </c>
      <c r="B171">
        <v>242.520004</v>
      </c>
      <c r="C171">
        <v>242.520004</v>
      </c>
      <c r="D171">
        <v>237.13000500000001</v>
      </c>
      <c r="E171">
        <v>237.13999899999999</v>
      </c>
      <c r="F171">
        <v>237.13999899999999</v>
      </c>
      <c r="G171">
        <v>4589000</v>
      </c>
      <c r="I171">
        <f t="shared" si="6"/>
        <v>-5.4103679816826034E-3</v>
      </c>
      <c r="J171">
        <v>0</v>
      </c>
      <c r="K171">
        <f t="shared" si="7"/>
        <v>-5.4103679816826034E-3</v>
      </c>
      <c r="L171">
        <f t="shared" si="8"/>
        <v>-0.54103679816826034</v>
      </c>
      <c r="M171">
        <v>1.1299999999999999</v>
      </c>
    </row>
    <row r="172" spans="1:13" x14ac:dyDescent="0.2">
      <c r="A172" s="1">
        <v>44134</v>
      </c>
      <c r="B172">
        <v>235.820007</v>
      </c>
      <c r="C172">
        <v>237.75</v>
      </c>
      <c r="D172">
        <v>228.66000399999999</v>
      </c>
      <c r="E172">
        <v>232.270004</v>
      </c>
      <c r="F172">
        <v>232.270004</v>
      </c>
      <c r="G172">
        <v>5741200</v>
      </c>
      <c r="I172">
        <f t="shared" si="6"/>
        <v>-2.0536371006731721E-2</v>
      </c>
      <c r="J172">
        <v>0</v>
      </c>
      <c r="K172">
        <f t="shared" si="7"/>
        <v>-2.0536371006731721E-2</v>
      </c>
      <c r="L172">
        <f t="shared" si="8"/>
        <v>-2.0536371006731722</v>
      </c>
      <c r="M172">
        <v>-1.45</v>
      </c>
    </row>
    <row r="173" spans="1:13" x14ac:dyDescent="0.2">
      <c r="A173" s="1">
        <v>44137</v>
      </c>
      <c r="B173">
        <v>235.11999499999999</v>
      </c>
      <c r="C173">
        <v>238.5</v>
      </c>
      <c r="D173">
        <v>228.990005</v>
      </c>
      <c r="E173">
        <v>232.449997</v>
      </c>
      <c r="F173">
        <v>232.449997</v>
      </c>
      <c r="G173">
        <v>3953400</v>
      </c>
      <c r="I173">
        <f t="shared" si="6"/>
        <v>7.7493002497212719E-4</v>
      </c>
      <c r="J173">
        <v>0</v>
      </c>
      <c r="K173">
        <f t="shared" si="7"/>
        <v>7.7493002497212719E-4</v>
      </c>
      <c r="L173">
        <f t="shared" si="8"/>
        <v>7.7493002497212721E-2</v>
      </c>
      <c r="M173">
        <v>1.17</v>
      </c>
    </row>
    <row r="174" spans="1:13" x14ac:dyDescent="0.2">
      <c r="A174" s="1">
        <v>44138</v>
      </c>
      <c r="B174">
        <v>235.10000600000001</v>
      </c>
      <c r="C174">
        <v>240.94000199999999</v>
      </c>
      <c r="D174">
        <v>233.279999</v>
      </c>
      <c r="E174">
        <v>237.13000500000001</v>
      </c>
      <c r="F174">
        <v>237.13000500000001</v>
      </c>
      <c r="G174">
        <v>4151400</v>
      </c>
      <c r="I174">
        <f t="shared" si="6"/>
        <v>2.0133396689181352E-2</v>
      </c>
      <c r="J174">
        <v>0</v>
      </c>
      <c r="K174">
        <f t="shared" si="7"/>
        <v>2.0133396689181352E-2</v>
      </c>
      <c r="L174">
        <f t="shared" si="8"/>
        <v>2.0133396689181353</v>
      </c>
      <c r="M174">
        <v>1.93</v>
      </c>
    </row>
    <row r="175" spans="1:13" x14ac:dyDescent="0.2">
      <c r="A175" s="1">
        <v>44139</v>
      </c>
      <c r="B175">
        <v>246.020004</v>
      </c>
      <c r="C175">
        <v>252.88000500000001</v>
      </c>
      <c r="D175">
        <v>243.240005</v>
      </c>
      <c r="E175">
        <v>250.740005</v>
      </c>
      <c r="F175">
        <v>250.740005</v>
      </c>
      <c r="G175">
        <v>6505400</v>
      </c>
      <c r="I175">
        <f t="shared" si="6"/>
        <v>5.7394676814517778E-2</v>
      </c>
      <c r="J175">
        <v>0</v>
      </c>
      <c r="K175">
        <f t="shared" si="7"/>
        <v>5.7394676814517778E-2</v>
      </c>
      <c r="L175">
        <f t="shared" si="8"/>
        <v>5.739467681451778</v>
      </c>
      <c r="M175">
        <v>2.25</v>
      </c>
    </row>
    <row r="176" spans="1:13" x14ac:dyDescent="0.2">
      <c r="A176" s="1">
        <v>44140</v>
      </c>
      <c r="B176">
        <v>258.10998499999999</v>
      </c>
      <c r="C176">
        <v>260.92001299999998</v>
      </c>
      <c r="D176">
        <v>255.44000199999999</v>
      </c>
      <c r="E176">
        <v>260.22000100000002</v>
      </c>
      <c r="F176">
        <v>260.22000100000002</v>
      </c>
      <c r="G176">
        <v>8961700</v>
      </c>
      <c r="I176">
        <f t="shared" si="6"/>
        <v>3.7808071352634885E-2</v>
      </c>
      <c r="J176">
        <v>0</v>
      </c>
      <c r="K176">
        <f t="shared" si="7"/>
        <v>3.7808071352634885E-2</v>
      </c>
      <c r="L176">
        <f t="shared" si="8"/>
        <v>3.7808071352634887</v>
      </c>
      <c r="M176">
        <v>2.13</v>
      </c>
    </row>
    <row r="177" spans="1:13" x14ac:dyDescent="0.2">
      <c r="A177" s="1">
        <v>44141</v>
      </c>
      <c r="B177">
        <v>260</v>
      </c>
      <c r="C177">
        <v>261.75</v>
      </c>
      <c r="D177">
        <v>254.490005</v>
      </c>
      <c r="E177">
        <v>260.14999399999999</v>
      </c>
      <c r="F177">
        <v>260.14999399999999</v>
      </c>
      <c r="G177">
        <v>3798600</v>
      </c>
      <c r="I177">
        <f t="shared" si="6"/>
        <v>-2.6903005046115708E-4</v>
      </c>
      <c r="J177">
        <v>0</v>
      </c>
      <c r="K177">
        <f t="shared" si="7"/>
        <v>-2.6903005046115708E-4</v>
      </c>
      <c r="L177">
        <f t="shared" si="8"/>
        <v>-2.6903005046115709E-2</v>
      </c>
      <c r="M177">
        <v>0.01</v>
      </c>
    </row>
    <row r="178" spans="1:13" x14ac:dyDescent="0.2">
      <c r="A178" s="1">
        <v>44144</v>
      </c>
      <c r="B178">
        <v>260.95001200000002</v>
      </c>
      <c r="C178">
        <v>270.92001299999998</v>
      </c>
      <c r="D178">
        <v>257.25</v>
      </c>
      <c r="E178">
        <v>259.27999899999998</v>
      </c>
      <c r="F178">
        <v>259.27999899999998</v>
      </c>
      <c r="G178">
        <v>8777500</v>
      </c>
      <c r="I178">
        <f t="shared" si="6"/>
        <v>-3.3442053433221188E-3</v>
      </c>
      <c r="J178">
        <v>0</v>
      </c>
      <c r="K178">
        <f t="shared" si="7"/>
        <v>-3.3442053433221188E-3</v>
      </c>
      <c r="L178">
        <f t="shared" si="8"/>
        <v>-0.33442053433221186</v>
      </c>
      <c r="M178">
        <v>0.82</v>
      </c>
    </row>
    <row r="179" spans="1:13" x14ac:dyDescent="0.2">
      <c r="A179" s="1">
        <v>44145</v>
      </c>
      <c r="B179">
        <v>258.05999800000001</v>
      </c>
      <c r="C179">
        <v>259</v>
      </c>
      <c r="D179">
        <v>242.89999399999999</v>
      </c>
      <c r="E179">
        <v>247.66000399999999</v>
      </c>
      <c r="F179">
        <v>247.66000399999999</v>
      </c>
      <c r="G179">
        <v>6863200</v>
      </c>
      <c r="I179">
        <f t="shared" si="6"/>
        <v>-4.4816395575502876E-2</v>
      </c>
      <c r="J179">
        <v>0</v>
      </c>
      <c r="K179">
        <f t="shared" si="7"/>
        <v>-4.4816395575502876E-2</v>
      </c>
      <c r="L179">
        <f t="shared" si="8"/>
        <v>-4.4816395575502881</v>
      </c>
      <c r="M179">
        <v>-0.17</v>
      </c>
    </row>
    <row r="180" spans="1:13" x14ac:dyDescent="0.2">
      <c r="A180" s="1">
        <v>44146</v>
      </c>
      <c r="B180">
        <v>253.509995</v>
      </c>
      <c r="C180">
        <v>256.73998999999998</v>
      </c>
      <c r="D180">
        <v>251.21000699999999</v>
      </c>
      <c r="E180">
        <v>254.179993</v>
      </c>
      <c r="F180">
        <v>254.179993</v>
      </c>
      <c r="G180">
        <v>4163400</v>
      </c>
      <c r="I180">
        <f t="shared" si="6"/>
        <v>2.6326370405776178E-2</v>
      </c>
      <c r="J180">
        <v>0</v>
      </c>
      <c r="K180">
        <f t="shared" si="7"/>
        <v>2.6326370405776178E-2</v>
      </c>
      <c r="L180">
        <f t="shared" si="8"/>
        <v>2.6326370405776176</v>
      </c>
      <c r="M180">
        <v>0.88</v>
      </c>
    </row>
    <row r="181" spans="1:13" x14ac:dyDescent="0.2">
      <c r="A181" s="1">
        <v>44147</v>
      </c>
      <c r="B181">
        <v>247.39999399999999</v>
      </c>
      <c r="C181">
        <v>254.970001</v>
      </c>
      <c r="D181">
        <v>246.36000100000001</v>
      </c>
      <c r="E181">
        <v>249.41999799999999</v>
      </c>
      <c r="F181">
        <v>249.41999799999999</v>
      </c>
      <c r="G181">
        <v>5607000</v>
      </c>
      <c r="I181">
        <f t="shared" si="6"/>
        <v>-1.8726867303045382E-2</v>
      </c>
      <c r="J181">
        <v>0</v>
      </c>
      <c r="K181">
        <f t="shared" si="7"/>
        <v>-1.8726867303045382E-2</v>
      </c>
      <c r="L181">
        <f t="shared" si="8"/>
        <v>-1.8726867303045382</v>
      </c>
      <c r="M181">
        <v>-0.94</v>
      </c>
    </row>
    <row r="182" spans="1:13" x14ac:dyDescent="0.2">
      <c r="A182" s="1">
        <v>44148</v>
      </c>
      <c r="B182">
        <v>252.83999600000001</v>
      </c>
      <c r="C182">
        <v>253.78999300000001</v>
      </c>
      <c r="D182">
        <v>247.55999800000001</v>
      </c>
      <c r="E182">
        <v>249.509995</v>
      </c>
      <c r="F182">
        <v>249.509995</v>
      </c>
      <c r="G182">
        <v>5160000</v>
      </c>
      <c r="I182">
        <f t="shared" si="6"/>
        <v>3.6082511715845248E-4</v>
      </c>
      <c r="J182">
        <v>0</v>
      </c>
      <c r="K182">
        <f t="shared" si="7"/>
        <v>3.6082511715845248E-4</v>
      </c>
      <c r="L182">
        <f t="shared" si="8"/>
        <v>3.6082511715845249E-2</v>
      </c>
      <c r="M182">
        <v>1.31</v>
      </c>
    </row>
    <row r="183" spans="1:13" x14ac:dyDescent="0.2">
      <c r="A183" s="1">
        <v>44151</v>
      </c>
      <c r="B183">
        <v>249.520004</v>
      </c>
      <c r="C183">
        <v>253.490005</v>
      </c>
      <c r="D183">
        <v>248.179993</v>
      </c>
      <c r="E183">
        <v>249.88999899999999</v>
      </c>
      <c r="F183">
        <v>249.88999899999999</v>
      </c>
      <c r="G183">
        <v>5712600</v>
      </c>
      <c r="I183">
        <f t="shared" si="6"/>
        <v>1.5230011126407396E-3</v>
      </c>
      <c r="J183">
        <v>0</v>
      </c>
      <c r="K183">
        <f t="shared" si="7"/>
        <v>1.5230011126407396E-3</v>
      </c>
      <c r="L183">
        <f t="shared" si="8"/>
        <v>0.15230011126407395</v>
      </c>
      <c r="M183">
        <v>1.22</v>
      </c>
    </row>
    <row r="184" spans="1:13" x14ac:dyDescent="0.2">
      <c r="A184" s="1">
        <v>44152</v>
      </c>
      <c r="B184">
        <v>253.740005</v>
      </c>
      <c r="C184">
        <v>258.26998900000001</v>
      </c>
      <c r="D184">
        <v>250.46000699999999</v>
      </c>
      <c r="E184">
        <v>256.17001299999998</v>
      </c>
      <c r="F184">
        <v>256.17001299999998</v>
      </c>
      <c r="G184">
        <v>5090700</v>
      </c>
      <c r="I184">
        <f t="shared" si="6"/>
        <v>2.5131113790592293E-2</v>
      </c>
      <c r="J184">
        <v>0</v>
      </c>
      <c r="K184">
        <f t="shared" si="7"/>
        <v>2.5131113790592293E-2</v>
      </c>
      <c r="L184">
        <f t="shared" si="8"/>
        <v>2.5131113790592292</v>
      </c>
      <c r="M184">
        <v>-0.19</v>
      </c>
    </row>
    <row r="185" spans="1:13" x14ac:dyDescent="0.2">
      <c r="A185" s="1">
        <v>44153</v>
      </c>
      <c r="B185">
        <v>256.39999399999999</v>
      </c>
      <c r="C185">
        <v>262.66000400000001</v>
      </c>
      <c r="D185">
        <v>255.85000600000001</v>
      </c>
      <c r="E185">
        <v>257.16000400000001</v>
      </c>
      <c r="F185">
        <v>257.16000400000001</v>
      </c>
      <c r="G185">
        <v>5880500</v>
      </c>
      <c r="I185">
        <f t="shared" si="6"/>
        <v>3.8645858209798815E-3</v>
      </c>
      <c r="J185">
        <v>0</v>
      </c>
      <c r="K185">
        <f t="shared" si="7"/>
        <v>3.8645858209798815E-3</v>
      </c>
      <c r="L185">
        <f t="shared" si="8"/>
        <v>0.38645858209798817</v>
      </c>
      <c r="M185">
        <v>-0.93</v>
      </c>
    </row>
    <row r="186" spans="1:13" x14ac:dyDescent="0.2">
      <c r="A186" s="1">
        <v>44154</v>
      </c>
      <c r="B186">
        <v>256.83999599999999</v>
      </c>
      <c r="C186">
        <v>267.08999599999999</v>
      </c>
      <c r="D186">
        <v>255.66000399999999</v>
      </c>
      <c r="E186">
        <v>264.64999399999999</v>
      </c>
      <c r="F186">
        <v>264.64999399999999</v>
      </c>
      <c r="G186">
        <v>8084600</v>
      </c>
      <c r="I186">
        <f t="shared" si="6"/>
        <v>2.9125796716039782E-2</v>
      </c>
      <c r="J186">
        <v>0</v>
      </c>
      <c r="K186">
        <f t="shared" si="7"/>
        <v>2.9125796716039782E-2</v>
      </c>
      <c r="L186">
        <f t="shared" si="8"/>
        <v>2.9125796716039782</v>
      </c>
      <c r="M186">
        <v>0.59</v>
      </c>
    </row>
    <row r="187" spans="1:13" x14ac:dyDescent="0.2">
      <c r="A187" s="1">
        <v>44155</v>
      </c>
      <c r="B187">
        <v>263.58999599999999</v>
      </c>
      <c r="C187">
        <v>265.01998900000001</v>
      </c>
      <c r="D187">
        <v>257.82000699999998</v>
      </c>
      <c r="E187">
        <v>258.040009</v>
      </c>
      <c r="F187">
        <v>258.040009</v>
      </c>
      <c r="G187">
        <v>7286100</v>
      </c>
      <c r="I187">
        <f t="shared" si="6"/>
        <v>-2.4976327790885929E-2</v>
      </c>
      <c r="J187">
        <v>0</v>
      </c>
      <c r="K187">
        <f t="shared" si="7"/>
        <v>-2.4976327790885929E-2</v>
      </c>
      <c r="L187">
        <f t="shared" si="8"/>
        <v>-2.497632779088593</v>
      </c>
      <c r="M187">
        <v>-0.51</v>
      </c>
    </row>
    <row r="188" spans="1:13" x14ac:dyDescent="0.2">
      <c r="A188" s="1">
        <v>44158</v>
      </c>
      <c r="B188">
        <v>261.23001099999999</v>
      </c>
      <c r="C188">
        <v>261.73998999999998</v>
      </c>
      <c r="D188">
        <v>254.61000100000001</v>
      </c>
      <c r="E188">
        <v>257.64001500000001</v>
      </c>
      <c r="F188">
        <v>257.64001500000001</v>
      </c>
      <c r="G188">
        <v>5383600</v>
      </c>
      <c r="I188">
        <f t="shared" si="6"/>
        <v>-1.5501239577153806E-3</v>
      </c>
      <c r="J188">
        <v>0</v>
      </c>
      <c r="K188">
        <f t="shared" si="7"/>
        <v>-1.5501239577153806E-3</v>
      </c>
      <c r="L188">
        <f t="shared" si="8"/>
        <v>-0.15501239577153805</v>
      </c>
      <c r="M188">
        <v>0.83</v>
      </c>
    </row>
    <row r="189" spans="1:13" x14ac:dyDescent="0.2">
      <c r="A189" s="1">
        <v>44159</v>
      </c>
      <c r="B189">
        <v>260</v>
      </c>
      <c r="C189">
        <v>262.30999800000001</v>
      </c>
      <c r="D189">
        <v>257.82000699999998</v>
      </c>
      <c r="E189">
        <v>260.83999599999999</v>
      </c>
      <c r="F189">
        <v>260.83999599999999</v>
      </c>
      <c r="G189">
        <v>5797300</v>
      </c>
      <c r="I189">
        <f t="shared" si="6"/>
        <v>1.2420357140562888E-2</v>
      </c>
      <c r="J189">
        <v>0</v>
      </c>
      <c r="K189">
        <f t="shared" si="7"/>
        <v>1.2420357140562888E-2</v>
      </c>
      <c r="L189">
        <f t="shared" si="8"/>
        <v>1.2420357140562888</v>
      </c>
      <c r="M189">
        <v>1.56</v>
      </c>
    </row>
    <row r="190" spans="1:13" x14ac:dyDescent="0.2">
      <c r="A190" s="1">
        <v>44160</v>
      </c>
      <c r="B190">
        <v>263.73001099999999</v>
      </c>
      <c r="C190">
        <v>266.10000600000001</v>
      </c>
      <c r="D190">
        <v>245.050003</v>
      </c>
      <c r="E190">
        <v>246.820007</v>
      </c>
      <c r="F190">
        <v>246.820007</v>
      </c>
      <c r="G190">
        <v>26394900</v>
      </c>
      <c r="I190">
        <f t="shared" si="6"/>
        <v>-5.3749383587630407E-2</v>
      </c>
      <c r="J190">
        <v>0</v>
      </c>
      <c r="K190">
        <f t="shared" si="7"/>
        <v>-5.3749383587630407E-2</v>
      </c>
      <c r="L190">
        <f t="shared" si="8"/>
        <v>-5.3749383587630408</v>
      </c>
      <c r="M190">
        <v>0.03</v>
      </c>
    </row>
    <row r="191" spans="1:13" x14ac:dyDescent="0.2">
      <c r="A191" s="1">
        <v>44162</v>
      </c>
      <c r="B191">
        <v>251</v>
      </c>
      <c r="C191">
        <v>251.83999600000001</v>
      </c>
      <c r="D191">
        <v>247.029999</v>
      </c>
      <c r="E191">
        <v>247.63000500000001</v>
      </c>
      <c r="F191">
        <v>247.63000500000001</v>
      </c>
      <c r="G191">
        <v>7395000</v>
      </c>
      <c r="I191">
        <f t="shared" si="6"/>
        <v>3.2817355847494459E-3</v>
      </c>
      <c r="J191">
        <v>0</v>
      </c>
      <c r="K191">
        <f t="shared" si="7"/>
        <v>3.2817355847494459E-3</v>
      </c>
      <c r="L191">
        <f t="shared" si="8"/>
        <v>0.32817355847494462</v>
      </c>
      <c r="M191">
        <v>0.43</v>
      </c>
    </row>
    <row r="192" spans="1:13" x14ac:dyDescent="0.2">
      <c r="A192" s="1">
        <v>44165</v>
      </c>
      <c r="B192">
        <v>245.479996</v>
      </c>
      <c r="C192">
        <v>247.63000500000001</v>
      </c>
      <c r="D192">
        <v>236.070007</v>
      </c>
      <c r="E192">
        <v>245.800003</v>
      </c>
      <c r="F192">
        <v>245.800003</v>
      </c>
      <c r="G192">
        <v>18966400</v>
      </c>
      <c r="I192">
        <f t="shared" si="6"/>
        <v>-7.3900656747957804E-3</v>
      </c>
      <c r="J192">
        <v>0</v>
      </c>
      <c r="K192">
        <f t="shared" si="7"/>
        <v>-7.3900656747957804E-3</v>
      </c>
      <c r="L192">
        <f t="shared" si="8"/>
        <v>-0.73900656747957805</v>
      </c>
      <c r="M192">
        <v>-0.53</v>
      </c>
    </row>
    <row r="193" spans="1:13" x14ac:dyDescent="0.2">
      <c r="A193" s="1">
        <v>44166</v>
      </c>
      <c r="B193">
        <v>245</v>
      </c>
      <c r="C193">
        <v>246.699997</v>
      </c>
      <c r="D193">
        <v>238.699997</v>
      </c>
      <c r="E193">
        <v>241.35000600000001</v>
      </c>
      <c r="F193">
        <v>241.35000600000001</v>
      </c>
      <c r="G193">
        <v>19349100</v>
      </c>
      <c r="I193">
        <f t="shared" si="6"/>
        <v>-1.8104137289209048E-2</v>
      </c>
      <c r="J193">
        <v>0</v>
      </c>
      <c r="K193">
        <f t="shared" si="7"/>
        <v>-1.8104137289209048E-2</v>
      </c>
      <c r="L193">
        <f t="shared" si="8"/>
        <v>-1.8104137289209048</v>
      </c>
      <c r="M193">
        <v>0.98</v>
      </c>
    </row>
    <row r="194" spans="1:13" x14ac:dyDescent="0.2">
      <c r="A194" s="1">
        <v>44167</v>
      </c>
      <c r="B194">
        <v>225.479996</v>
      </c>
      <c r="C194">
        <v>226</v>
      </c>
      <c r="D194">
        <v>215.63000500000001</v>
      </c>
      <c r="E194">
        <v>220.779999</v>
      </c>
      <c r="F194">
        <v>220.779999</v>
      </c>
      <c r="G194">
        <v>52225500</v>
      </c>
      <c r="I194">
        <f t="shared" si="6"/>
        <v>-8.5228947539367383E-2</v>
      </c>
      <c r="J194">
        <v>0</v>
      </c>
      <c r="K194">
        <f t="shared" si="7"/>
        <v>-8.5228947539367383E-2</v>
      </c>
      <c r="L194">
        <f t="shared" si="8"/>
        <v>-8.5228947539367379</v>
      </c>
      <c r="M194">
        <v>0.11</v>
      </c>
    </row>
    <row r="195" spans="1:13" x14ac:dyDescent="0.2">
      <c r="A195" s="1">
        <v>44168</v>
      </c>
      <c r="B195">
        <v>226.11000100000001</v>
      </c>
      <c r="C195">
        <v>226.11000100000001</v>
      </c>
      <c r="D195">
        <v>220.13000500000001</v>
      </c>
      <c r="E195">
        <v>220.970001</v>
      </c>
      <c r="F195">
        <v>220.970001</v>
      </c>
      <c r="G195">
        <v>21395300</v>
      </c>
      <c r="I195">
        <f t="shared" si="6"/>
        <v>8.6059426062409154E-4</v>
      </c>
      <c r="J195">
        <v>0</v>
      </c>
      <c r="K195">
        <f t="shared" si="7"/>
        <v>8.6059426062409154E-4</v>
      </c>
      <c r="L195">
        <f t="shared" si="8"/>
        <v>8.6059426062409156E-2</v>
      </c>
      <c r="M195">
        <v>0.18</v>
      </c>
    </row>
    <row r="196" spans="1:13" x14ac:dyDescent="0.2">
      <c r="A196" s="1">
        <v>44169</v>
      </c>
      <c r="B196">
        <v>223.820007</v>
      </c>
      <c r="C196">
        <v>228.60000600000001</v>
      </c>
      <c r="D196">
        <v>221.820007</v>
      </c>
      <c r="E196">
        <v>225.86000100000001</v>
      </c>
      <c r="F196">
        <v>225.86000100000001</v>
      </c>
      <c r="G196">
        <v>20504800</v>
      </c>
      <c r="I196">
        <f t="shared" ref="I196:I252" si="9">(F196-F195)/F195</f>
        <v>2.2129700764222809E-2</v>
      </c>
      <c r="J196">
        <v>0</v>
      </c>
      <c r="K196">
        <f t="shared" ref="K196:K252" si="10">I196-J196</f>
        <v>2.2129700764222809E-2</v>
      </c>
      <c r="L196">
        <f t="shared" ref="L196:L252" si="11">100*K196</f>
        <v>2.2129700764222808</v>
      </c>
      <c r="M196">
        <v>1.02</v>
      </c>
    </row>
    <row r="197" spans="1:13" x14ac:dyDescent="0.2">
      <c r="A197" s="1">
        <v>44172</v>
      </c>
      <c r="B197">
        <v>228.11000100000001</v>
      </c>
      <c r="C197">
        <v>229.86999499999999</v>
      </c>
      <c r="D197">
        <v>226.25</v>
      </c>
      <c r="E197">
        <v>227.699997</v>
      </c>
      <c r="F197">
        <v>227.699997</v>
      </c>
      <c r="G197">
        <v>12864100</v>
      </c>
      <c r="I197">
        <f t="shared" si="9"/>
        <v>8.1466217650463264E-3</v>
      </c>
      <c r="J197">
        <v>0</v>
      </c>
      <c r="K197">
        <f t="shared" si="10"/>
        <v>8.1466217650463264E-3</v>
      </c>
      <c r="L197">
        <f t="shared" si="11"/>
        <v>0.81466217650463268</v>
      </c>
      <c r="M197">
        <v>0.03</v>
      </c>
    </row>
    <row r="198" spans="1:13" x14ac:dyDescent="0.2">
      <c r="A198" s="1">
        <v>44173</v>
      </c>
      <c r="B198">
        <v>228.64999399999999</v>
      </c>
      <c r="C198">
        <v>229.5</v>
      </c>
      <c r="D198">
        <v>225.66000399999999</v>
      </c>
      <c r="E198">
        <v>227.86000100000001</v>
      </c>
      <c r="F198">
        <v>227.86000100000001</v>
      </c>
      <c r="G198">
        <v>12116800</v>
      </c>
      <c r="I198">
        <f t="shared" si="9"/>
        <v>7.0269653978087196E-4</v>
      </c>
      <c r="J198">
        <v>0</v>
      </c>
      <c r="K198">
        <f t="shared" si="10"/>
        <v>7.0269653978087196E-4</v>
      </c>
      <c r="L198">
        <f t="shared" si="11"/>
        <v>7.0269653978087196E-2</v>
      </c>
      <c r="M198">
        <v>0.47</v>
      </c>
    </row>
    <row r="199" spans="1:13" x14ac:dyDescent="0.2">
      <c r="A199" s="1">
        <v>44174</v>
      </c>
      <c r="B199">
        <v>228.050003</v>
      </c>
      <c r="C199">
        <v>228.83999600000001</v>
      </c>
      <c r="D199">
        <v>220.070007</v>
      </c>
      <c r="E199">
        <v>220.570007</v>
      </c>
      <c r="F199">
        <v>220.570007</v>
      </c>
      <c r="G199">
        <v>15651800</v>
      </c>
      <c r="I199">
        <f t="shared" si="9"/>
        <v>-3.1993302764885032E-2</v>
      </c>
      <c r="J199">
        <v>0</v>
      </c>
      <c r="K199">
        <f t="shared" si="10"/>
        <v>-3.1993302764885032E-2</v>
      </c>
      <c r="L199">
        <f t="shared" si="11"/>
        <v>-3.199330276488503</v>
      </c>
      <c r="M199">
        <v>-1.03</v>
      </c>
    </row>
    <row r="200" spans="1:13" x14ac:dyDescent="0.2">
      <c r="A200" s="1">
        <v>44175</v>
      </c>
      <c r="B200">
        <v>220.570007</v>
      </c>
      <c r="C200">
        <v>224.30999800000001</v>
      </c>
      <c r="D200">
        <v>220.16000399999999</v>
      </c>
      <c r="E200">
        <v>222.91999799999999</v>
      </c>
      <c r="F200">
        <v>222.91999799999999</v>
      </c>
      <c r="G200">
        <v>9258600</v>
      </c>
      <c r="I200">
        <f t="shared" si="9"/>
        <v>1.0654172940203916E-2</v>
      </c>
      <c r="J200">
        <v>0</v>
      </c>
      <c r="K200">
        <f t="shared" si="10"/>
        <v>1.0654172940203916E-2</v>
      </c>
      <c r="L200">
        <f t="shared" si="11"/>
        <v>1.0654172940203916</v>
      </c>
      <c r="M200">
        <v>0.24</v>
      </c>
    </row>
    <row r="201" spans="1:13" x14ac:dyDescent="0.2">
      <c r="A201" s="1">
        <v>44176</v>
      </c>
      <c r="B201">
        <v>221.91999799999999</v>
      </c>
      <c r="C201">
        <v>222.740005</v>
      </c>
      <c r="D201">
        <v>219.979996</v>
      </c>
      <c r="E201">
        <v>222.41999799999999</v>
      </c>
      <c r="F201">
        <v>222.41999799999999</v>
      </c>
      <c r="G201">
        <v>8214400</v>
      </c>
      <c r="I201">
        <f t="shared" si="9"/>
        <v>-2.2429571347833944E-3</v>
      </c>
      <c r="J201">
        <v>0</v>
      </c>
      <c r="K201">
        <f t="shared" si="10"/>
        <v>-2.2429571347833944E-3</v>
      </c>
      <c r="L201">
        <f t="shared" si="11"/>
        <v>-0.22429571347833943</v>
      </c>
      <c r="M201">
        <v>-0.2</v>
      </c>
    </row>
    <row r="202" spans="1:13" x14ac:dyDescent="0.2">
      <c r="A202" s="1">
        <v>44179</v>
      </c>
      <c r="B202">
        <v>223.08999600000001</v>
      </c>
      <c r="C202">
        <v>223.470001</v>
      </c>
      <c r="D202">
        <v>220.449997</v>
      </c>
      <c r="E202">
        <v>221.270004</v>
      </c>
      <c r="F202">
        <v>221.270004</v>
      </c>
      <c r="G202">
        <v>8508500</v>
      </c>
      <c r="I202">
        <f t="shared" si="9"/>
        <v>-5.1703714159730928E-3</v>
      </c>
      <c r="J202">
        <v>0</v>
      </c>
      <c r="K202">
        <f t="shared" si="10"/>
        <v>-5.1703714159730928E-3</v>
      </c>
      <c r="L202">
        <f t="shared" si="11"/>
        <v>-0.51703714159730929</v>
      </c>
      <c r="M202">
        <v>-0.28000000000000003</v>
      </c>
    </row>
    <row r="203" spans="1:13" x14ac:dyDescent="0.2">
      <c r="A203" s="1">
        <v>44180</v>
      </c>
      <c r="B203">
        <v>222.070007</v>
      </c>
      <c r="C203">
        <v>222.13999899999999</v>
      </c>
      <c r="D203">
        <v>218.199997</v>
      </c>
      <c r="E203">
        <v>220.14999399999999</v>
      </c>
      <c r="F203">
        <v>220.14999399999999</v>
      </c>
      <c r="G203">
        <v>10775800</v>
      </c>
      <c r="I203">
        <f t="shared" si="9"/>
        <v>-5.0617344409683643E-3</v>
      </c>
      <c r="J203">
        <v>0</v>
      </c>
      <c r="K203">
        <f t="shared" si="10"/>
        <v>-5.0617344409683643E-3</v>
      </c>
      <c r="L203">
        <f t="shared" si="11"/>
        <v>-0.5061734440968364</v>
      </c>
      <c r="M203">
        <v>1.28</v>
      </c>
    </row>
    <row r="204" spans="1:13" x14ac:dyDescent="0.2">
      <c r="A204" s="1">
        <v>44181</v>
      </c>
      <c r="B204">
        <v>221.479996</v>
      </c>
      <c r="C204">
        <v>224</v>
      </c>
      <c r="D204">
        <v>220.25</v>
      </c>
      <c r="E204">
        <v>223.61999499999999</v>
      </c>
      <c r="F204">
        <v>223.61999499999999</v>
      </c>
      <c r="G204">
        <v>8821400</v>
      </c>
      <c r="I204">
        <f t="shared" si="9"/>
        <v>1.5761985439799724E-2</v>
      </c>
      <c r="J204">
        <v>0</v>
      </c>
      <c r="K204">
        <f t="shared" si="10"/>
        <v>1.5761985439799724E-2</v>
      </c>
      <c r="L204">
        <f t="shared" si="11"/>
        <v>1.5761985439799724</v>
      </c>
      <c r="M204">
        <v>0.17</v>
      </c>
    </row>
    <row r="205" spans="1:13" x14ac:dyDescent="0.2">
      <c r="A205" s="1">
        <v>44182</v>
      </c>
      <c r="B205">
        <v>224.89999399999999</v>
      </c>
      <c r="C205">
        <v>226.729996</v>
      </c>
      <c r="D205">
        <v>224.5</v>
      </c>
      <c r="E205">
        <v>225.91999799999999</v>
      </c>
      <c r="F205">
        <v>225.91999799999999</v>
      </c>
      <c r="G205">
        <v>9946900</v>
      </c>
      <c r="I205">
        <f t="shared" si="9"/>
        <v>1.0285319074441459E-2</v>
      </c>
      <c r="J205">
        <v>0</v>
      </c>
      <c r="K205">
        <f t="shared" si="10"/>
        <v>1.0285319074441459E-2</v>
      </c>
      <c r="L205">
        <f t="shared" si="11"/>
        <v>1.0285319074441459</v>
      </c>
      <c r="M205">
        <v>0.79</v>
      </c>
    </row>
    <row r="206" spans="1:13" x14ac:dyDescent="0.2">
      <c r="A206" s="1">
        <v>44183</v>
      </c>
      <c r="B206">
        <v>227.020004</v>
      </c>
      <c r="C206">
        <v>227.820007</v>
      </c>
      <c r="D206">
        <v>224.39999399999999</v>
      </c>
      <c r="E206">
        <v>227.429993</v>
      </c>
      <c r="F206">
        <v>227.429993</v>
      </c>
      <c r="G206">
        <v>11845400</v>
      </c>
      <c r="I206">
        <f t="shared" si="9"/>
        <v>6.6837597971296176E-3</v>
      </c>
      <c r="J206">
        <v>0</v>
      </c>
      <c r="K206">
        <f t="shared" si="10"/>
        <v>6.6837597971296176E-3</v>
      </c>
      <c r="L206">
        <f t="shared" si="11"/>
        <v>0.66837597971296181</v>
      </c>
      <c r="M206">
        <v>-0.12</v>
      </c>
    </row>
    <row r="207" spans="1:13" x14ac:dyDescent="0.2">
      <c r="A207" s="1">
        <v>44186</v>
      </c>
      <c r="B207">
        <v>224.89999399999999</v>
      </c>
      <c r="C207">
        <v>227.44000199999999</v>
      </c>
      <c r="D207">
        <v>224.71000699999999</v>
      </c>
      <c r="E207">
        <v>226.470001</v>
      </c>
      <c r="F207">
        <v>226.470001</v>
      </c>
      <c r="G207">
        <v>9219000</v>
      </c>
      <c r="I207">
        <f t="shared" si="9"/>
        <v>-4.2210439675825859E-3</v>
      </c>
      <c r="J207">
        <v>0</v>
      </c>
      <c r="K207">
        <f t="shared" si="10"/>
        <v>-4.2210439675825859E-3</v>
      </c>
      <c r="L207">
        <f t="shared" si="11"/>
        <v>-0.42210439675825862</v>
      </c>
      <c r="M207">
        <v>-0.23</v>
      </c>
    </row>
    <row r="208" spans="1:13" x14ac:dyDescent="0.2">
      <c r="A208" s="1">
        <v>44187</v>
      </c>
      <c r="B208">
        <v>227</v>
      </c>
      <c r="C208">
        <v>231.86999499999999</v>
      </c>
      <c r="D208">
        <v>226.60000600000001</v>
      </c>
      <c r="E208">
        <v>231.16999799999999</v>
      </c>
      <c r="F208">
        <v>231.16999799999999</v>
      </c>
      <c r="G208">
        <v>10339600</v>
      </c>
      <c r="I208">
        <f t="shared" si="9"/>
        <v>2.0753287319497986E-2</v>
      </c>
      <c r="J208">
        <v>0</v>
      </c>
      <c r="K208">
        <f t="shared" si="10"/>
        <v>2.0753287319497986E-2</v>
      </c>
      <c r="L208">
        <f t="shared" si="11"/>
        <v>2.0753287319497984</v>
      </c>
      <c r="M208">
        <v>0.06</v>
      </c>
    </row>
    <row r="209" spans="1:13" x14ac:dyDescent="0.2">
      <c r="A209" s="1">
        <v>44188</v>
      </c>
      <c r="B209">
        <v>232.5</v>
      </c>
      <c r="C209">
        <v>233.179993</v>
      </c>
      <c r="D209">
        <v>227.11000100000001</v>
      </c>
      <c r="E209">
        <v>227.429993</v>
      </c>
      <c r="F209">
        <v>227.429993</v>
      </c>
      <c r="G209">
        <v>7090500</v>
      </c>
      <c r="I209">
        <f t="shared" si="9"/>
        <v>-1.6178591652710905E-2</v>
      </c>
      <c r="J209">
        <v>0</v>
      </c>
      <c r="K209">
        <f t="shared" si="10"/>
        <v>-1.6178591652710905E-2</v>
      </c>
      <c r="L209">
        <f t="shared" si="11"/>
        <v>-1.6178591652710905</v>
      </c>
      <c r="M209">
        <v>0.1</v>
      </c>
    </row>
    <row r="210" spans="1:13" x14ac:dyDescent="0.2">
      <c r="A210" s="1">
        <v>44189</v>
      </c>
      <c r="B210">
        <v>228.300003</v>
      </c>
      <c r="C210">
        <v>229.19000199999999</v>
      </c>
      <c r="D210">
        <v>224.83000200000001</v>
      </c>
      <c r="E210">
        <v>225.779999</v>
      </c>
      <c r="F210">
        <v>225.779999</v>
      </c>
      <c r="G210">
        <v>6146300</v>
      </c>
      <c r="I210">
        <f t="shared" si="9"/>
        <v>-7.2549533957027047E-3</v>
      </c>
      <c r="J210">
        <v>0</v>
      </c>
      <c r="K210">
        <f t="shared" si="10"/>
        <v>-7.2549533957027047E-3</v>
      </c>
      <c r="L210">
        <f t="shared" si="11"/>
        <v>-0.72549533957027046</v>
      </c>
      <c r="M210">
        <v>0.21</v>
      </c>
    </row>
    <row r="211" spans="1:13" x14ac:dyDescent="0.2">
      <c r="A211" s="1">
        <v>44193</v>
      </c>
      <c r="B211">
        <v>227.220001</v>
      </c>
      <c r="C211">
        <v>227.83999600000001</v>
      </c>
      <c r="D211">
        <v>222.050003</v>
      </c>
      <c r="E211">
        <v>224.63999899999999</v>
      </c>
      <c r="F211">
        <v>224.63999899999999</v>
      </c>
      <c r="G211">
        <v>6422500</v>
      </c>
      <c r="I211">
        <f t="shared" si="9"/>
        <v>-5.0491629243032054E-3</v>
      </c>
      <c r="J211">
        <v>0</v>
      </c>
      <c r="K211">
        <f t="shared" si="10"/>
        <v>-5.0491629243032054E-3</v>
      </c>
      <c r="L211">
        <f t="shared" si="11"/>
        <v>-0.50491629243032055</v>
      </c>
      <c r="M211">
        <v>0.46</v>
      </c>
    </row>
    <row r="212" spans="1:13" x14ac:dyDescent="0.2">
      <c r="A212" s="1">
        <v>44194</v>
      </c>
      <c r="B212">
        <v>224.970001</v>
      </c>
      <c r="C212">
        <v>225.300003</v>
      </c>
      <c r="D212">
        <v>220.86000100000001</v>
      </c>
      <c r="E212">
        <v>222.46000699999999</v>
      </c>
      <c r="F212">
        <v>222.46000699999999</v>
      </c>
      <c r="G212">
        <v>6122400</v>
      </c>
      <c r="I212">
        <f t="shared" si="9"/>
        <v>-9.7043803850800359E-3</v>
      </c>
      <c r="J212">
        <v>0</v>
      </c>
      <c r="K212">
        <f t="shared" si="10"/>
        <v>-9.7043803850800359E-3</v>
      </c>
      <c r="L212">
        <f t="shared" si="11"/>
        <v>-0.97043803850800359</v>
      </c>
      <c r="M212">
        <v>-0.4</v>
      </c>
    </row>
    <row r="213" spans="1:13" x14ac:dyDescent="0.2">
      <c r="A213" s="1">
        <v>44195</v>
      </c>
      <c r="B213">
        <v>223.13000500000001</v>
      </c>
      <c r="C213">
        <v>223.63999899999999</v>
      </c>
      <c r="D213">
        <v>221.58000200000001</v>
      </c>
      <c r="E213">
        <v>222.39999399999999</v>
      </c>
      <c r="F213">
        <v>222.39999399999999</v>
      </c>
      <c r="G213">
        <v>4724000</v>
      </c>
      <c r="I213">
        <f t="shared" si="9"/>
        <v>-2.6976983777582045E-4</v>
      </c>
      <c r="J213">
        <v>0</v>
      </c>
      <c r="K213">
        <f t="shared" si="10"/>
        <v>-2.6976983777582045E-4</v>
      </c>
      <c r="L213">
        <f t="shared" si="11"/>
        <v>-2.6976983777582043E-2</v>
      </c>
      <c r="M213">
        <v>0.27</v>
      </c>
    </row>
    <row r="214" spans="1:13" x14ac:dyDescent="0.2">
      <c r="A214" s="1">
        <v>44196</v>
      </c>
      <c r="B214">
        <v>222.270004</v>
      </c>
      <c r="C214">
        <v>222.78999300000001</v>
      </c>
      <c r="D214">
        <v>220.16999799999999</v>
      </c>
      <c r="E214">
        <v>222.529999</v>
      </c>
      <c r="F214">
        <v>222.529999</v>
      </c>
      <c r="G214">
        <v>6011100</v>
      </c>
      <c r="I214">
        <f t="shared" si="9"/>
        <v>5.8455487188552378E-4</v>
      </c>
      <c r="J214">
        <v>0</v>
      </c>
      <c r="K214">
        <f t="shared" si="10"/>
        <v>5.8455487188552378E-4</v>
      </c>
      <c r="L214">
        <f t="shared" si="11"/>
        <v>5.8455487188552376E-2</v>
      </c>
      <c r="M214">
        <v>0.39</v>
      </c>
    </row>
    <row r="215" spans="1:13" x14ac:dyDescent="0.2">
      <c r="A215" s="1">
        <v>44200</v>
      </c>
      <c r="B215">
        <v>222.63999899999999</v>
      </c>
      <c r="C215">
        <v>223.75</v>
      </c>
      <c r="D215">
        <v>215.720001</v>
      </c>
      <c r="E215">
        <v>220.30999800000001</v>
      </c>
      <c r="F215">
        <v>220.30999800000001</v>
      </c>
      <c r="G215">
        <v>10319900</v>
      </c>
      <c r="I215">
        <f t="shared" si="9"/>
        <v>-9.9761875251704654E-3</v>
      </c>
      <c r="J215">
        <v>0</v>
      </c>
      <c r="K215">
        <f t="shared" si="10"/>
        <v>-9.9761875251704654E-3</v>
      </c>
      <c r="L215">
        <f t="shared" si="11"/>
        <v>-0.99761875251704657</v>
      </c>
      <c r="M215">
        <v>-1.41</v>
      </c>
    </row>
    <row r="216" spans="1:13" x14ac:dyDescent="0.2">
      <c r="A216" s="1">
        <v>44201</v>
      </c>
      <c r="B216">
        <v>219.490005</v>
      </c>
      <c r="C216">
        <v>223</v>
      </c>
      <c r="D216">
        <v>217.990005</v>
      </c>
      <c r="E216">
        <v>221.520004</v>
      </c>
      <c r="F216">
        <v>221.520004</v>
      </c>
      <c r="G216">
        <v>8657200</v>
      </c>
      <c r="I216">
        <f t="shared" si="9"/>
        <v>5.4922881892994829E-3</v>
      </c>
      <c r="J216">
        <v>0</v>
      </c>
      <c r="K216">
        <f t="shared" si="10"/>
        <v>5.4922881892994829E-3</v>
      </c>
      <c r="L216">
        <f t="shared" si="11"/>
        <v>0.54922881892994824</v>
      </c>
      <c r="M216">
        <v>0.86</v>
      </c>
    </row>
    <row r="217" spans="1:13" x14ac:dyDescent="0.2">
      <c r="A217" s="1">
        <v>44202</v>
      </c>
      <c r="B217">
        <v>218</v>
      </c>
      <c r="C217">
        <v>220.46000699999999</v>
      </c>
      <c r="D217">
        <v>215.779999</v>
      </c>
      <c r="E217">
        <v>216.14999399999999</v>
      </c>
      <c r="F217">
        <v>216.14999399999999</v>
      </c>
      <c r="G217">
        <v>9789800</v>
      </c>
      <c r="I217">
        <f t="shared" si="9"/>
        <v>-2.4241648171873489E-2</v>
      </c>
      <c r="J217">
        <v>0</v>
      </c>
      <c r="K217">
        <f t="shared" si="10"/>
        <v>-2.4241648171873489E-2</v>
      </c>
      <c r="L217">
        <f t="shared" si="11"/>
        <v>-2.4241648171873487</v>
      </c>
      <c r="M217">
        <v>0.79</v>
      </c>
    </row>
    <row r="218" spans="1:13" x14ac:dyDescent="0.2">
      <c r="A218" s="1">
        <v>44203</v>
      </c>
      <c r="B218">
        <v>217.029999</v>
      </c>
      <c r="C218">
        <v>220.66000399999999</v>
      </c>
      <c r="D218">
        <v>216.5</v>
      </c>
      <c r="E218">
        <v>217.979996</v>
      </c>
      <c r="F218">
        <v>217.979996</v>
      </c>
      <c r="G218">
        <v>8443100</v>
      </c>
      <c r="I218">
        <f t="shared" si="9"/>
        <v>8.4663523053348198E-3</v>
      </c>
      <c r="J218">
        <v>0</v>
      </c>
      <c r="K218">
        <f t="shared" si="10"/>
        <v>8.4663523053348198E-3</v>
      </c>
      <c r="L218">
        <f t="shared" si="11"/>
        <v>0.846635230533482</v>
      </c>
      <c r="M218">
        <v>1.76</v>
      </c>
    </row>
    <row r="219" spans="1:13" x14ac:dyDescent="0.2">
      <c r="A219" s="1">
        <v>44204</v>
      </c>
      <c r="B219">
        <v>220</v>
      </c>
      <c r="C219">
        <v>222.320007</v>
      </c>
      <c r="D219">
        <v>219.220001</v>
      </c>
      <c r="E219">
        <v>222.03999300000001</v>
      </c>
      <c r="F219">
        <v>222.03999300000001</v>
      </c>
      <c r="G219">
        <v>7301700</v>
      </c>
      <c r="I219">
        <f t="shared" si="9"/>
        <v>1.8625548557217195E-2</v>
      </c>
      <c r="J219">
        <v>0</v>
      </c>
      <c r="K219">
        <f t="shared" si="10"/>
        <v>1.8625548557217195E-2</v>
      </c>
      <c r="L219">
        <f t="shared" si="11"/>
        <v>1.8625548557217195</v>
      </c>
      <c r="M219">
        <v>0.51</v>
      </c>
    </row>
    <row r="220" spans="1:13" x14ac:dyDescent="0.2">
      <c r="A220" s="1">
        <v>44207</v>
      </c>
      <c r="B220">
        <v>219.63000500000001</v>
      </c>
      <c r="C220">
        <v>220.58000200000001</v>
      </c>
      <c r="D220">
        <v>216.229996</v>
      </c>
      <c r="E220">
        <v>218.25</v>
      </c>
      <c r="F220">
        <v>218.25</v>
      </c>
      <c r="G220">
        <v>7206500</v>
      </c>
      <c r="I220">
        <f t="shared" si="9"/>
        <v>-1.7068965589455812E-2</v>
      </c>
      <c r="J220">
        <v>0</v>
      </c>
      <c r="K220">
        <f t="shared" si="10"/>
        <v>-1.7068965589455812E-2</v>
      </c>
      <c r="L220">
        <f t="shared" si="11"/>
        <v>-1.7068965589455813</v>
      </c>
      <c r="M220">
        <v>-0.51</v>
      </c>
    </row>
    <row r="221" spans="1:13" x14ac:dyDescent="0.2">
      <c r="A221" s="1">
        <v>44208</v>
      </c>
      <c r="B221">
        <v>218</v>
      </c>
      <c r="C221">
        <v>218.300003</v>
      </c>
      <c r="D221">
        <v>214.08999600000001</v>
      </c>
      <c r="E221">
        <v>215.520004</v>
      </c>
      <c r="F221">
        <v>215.520004</v>
      </c>
      <c r="G221">
        <v>10736000</v>
      </c>
      <c r="I221">
        <f t="shared" si="9"/>
        <v>-1.2508572737686139E-2</v>
      </c>
      <c r="J221">
        <v>0</v>
      </c>
      <c r="K221">
        <f t="shared" si="10"/>
        <v>-1.2508572737686139E-2</v>
      </c>
      <c r="L221">
        <f t="shared" si="11"/>
        <v>-1.2508572737686139</v>
      </c>
      <c r="M221">
        <v>0.38</v>
      </c>
    </row>
    <row r="222" spans="1:13" x14ac:dyDescent="0.2">
      <c r="A222" s="1">
        <v>44209</v>
      </c>
      <c r="B222">
        <v>217</v>
      </c>
      <c r="C222">
        <v>218.89999399999999</v>
      </c>
      <c r="D222">
        <v>215.529999</v>
      </c>
      <c r="E222">
        <v>218.179993</v>
      </c>
      <c r="F222">
        <v>218.179993</v>
      </c>
      <c r="G222">
        <v>6839200</v>
      </c>
      <c r="I222">
        <f t="shared" si="9"/>
        <v>1.234219075088731E-2</v>
      </c>
      <c r="J222">
        <v>0</v>
      </c>
      <c r="K222">
        <f t="shared" si="10"/>
        <v>1.234219075088731E-2</v>
      </c>
      <c r="L222">
        <f t="shared" si="11"/>
        <v>1.234219075088731</v>
      </c>
      <c r="M222">
        <v>7.0000000000000007E-2</v>
      </c>
    </row>
    <row r="223" spans="1:13" x14ac:dyDescent="0.2">
      <c r="A223" s="1">
        <v>44210</v>
      </c>
      <c r="B223">
        <v>218.229996</v>
      </c>
      <c r="C223">
        <v>219.5</v>
      </c>
      <c r="D223">
        <v>215.550003</v>
      </c>
      <c r="E223">
        <v>215.60000600000001</v>
      </c>
      <c r="F223">
        <v>215.60000600000001</v>
      </c>
      <c r="G223">
        <v>6548000</v>
      </c>
      <c r="I223">
        <f t="shared" si="9"/>
        <v>-1.1825039338047776E-2</v>
      </c>
      <c r="J223">
        <v>0</v>
      </c>
      <c r="K223">
        <f t="shared" si="10"/>
        <v>-1.1825039338047776E-2</v>
      </c>
      <c r="L223">
        <f t="shared" si="11"/>
        <v>-1.1825039338047776</v>
      </c>
      <c r="M223">
        <v>-0.11</v>
      </c>
    </row>
    <row r="224" spans="1:13" x14ac:dyDescent="0.2">
      <c r="A224" s="1">
        <v>44211</v>
      </c>
      <c r="B224">
        <v>216.16999799999999</v>
      </c>
      <c r="C224">
        <v>217.86999499999999</v>
      </c>
      <c r="D224">
        <v>212.990005</v>
      </c>
      <c r="E224">
        <v>213.13999899999999</v>
      </c>
      <c r="F224">
        <v>213.13999899999999</v>
      </c>
      <c r="G224">
        <v>8525600</v>
      </c>
      <c r="I224">
        <f t="shared" si="9"/>
        <v>-1.1410050702874371E-2</v>
      </c>
      <c r="J224">
        <v>0</v>
      </c>
      <c r="K224">
        <f t="shared" si="10"/>
        <v>-1.1410050702874371E-2</v>
      </c>
      <c r="L224">
        <f t="shared" si="11"/>
        <v>-1.141005070287437</v>
      </c>
      <c r="M224">
        <v>-0.86</v>
      </c>
    </row>
    <row r="225" spans="1:13" x14ac:dyDescent="0.2">
      <c r="A225" s="1">
        <v>44215</v>
      </c>
      <c r="B225">
        <v>215.35000600000001</v>
      </c>
      <c r="C225">
        <v>217.279999</v>
      </c>
      <c r="D225">
        <v>213.699997</v>
      </c>
      <c r="E225">
        <v>216.759995</v>
      </c>
      <c r="F225">
        <v>216.759995</v>
      </c>
      <c r="G225">
        <v>7753800</v>
      </c>
      <c r="I225">
        <f t="shared" si="9"/>
        <v>1.6984123191255224E-2</v>
      </c>
      <c r="J225">
        <v>0</v>
      </c>
      <c r="K225">
        <f t="shared" si="10"/>
        <v>1.6984123191255224E-2</v>
      </c>
      <c r="L225">
        <f t="shared" si="11"/>
        <v>1.6984123191255223</v>
      </c>
      <c r="M225">
        <v>0.91</v>
      </c>
    </row>
    <row r="226" spans="1:13" x14ac:dyDescent="0.2">
      <c r="A226" s="1">
        <v>44216</v>
      </c>
      <c r="B226">
        <v>221.990005</v>
      </c>
      <c r="C226">
        <v>224.63999899999999</v>
      </c>
      <c r="D226">
        <v>219.970001</v>
      </c>
      <c r="E226">
        <v>223.44000199999999</v>
      </c>
      <c r="F226">
        <v>223.44000199999999</v>
      </c>
      <c r="G226">
        <v>9857700</v>
      </c>
      <c r="I226">
        <f t="shared" si="9"/>
        <v>3.0817527007232073E-2</v>
      </c>
      <c r="J226">
        <v>0</v>
      </c>
      <c r="K226">
        <f t="shared" si="10"/>
        <v>3.0817527007232073E-2</v>
      </c>
      <c r="L226">
        <f t="shared" si="11"/>
        <v>3.0817527007232073</v>
      </c>
      <c r="M226">
        <v>1.26</v>
      </c>
    </row>
    <row r="227" spans="1:13" x14ac:dyDescent="0.2">
      <c r="A227" s="1">
        <v>44217</v>
      </c>
      <c r="B227">
        <v>223.69000199999999</v>
      </c>
      <c r="C227">
        <v>224.740005</v>
      </c>
      <c r="D227">
        <v>220.820007</v>
      </c>
      <c r="E227">
        <v>222.16999799999999</v>
      </c>
      <c r="F227">
        <v>222.16999799999999</v>
      </c>
      <c r="G227">
        <v>6800800</v>
      </c>
      <c r="I227">
        <f t="shared" si="9"/>
        <v>-5.6838703393853364E-3</v>
      </c>
      <c r="J227">
        <v>0</v>
      </c>
      <c r="K227">
        <f t="shared" si="10"/>
        <v>-5.6838703393853364E-3</v>
      </c>
      <c r="L227">
        <f t="shared" si="11"/>
        <v>-0.56838703393853363</v>
      </c>
      <c r="M227">
        <v>-0.04</v>
      </c>
    </row>
    <row r="228" spans="1:13" x14ac:dyDescent="0.2">
      <c r="A228" s="1">
        <v>44218</v>
      </c>
      <c r="B228">
        <v>224.89999399999999</v>
      </c>
      <c r="C228">
        <v>227.78999300000001</v>
      </c>
      <c r="D228">
        <v>223.75</v>
      </c>
      <c r="E228">
        <v>225.770004</v>
      </c>
      <c r="F228">
        <v>225.770004</v>
      </c>
      <c r="G228">
        <v>10186100</v>
      </c>
      <c r="I228">
        <f t="shared" si="9"/>
        <v>1.6203835047070611E-2</v>
      </c>
      <c r="J228">
        <v>0</v>
      </c>
      <c r="K228">
        <f t="shared" si="10"/>
        <v>1.6203835047070611E-2</v>
      </c>
      <c r="L228">
        <f t="shared" si="11"/>
        <v>1.6203835047070612</v>
      </c>
      <c r="M228">
        <v>-7.0000000000000007E-2</v>
      </c>
    </row>
    <row r="229" spans="1:13" x14ac:dyDescent="0.2">
      <c r="A229" s="1">
        <v>44221</v>
      </c>
      <c r="B229">
        <v>229.69000199999999</v>
      </c>
      <c r="C229">
        <v>230.300003</v>
      </c>
      <c r="D229">
        <v>221.320007</v>
      </c>
      <c r="E229">
        <v>225.91999799999999</v>
      </c>
      <c r="F229">
        <v>225.91999799999999</v>
      </c>
      <c r="G229">
        <v>8213500</v>
      </c>
      <c r="I229">
        <f t="shared" si="9"/>
        <v>6.6436637880376884E-4</v>
      </c>
      <c r="J229">
        <v>0</v>
      </c>
      <c r="K229">
        <f t="shared" si="10"/>
        <v>6.6436637880376884E-4</v>
      </c>
      <c r="L229">
        <f t="shared" si="11"/>
        <v>6.6436637880376889E-2</v>
      </c>
      <c r="M229">
        <v>0.28000000000000003</v>
      </c>
    </row>
    <row r="230" spans="1:13" x14ac:dyDescent="0.2">
      <c r="A230" s="1">
        <v>44222</v>
      </c>
      <c r="B230">
        <v>227.800003</v>
      </c>
      <c r="C230">
        <v>227.91000399999999</v>
      </c>
      <c r="D230">
        <v>224.53999300000001</v>
      </c>
      <c r="E230">
        <v>226.259995</v>
      </c>
      <c r="F230">
        <v>226.259995</v>
      </c>
      <c r="G230">
        <v>5021000</v>
      </c>
      <c r="I230">
        <f t="shared" si="9"/>
        <v>1.5049442413681811E-3</v>
      </c>
      <c r="J230">
        <v>0</v>
      </c>
      <c r="K230">
        <f t="shared" si="10"/>
        <v>1.5049442413681811E-3</v>
      </c>
      <c r="L230">
        <f t="shared" si="11"/>
        <v>0.1504944241368181</v>
      </c>
      <c r="M230">
        <v>-0.32</v>
      </c>
    </row>
    <row r="231" spans="1:13" x14ac:dyDescent="0.2">
      <c r="A231" s="1">
        <v>44223</v>
      </c>
      <c r="B231">
        <v>223.699997</v>
      </c>
      <c r="C231">
        <v>227.80999800000001</v>
      </c>
      <c r="D231">
        <v>221.58000200000001</v>
      </c>
      <c r="E231">
        <v>224.779999</v>
      </c>
      <c r="F231">
        <v>224.779999</v>
      </c>
      <c r="G231">
        <v>7641100</v>
      </c>
      <c r="I231">
        <f t="shared" si="9"/>
        <v>-6.5411298183755363E-3</v>
      </c>
      <c r="J231">
        <v>0</v>
      </c>
      <c r="K231">
        <f t="shared" si="10"/>
        <v>-6.5411298183755363E-3</v>
      </c>
      <c r="L231">
        <f t="shared" si="11"/>
        <v>-0.65411298183755362</v>
      </c>
      <c r="M231">
        <v>-2.5299999999999998</v>
      </c>
    </row>
    <row r="232" spans="1:13" x14ac:dyDescent="0.2">
      <c r="A232" s="1">
        <v>44224</v>
      </c>
      <c r="B232">
        <v>225</v>
      </c>
      <c r="C232">
        <v>229.60000600000001</v>
      </c>
      <c r="D232">
        <v>225</v>
      </c>
      <c r="E232">
        <v>226.5</v>
      </c>
      <c r="F232">
        <v>226.5</v>
      </c>
      <c r="G232">
        <v>7246000</v>
      </c>
      <c r="I232">
        <f t="shared" si="9"/>
        <v>7.6519308108013483E-3</v>
      </c>
      <c r="J232">
        <v>0</v>
      </c>
      <c r="K232">
        <f t="shared" si="10"/>
        <v>7.6519308108013483E-3</v>
      </c>
      <c r="L232">
        <f t="shared" si="11"/>
        <v>0.76519308108013484</v>
      </c>
      <c r="M232">
        <v>0.92</v>
      </c>
    </row>
    <row r="233" spans="1:13" x14ac:dyDescent="0.2">
      <c r="A233" s="1">
        <v>44225</v>
      </c>
      <c r="B233">
        <v>224.66000399999999</v>
      </c>
      <c r="C233">
        <v>228.78999300000001</v>
      </c>
      <c r="D233">
        <v>223.020004</v>
      </c>
      <c r="E233">
        <v>225.55999800000001</v>
      </c>
      <c r="F233">
        <v>225.55999800000001</v>
      </c>
      <c r="G233">
        <v>6458200</v>
      </c>
      <c r="I233">
        <f t="shared" si="9"/>
        <v>-4.1501192052979807E-3</v>
      </c>
      <c r="J233">
        <v>0</v>
      </c>
      <c r="K233">
        <f t="shared" si="10"/>
        <v>-4.1501192052979807E-3</v>
      </c>
      <c r="L233">
        <f t="shared" si="11"/>
        <v>-0.41501192052979807</v>
      </c>
      <c r="M233">
        <v>-1.84</v>
      </c>
    </row>
    <row r="234" spans="1:13" x14ac:dyDescent="0.2">
      <c r="A234" s="1">
        <v>44228</v>
      </c>
      <c r="B234">
        <v>227.21000699999999</v>
      </c>
      <c r="C234">
        <v>229.89999399999999</v>
      </c>
      <c r="D234">
        <v>224.75</v>
      </c>
      <c r="E234">
        <v>228.46000699999999</v>
      </c>
      <c r="F234">
        <v>228.46000699999999</v>
      </c>
      <c r="G234">
        <v>5696700</v>
      </c>
      <c r="I234">
        <f t="shared" si="9"/>
        <v>1.2856929534109957E-2</v>
      </c>
      <c r="J234">
        <v>0</v>
      </c>
      <c r="K234">
        <f t="shared" si="10"/>
        <v>1.2856929534109957E-2</v>
      </c>
      <c r="L234">
        <f t="shared" si="11"/>
        <v>1.2856929534109958</v>
      </c>
      <c r="M234">
        <v>1.73</v>
      </c>
    </row>
    <row r="235" spans="1:13" x14ac:dyDescent="0.2">
      <c r="A235" s="1">
        <v>44229</v>
      </c>
      <c r="B235">
        <v>231.470001</v>
      </c>
      <c r="C235">
        <v>235.949997</v>
      </c>
      <c r="D235">
        <v>231.38000500000001</v>
      </c>
      <c r="E235">
        <v>234.199997</v>
      </c>
      <c r="F235">
        <v>234.199997</v>
      </c>
      <c r="G235">
        <v>7134900</v>
      </c>
      <c r="I235">
        <f t="shared" si="9"/>
        <v>2.5124703773645625E-2</v>
      </c>
      <c r="J235">
        <v>0</v>
      </c>
      <c r="K235">
        <f t="shared" si="10"/>
        <v>2.5124703773645625E-2</v>
      </c>
      <c r="L235">
        <f t="shared" si="11"/>
        <v>2.5124703773645627</v>
      </c>
      <c r="M235">
        <v>1.48</v>
      </c>
    </row>
    <row r="236" spans="1:13" x14ac:dyDescent="0.2">
      <c r="A236" s="1">
        <v>44230</v>
      </c>
      <c r="B236">
        <v>235</v>
      </c>
      <c r="C236">
        <v>236</v>
      </c>
      <c r="D236">
        <v>232.259995</v>
      </c>
      <c r="E236">
        <v>234.820007</v>
      </c>
      <c r="F236">
        <v>234.820007</v>
      </c>
      <c r="G236">
        <v>5357600</v>
      </c>
      <c r="I236">
        <f t="shared" si="9"/>
        <v>2.6473527239200081E-3</v>
      </c>
      <c r="J236">
        <v>0</v>
      </c>
      <c r="K236">
        <f t="shared" si="10"/>
        <v>2.6473527239200081E-3</v>
      </c>
      <c r="L236">
        <f t="shared" si="11"/>
        <v>0.26473527239200079</v>
      </c>
      <c r="M236">
        <v>0.16</v>
      </c>
    </row>
    <row r="237" spans="1:13" x14ac:dyDescent="0.2">
      <c r="A237" s="1">
        <v>44231</v>
      </c>
      <c r="B237">
        <v>235.520004</v>
      </c>
      <c r="C237">
        <v>238.229996</v>
      </c>
      <c r="D237">
        <v>235.470001</v>
      </c>
      <c r="E237">
        <v>237.979996</v>
      </c>
      <c r="F237">
        <v>237.979996</v>
      </c>
      <c r="G237">
        <v>4770700</v>
      </c>
      <c r="I237">
        <f t="shared" si="9"/>
        <v>1.3457068843371578E-2</v>
      </c>
      <c r="J237">
        <v>0</v>
      </c>
      <c r="K237">
        <f t="shared" si="10"/>
        <v>1.3457068843371578E-2</v>
      </c>
      <c r="L237">
        <f t="shared" si="11"/>
        <v>1.3457068843371578</v>
      </c>
      <c r="M237">
        <v>1.23</v>
      </c>
    </row>
    <row r="238" spans="1:13" x14ac:dyDescent="0.2">
      <c r="A238" s="1">
        <v>44232</v>
      </c>
      <c r="B238">
        <v>239.14999399999999</v>
      </c>
      <c r="C238">
        <v>239.36000100000001</v>
      </c>
      <c r="D238">
        <v>236.41000399999999</v>
      </c>
      <c r="E238">
        <v>238.88999899999999</v>
      </c>
      <c r="F238">
        <v>238.88999899999999</v>
      </c>
      <c r="G238">
        <v>5015400</v>
      </c>
      <c r="I238">
        <f t="shared" si="9"/>
        <v>3.8238634141332995E-3</v>
      </c>
      <c r="J238">
        <v>0</v>
      </c>
      <c r="K238">
        <f t="shared" si="10"/>
        <v>3.8238634141332995E-3</v>
      </c>
      <c r="L238">
        <f t="shared" si="11"/>
        <v>0.38238634141332994</v>
      </c>
      <c r="M238">
        <v>0.57999999999999996</v>
      </c>
    </row>
    <row r="239" spans="1:13" x14ac:dyDescent="0.2">
      <c r="A239" s="1">
        <v>44235</v>
      </c>
      <c r="B239">
        <v>239.509995</v>
      </c>
      <c r="C239">
        <v>241.11000100000001</v>
      </c>
      <c r="D239">
        <v>237.13000500000001</v>
      </c>
      <c r="E239">
        <v>238.929993</v>
      </c>
      <c r="F239">
        <v>238.929993</v>
      </c>
      <c r="G239">
        <v>4336400</v>
      </c>
      <c r="I239">
        <f t="shared" si="9"/>
        <v>1.6741596620797503E-4</v>
      </c>
      <c r="J239">
        <v>0</v>
      </c>
      <c r="K239">
        <f t="shared" si="10"/>
        <v>1.6741596620797503E-4</v>
      </c>
      <c r="L239">
        <f t="shared" si="11"/>
        <v>1.6741596620797505E-2</v>
      </c>
      <c r="M239">
        <v>0.96</v>
      </c>
    </row>
    <row r="240" spans="1:13" x14ac:dyDescent="0.2">
      <c r="A240" s="1">
        <v>44236</v>
      </c>
      <c r="B240">
        <v>239.55999800000001</v>
      </c>
      <c r="C240">
        <v>240.08000200000001</v>
      </c>
      <c r="D240">
        <v>236.240005</v>
      </c>
      <c r="E240">
        <v>236.699997</v>
      </c>
      <c r="F240">
        <v>236.699997</v>
      </c>
      <c r="G240">
        <v>5157200</v>
      </c>
      <c r="I240">
        <f t="shared" si="9"/>
        <v>-9.333261061117596E-3</v>
      </c>
      <c r="J240">
        <v>0</v>
      </c>
      <c r="K240">
        <f t="shared" si="10"/>
        <v>-9.333261061117596E-3</v>
      </c>
      <c r="L240">
        <f t="shared" si="11"/>
        <v>-0.93332610611175959</v>
      </c>
      <c r="M240">
        <v>0.05</v>
      </c>
    </row>
    <row r="241" spans="1:13" x14ac:dyDescent="0.2">
      <c r="A241" s="1">
        <v>44237</v>
      </c>
      <c r="B241">
        <v>237.449997</v>
      </c>
      <c r="C241">
        <v>238.220001</v>
      </c>
      <c r="D241">
        <v>233.96000699999999</v>
      </c>
      <c r="E241">
        <v>236.720001</v>
      </c>
      <c r="F241">
        <v>236.720001</v>
      </c>
      <c r="G241">
        <v>5535600</v>
      </c>
      <c r="I241">
        <f t="shared" si="9"/>
        <v>8.4512041628797028E-5</v>
      </c>
      <c r="J241">
        <v>0</v>
      </c>
      <c r="K241">
        <f t="shared" si="10"/>
        <v>8.4512041628797028E-5</v>
      </c>
      <c r="L241">
        <f t="shared" si="11"/>
        <v>8.4512041628797031E-3</v>
      </c>
      <c r="M241">
        <v>-7.0000000000000007E-2</v>
      </c>
    </row>
    <row r="242" spans="1:13" x14ac:dyDescent="0.2">
      <c r="A242" s="1">
        <v>44238</v>
      </c>
      <c r="B242">
        <v>238.929993</v>
      </c>
      <c r="C242">
        <v>242.88999899999999</v>
      </c>
      <c r="D242">
        <v>238.58000200000001</v>
      </c>
      <c r="E242">
        <v>241.240005</v>
      </c>
      <c r="F242">
        <v>241.240005</v>
      </c>
      <c r="G242">
        <v>6074100</v>
      </c>
      <c r="I242">
        <f t="shared" si="9"/>
        <v>1.9094305427955791E-2</v>
      </c>
      <c r="J242">
        <v>0</v>
      </c>
      <c r="K242">
        <f t="shared" si="10"/>
        <v>1.9094305427955791E-2</v>
      </c>
      <c r="L242">
        <f t="shared" si="11"/>
        <v>1.9094305427955791</v>
      </c>
      <c r="M242">
        <v>0.19</v>
      </c>
    </row>
    <row r="243" spans="1:13" x14ac:dyDescent="0.2">
      <c r="A243" s="1">
        <v>44239</v>
      </c>
      <c r="B243">
        <v>240.949997</v>
      </c>
      <c r="C243">
        <v>241.55999800000001</v>
      </c>
      <c r="D243">
        <v>238.91000399999999</v>
      </c>
      <c r="E243">
        <v>240.36999499999999</v>
      </c>
      <c r="F243">
        <v>240.36999499999999</v>
      </c>
      <c r="G243">
        <v>4310800</v>
      </c>
      <c r="I243">
        <f t="shared" si="9"/>
        <v>-3.6064084810477756E-3</v>
      </c>
      <c r="J243">
        <v>0</v>
      </c>
      <c r="K243">
        <f t="shared" si="10"/>
        <v>-3.6064084810477756E-3</v>
      </c>
      <c r="L243">
        <f t="shared" si="11"/>
        <v>-0.36064084810477753</v>
      </c>
      <c r="M243">
        <v>0.49</v>
      </c>
    </row>
    <row r="244" spans="1:13" x14ac:dyDescent="0.2">
      <c r="A244" s="1">
        <v>44243</v>
      </c>
      <c r="B244">
        <v>245</v>
      </c>
      <c r="C244">
        <v>251.229996</v>
      </c>
      <c r="D244">
        <v>243.800003</v>
      </c>
      <c r="E244">
        <v>248.58999600000001</v>
      </c>
      <c r="F244">
        <v>248.58999600000001</v>
      </c>
      <c r="G244">
        <v>10837600</v>
      </c>
      <c r="I244">
        <f t="shared" si="9"/>
        <v>3.4197284066174838E-2</v>
      </c>
      <c r="J244">
        <v>0</v>
      </c>
      <c r="K244">
        <f t="shared" si="10"/>
        <v>3.4197284066174838E-2</v>
      </c>
      <c r="L244">
        <f t="shared" si="11"/>
        <v>3.4197284066174838</v>
      </c>
      <c r="M244">
        <v>-0.14000000000000001</v>
      </c>
    </row>
    <row r="245" spans="1:13" x14ac:dyDescent="0.2">
      <c r="A245" s="1">
        <v>44244</v>
      </c>
      <c r="B245">
        <v>248.58999600000001</v>
      </c>
      <c r="C245">
        <v>249.5</v>
      </c>
      <c r="D245">
        <v>245.5</v>
      </c>
      <c r="E245">
        <v>247.66000399999999</v>
      </c>
      <c r="F245">
        <v>247.66000399999999</v>
      </c>
      <c r="G245">
        <v>5879200</v>
      </c>
      <c r="I245">
        <f t="shared" si="9"/>
        <v>-3.7410676815813095E-3</v>
      </c>
      <c r="J245">
        <v>0</v>
      </c>
      <c r="K245">
        <f t="shared" si="10"/>
        <v>-3.7410676815813095E-3</v>
      </c>
      <c r="L245">
        <f t="shared" si="11"/>
        <v>-0.37410676815813093</v>
      </c>
      <c r="M245">
        <v>-0.2</v>
      </c>
    </row>
    <row r="246" spans="1:13" x14ac:dyDescent="0.2">
      <c r="A246" s="1">
        <v>44245</v>
      </c>
      <c r="B246">
        <v>245.970001</v>
      </c>
      <c r="C246">
        <v>248.009995</v>
      </c>
      <c r="D246">
        <v>242.570007</v>
      </c>
      <c r="E246">
        <v>247.009995</v>
      </c>
      <c r="F246">
        <v>247.009995</v>
      </c>
      <c r="G246">
        <v>4152800</v>
      </c>
      <c r="I246">
        <f t="shared" si="9"/>
        <v>-2.6246022349251962E-3</v>
      </c>
      <c r="J246">
        <v>0</v>
      </c>
      <c r="K246">
        <f t="shared" si="10"/>
        <v>-2.6246022349251962E-3</v>
      </c>
      <c r="L246">
        <f t="shared" si="11"/>
        <v>-0.26246022349251963</v>
      </c>
      <c r="M246">
        <v>-0.63</v>
      </c>
    </row>
    <row r="247" spans="1:13" x14ac:dyDescent="0.2">
      <c r="A247" s="1">
        <v>44246</v>
      </c>
      <c r="B247">
        <v>248</v>
      </c>
      <c r="C247">
        <v>249.38999899999999</v>
      </c>
      <c r="D247">
        <v>245.979996</v>
      </c>
      <c r="E247">
        <v>246.55999800000001</v>
      </c>
      <c r="F247">
        <v>246.55999800000001</v>
      </c>
      <c r="G247">
        <v>4647700</v>
      </c>
      <c r="I247">
        <f t="shared" si="9"/>
        <v>-1.8217764831742788E-3</v>
      </c>
      <c r="J247">
        <v>0</v>
      </c>
      <c r="K247">
        <f t="shared" si="10"/>
        <v>-1.8217764831742788E-3</v>
      </c>
      <c r="L247">
        <f t="shared" si="11"/>
        <v>-0.18217764831742789</v>
      </c>
      <c r="M247">
        <v>0.16</v>
      </c>
    </row>
    <row r="248" spans="1:13" x14ac:dyDescent="0.2">
      <c r="A248" s="1">
        <v>44249</v>
      </c>
      <c r="B248">
        <v>244.259995</v>
      </c>
      <c r="C248">
        <v>244.520004</v>
      </c>
      <c r="D248">
        <v>240.38000500000001</v>
      </c>
      <c r="E248">
        <v>240.949997</v>
      </c>
      <c r="F248">
        <v>240.949997</v>
      </c>
      <c r="G248">
        <v>5055000</v>
      </c>
      <c r="I248">
        <f t="shared" si="9"/>
        <v>-2.2753086654389132E-2</v>
      </c>
      <c r="J248">
        <v>0</v>
      </c>
      <c r="K248">
        <f t="shared" si="10"/>
        <v>-2.2753086654389132E-2</v>
      </c>
      <c r="L248">
        <f t="shared" si="11"/>
        <v>-2.2753086654389132</v>
      </c>
      <c r="M248">
        <v>-1.1200000000000001</v>
      </c>
    </row>
    <row r="249" spans="1:13" x14ac:dyDescent="0.2">
      <c r="A249" s="1">
        <v>44250</v>
      </c>
      <c r="B249">
        <v>235.259995</v>
      </c>
      <c r="C249">
        <v>238.96000699999999</v>
      </c>
      <c r="D249">
        <v>229.009995</v>
      </c>
      <c r="E249">
        <v>235.63999899999999</v>
      </c>
      <c r="F249">
        <v>235.63999899999999</v>
      </c>
      <c r="G249">
        <v>8641600</v>
      </c>
      <c r="I249">
        <f t="shared" si="9"/>
        <v>-2.2037759145520999E-2</v>
      </c>
      <c r="J249">
        <v>0</v>
      </c>
      <c r="K249">
        <f t="shared" si="10"/>
        <v>-2.2037759145520999E-2</v>
      </c>
      <c r="L249">
        <f t="shared" si="11"/>
        <v>-2.2037759145520996</v>
      </c>
      <c r="M249">
        <v>-0.15</v>
      </c>
    </row>
    <row r="250" spans="1:13" x14ac:dyDescent="0.2">
      <c r="A250" s="1">
        <v>44251</v>
      </c>
      <c r="B250">
        <v>235.529999</v>
      </c>
      <c r="C250">
        <v>241.5</v>
      </c>
      <c r="D250">
        <v>231.509995</v>
      </c>
      <c r="E250">
        <v>240.470001</v>
      </c>
      <c r="F250">
        <v>240.470001</v>
      </c>
      <c r="G250">
        <v>6128300</v>
      </c>
      <c r="I250">
        <f t="shared" si="9"/>
        <v>2.0497377442273746E-2</v>
      </c>
      <c r="J250">
        <v>0</v>
      </c>
      <c r="K250">
        <f t="shared" si="10"/>
        <v>2.0497377442273746E-2</v>
      </c>
      <c r="L250">
        <f t="shared" si="11"/>
        <v>2.0497377442273748</v>
      </c>
      <c r="M250">
        <v>1.1499999999999999</v>
      </c>
    </row>
    <row r="251" spans="1:13" x14ac:dyDescent="0.2">
      <c r="A251" s="1">
        <v>44252</v>
      </c>
      <c r="B251">
        <v>238.529999</v>
      </c>
      <c r="C251">
        <v>240.35000600000001</v>
      </c>
      <c r="D251">
        <v>229.770004</v>
      </c>
      <c r="E251">
        <v>231.08000200000001</v>
      </c>
      <c r="F251">
        <v>231.08000200000001</v>
      </c>
      <c r="G251">
        <v>8828900</v>
      </c>
      <c r="I251">
        <f t="shared" si="9"/>
        <v>-3.9048525641250317E-2</v>
      </c>
      <c r="J251">
        <v>0</v>
      </c>
      <c r="K251">
        <f t="shared" si="10"/>
        <v>-3.9048525641250317E-2</v>
      </c>
      <c r="L251">
        <f t="shared" si="11"/>
        <v>-3.9048525641250316</v>
      </c>
      <c r="M251">
        <v>-2.73</v>
      </c>
    </row>
    <row r="252" spans="1:13" x14ac:dyDescent="0.2">
      <c r="A252" s="1">
        <v>44253</v>
      </c>
      <c r="B252">
        <v>229.38999899999999</v>
      </c>
      <c r="C252">
        <v>230.5</v>
      </c>
      <c r="D252">
        <v>216.33999600000001</v>
      </c>
      <c r="E252">
        <v>216.5</v>
      </c>
      <c r="F252">
        <v>216.5</v>
      </c>
      <c r="G252">
        <v>20361100</v>
      </c>
      <c r="I252">
        <f t="shared" si="9"/>
        <v>-6.3095040132464628E-2</v>
      </c>
      <c r="J252">
        <v>0</v>
      </c>
      <c r="K252">
        <f t="shared" si="10"/>
        <v>-6.3095040132464628E-2</v>
      </c>
      <c r="L252">
        <f t="shared" si="11"/>
        <v>-6.309504013246463</v>
      </c>
      <c r="M252">
        <v>-0.28000000000000003</v>
      </c>
    </row>
  </sheetData>
  <pageMargins left="0.75" right="0.75" top="1" bottom="1" header="0.5" footer="0.5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Macintosh Excel</Application>
  <DocSecurity>0</DocSecurity>
  <ScaleCrop>false</ScaleCrop>
  <HeadingPairs>
    <vt:vector size="2" baseType="variant">
      <vt:variant>
        <vt:lpstr>Worksheets</vt:lpstr>
      </vt:variant>
      <vt:variant>
        <vt:i4>1</vt:i4>
      </vt:variant>
    </vt:vector>
  </HeadingPairs>
  <TitlesOfParts>
    <vt:vector size="1" baseType="lpstr">
      <vt:lpstr>CRM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cp:lastModifiedBy>Microsoft Office User</cp:lastModifiedBy>
  <dcterms:created xsi:type="dcterms:W3CDTF">2021-04-29T16:57:39Z</dcterms:created>
  <dcterms:modified xsi:type="dcterms:W3CDTF">2021-04-29T16:57:39Z</dcterms:modified>
</cp:coreProperties>
</file>